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02BACAD-20D7-4D92-8419-768E781EBA31}" xr6:coauthVersionLast="47" xr6:coauthVersionMax="47" xr10:uidLastSave="{00000000-0000-0000-0000-000000000000}"/>
  <bookViews>
    <workbookView xWindow="825" yWindow="1845" windowWidth="20100" windowHeight="12855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2" l="1"/>
  <c r="G10" i="2"/>
  <c r="K9" i="2"/>
  <c r="G9" i="2"/>
  <c r="K8" i="2"/>
  <c r="G8" i="2"/>
  <c r="K7" i="2"/>
  <c r="G7" i="2"/>
  <c r="K6" i="2"/>
  <c r="G6" i="2"/>
  <c r="K5" i="2"/>
  <c r="G5" i="2"/>
  <c r="K4" i="2"/>
  <c r="G4" i="2"/>
  <c r="K3" i="2"/>
  <c r="G3" i="2"/>
  <c r="J11" i="2" l="1"/>
  <c r="I11" i="2"/>
  <c r="H11" i="2"/>
  <c r="F11" i="2"/>
  <c r="E11" i="2"/>
  <c r="D11" i="2"/>
  <c r="G22" i="2"/>
  <c r="G21" i="2"/>
  <c r="G20" i="2"/>
  <c r="G19" i="2"/>
  <c r="G17" i="2"/>
  <c r="G16" i="2"/>
  <c r="G15" i="2"/>
  <c r="K11" i="2" l="1"/>
  <c r="G11" i="2"/>
  <c r="G18" i="2"/>
  <c r="K18" i="2" l="1"/>
  <c r="J33" i="2" l="1"/>
  <c r="I33" i="2"/>
  <c r="H33" i="2"/>
  <c r="F33" i="2"/>
  <c r="E33" i="2"/>
  <c r="D33" i="2"/>
  <c r="K21" i="2"/>
  <c r="K33" i="2" s="1"/>
  <c r="G33" i="2"/>
  <c r="K22" i="2" l="1"/>
  <c r="K20" i="2"/>
  <c r="K19" i="2"/>
  <c r="K17" i="2"/>
  <c r="K16" i="2"/>
  <c r="K15" i="2"/>
  <c r="J32" i="2" l="1"/>
  <c r="I32" i="2"/>
  <c r="H32" i="2"/>
  <c r="F32" i="2"/>
  <c r="E32" i="2"/>
  <c r="D32" i="2"/>
  <c r="K32" i="2" l="1"/>
  <c r="G32" i="2"/>
  <c r="H23" i="2" l="1"/>
  <c r="J34" i="2" l="1"/>
  <c r="I34" i="2"/>
  <c r="H34" i="2"/>
  <c r="F34" i="2"/>
  <c r="E34" i="2"/>
  <c r="D34" i="2"/>
  <c r="J31" i="2"/>
  <c r="I31" i="2"/>
  <c r="H31" i="2"/>
  <c r="F31" i="2"/>
  <c r="E31" i="2"/>
  <c r="D31" i="2"/>
  <c r="J30" i="2"/>
  <c r="I30" i="2"/>
  <c r="H30" i="2"/>
  <c r="F30" i="2"/>
  <c r="E30" i="2"/>
  <c r="D30" i="2"/>
  <c r="J29" i="2"/>
  <c r="I29" i="2"/>
  <c r="H29" i="2"/>
  <c r="F29" i="2"/>
  <c r="E29" i="2"/>
  <c r="D29" i="2"/>
  <c r="J28" i="2"/>
  <c r="I28" i="2"/>
  <c r="H28" i="2"/>
  <c r="F28" i="2"/>
  <c r="E28" i="2"/>
  <c r="D28" i="2"/>
  <c r="J27" i="2"/>
  <c r="I27" i="2"/>
  <c r="H27" i="2"/>
  <c r="F27" i="2"/>
  <c r="E27" i="2"/>
  <c r="D27" i="2"/>
  <c r="J23" i="2"/>
  <c r="I23" i="2"/>
  <c r="H35" i="2"/>
  <c r="F23" i="2"/>
  <c r="E23" i="2"/>
  <c r="D23" i="2"/>
  <c r="G29" i="2"/>
  <c r="G27" i="2"/>
  <c r="E35" i="2" l="1"/>
  <c r="D35" i="2"/>
  <c r="G34" i="2"/>
  <c r="G28" i="2"/>
  <c r="K27" i="2"/>
  <c r="G31" i="2"/>
  <c r="K31" i="2"/>
  <c r="K28" i="2"/>
  <c r="K34" i="2"/>
  <c r="G23" i="2"/>
  <c r="I35" i="2"/>
  <c r="K29" i="2"/>
  <c r="J35" i="2"/>
  <c r="G30" i="2"/>
  <c r="K30" i="2"/>
  <c r="K23" i="2"/>
  <c r="F35" i="2"/>
  <c r="K35" i="2" l="1"/>
  <c r="G35" i="2"/>
</calcChain>
</file>

<file path=xl/sharedStrings.xml><?xml version="1.0" encoding="utf-8"?>
<sst xmlns="http://schemas.openxmlformats.org/spreadsheetml/2006/main" count="63" uniqueCount="19">
  <si>
    <t>Brand</t>
  </si>
  <si>
    <t xml:space="preserve">Non-Brand </t>
  </si>
  <si>
    <t xml:space="preserve">Product </t>
  </si>
  <si>
    <t>Units Sold</t>
  </si>
  <si>
    <t>Revenue</t>
  </si>
  <si>
    <t>Ad Expenses</t>
  </si>
  <si>
    <t>CPO</t>
  </si>
  <si>
    <t>Unit Sold</t>
  </si>
  <si>
    <t>BeFlexible</t>
  </si>
  <si>
    <t xml:space="preserve">Better Bladder </t>
  </si>
  <si>
    <t>GASF</t>
  </si>
  <si>
    <t>GASF Bars</t>
  </si>
  <si>
    <t xml:space="preserve">Ideal Prostate </t>
  </si>
  <si>
    <t>Prosvent</t>
  </si>
  <si>
    <t xml:space="preserve">Total </t>
  </si>
  <si>
    <t>Breakeven</t>
  </si>
  <si>
    <t>WoW</t>
  </si>
  <si>
    <t>Cebria</t>
  </si>
  <si>
    <t>Profemin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</si>
</sst>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&quot;$&quot;#,##0"/>
    <numFmt numFmtId="166" formatCode="m/d/yyyy;@"/>
    <numFmt numFmtId="167" formatCode="[$$-409]#,##0.00"/>
    <numFmt numFmtId="168" formatCode="[$$-540A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0" fillId="3" borderId="0" xfId="0" applyNumberFormat="1" applyFill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0" fillId="0" borderId="1" xfId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8" fontId="0" fillId="2" borderId="1" xfId="0" applyNumberForma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B2A7-B632-4C54-8154-301881759C09}">
  <dimension ref="A1:K35"/>
  <sheetViews>
    <sheetView tabSelected="1" workbookViewId="0">
      <selection activeCell="H21" sqref="H21:J21"/>
    </sheetView>
  </sheetViews>
  <sheetFormatPr defaultColWidth="8.85546875" defaultRowHeight="15" x14ac:dyDescent="0.25"/>
  <cols>
    <col min="1" max="1" width="15.85546875" customWidth="1"/>
    <col min="2" max="2" width="14" customWidth="1"/>
    <col min="3" max="3" width="12.42578125" customWidth="1"/>
    <col min="5" max="5" width="13.42578125" customWidth="1"/>
    <col min="6" max="6" width="12.85546875" customWidth="1"/>
    <col min="9" max="9" width="14.7109375" customWidth="1"/>
    <col min="10" max="10" width="12.85546875" customWidth="1"/>
  </cols>
  <sheetData>
    <row r="1" spans="1:11" x14ac:dyDescent="0.25">
      <c r="D1" s="1" t="s">
        <v>0</v>
      </c>
      <c r="E1" s="2"/>
      <c r="F1" s="2"/>
      <c r="G1" s="2"/>
      <c r="H1" s="3" t="s">
        <v>1</v>
      </c>
      <c r="I1" s="4"/>
      <c r="J1" s="4"/>
      <c r="K1" s="4"/>
    </row>
    <row r="2" spans="1:11" x14ac:dyDescent="0.25">
      <c r="A2" s="26">
        <v>45767</v>
      </c>
      <c r="B2" s="5" t="s">
        <v>2</v>
      </c>
      <c r="C2" s="5" t="s">
        <v>15</v>
      </c>
      <c r="D2" s="6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9" t="s">
        <v>4</v>
      </c>
      <c r="J2" s="9" t="s">
        <v>5</v>
      </c>
      <c r="K2" s="9" t="s">
        <v>6</v>
      </c>
    </row>
    <row r="3" spans="1:11" x14ac:dyDescent="0.25">
      <c r="A3" s="26">
        <v>45773</v>
      </c>
      <c r="B3" s="5" t="s">
        <v>8</v>
      </c>
      <c r="C3" s="17">
        <v>25</v>
      </c>
      <c r="D3" s="10">
        <v>1</v>
      </c>
      <c r="E3" s="7">
        <v>69.95</v>
      </c>
      <c r="F3" s="7">
        <v>47.47</v>
      </c>
      <c r="G3" s="7">
        <f t="shared" ref="G3:G10" si="0">F3/D3</f>
        <v>47.47</v>
      </c>
      <c r="H3" s="12">
        <v>0</v>
      </c>
      <c r="I3" s="9">
        <v>0</v>
      </c>
      <c r="J3" s="9">
        <v>1.84</v>
      </c>
      <c r="K3" s="9" t="e">
        <f t="shared" ref="K3:K10" si="1">J3/H3</f>
        <v>#DIV/0!</v>
      </c>
    </row>
    <row r="4" spans="1:11" x14ac:dyDescent="0.25">
      <c r="A4" s="23"/>
      <c r="B4" s="5" t="s">
        <v>9</v>
      </c>
      <c r="C4" s="17">
        <v>50</v>
      </c>
      <c r="D4" s="10">
        <v>33</v>
      </c>
      <c r="E4" s="7">
        <v>2318.1999999999998</v>
      </c>
      <c r="F4" s="7">
        <v>775.65</v>
      </c>
      <c r="G4" s="7">
        <f t="shared" si="0"/>
        <v>23.504545454545454</v>
      </c>
      <c r="H4" s="11">
        <v>26</v>
      </c>
      <c r="I4" s="9">
        <v>1788.65</v>
      </c>
      <c r="J4" s="9">
        <v>1076.02</v>
      </c>
      <c r="K4" s="9">
        <f t="shared" si="1"/>
        <v>41.385384615384616</v>
      </c>
    </row>
    <row r="5" spans="1:11" x14ac:dyDescent="0.25">
      <c r="A5" s="23"/>
      <c r="B5" s="5" t="s">
        <v>10</v>
      </c>
      <c r="C5" s="17">
        <v>31</v>
      </c>
      <c r="D5" s="10">
        <v>5</v>
      </c>
      <c r="E5" s="7">
        <v>314.55</v>
      </c>
      <c r="F5" s="7">
        <v>68.16</v>
      </c>
      <c r="G5" s="7">
        <f t="shared" si="0"/>
        <v>13.632</v>
      </c>
      <c r="H5" s="11">
        <v>5</v>
      </c>
      <c r="I5" s="9">
        <v>174.75</v>
      </c>
      <c r="J5" s="9">
        <v>160.93</v>
      </c>
      <c r="K5" s="9">
        <f t="shared" si="1"/>
        <v>32.186</v>
      </c>
    </row>
    <row r="6" spans="1:11" x14ac:dyDescent="0.25">
      <c r="A6" s="23"/>
      <c r="B6" s="5" t="s">
        <v>11</v>
      </c>
      <c r="C6" s="17">
        <v>15</v>
      </c>
      <c r="D6" s="10">
        <v>0</v>
      </c>
      <c r="E6" s="7">
        <v>0</v>
      </c>
      <c r="F6" s="7">
        <v>0</v>
      </c>
      <c r="G6" s="7" t="e">
        <f t="shared" si="0"/>
        <v>#DIV/0!</v>
      </c>
      <c r="H6" s="11">
        <v>0</v>
      </c>
      <c r="I6" s="9">
        <v>0</v>
      </c>
      <c r="J6" s="9">
        <v>0</v>
      </c>
      <c r="K6" s="9" t="e">
        <f t="shared" si="1"/>
        <v>#DIV/0!</v>
      </c>
    </row>
    <row r="7" spans="1:11" x14ac:dyDescent="0.25">
      <c r="A7" s="23"/>
      <c r="B7" s="5" t="s">
        <v>12</v>
      </c>
      <c r="C7" s="17">
        <v>42</v>
      </c>
      <c r="D7" s="10">
        <v>44</v>
      </c>
      <c r="E7" s="7">
        <v>2922.65</v>
      </c>
      <c r="F7" s="7">
        <v>853.52</v>
      </c>
      <c r="G7" s="7">
        <f t="shared" si="0"/>
        <v>19.398181818181818</v>
      </c>
      <c r="H7" s="11">
        <v>8</v>
      </c>
      <c r="I7" s="9">
        <v>589.54999999999995</v>
      </c>
      <c r="J7" s="9">
        <v>519.97</v>
      </c>
      <c r="K7" s="9">
        <f t="shared" si="1"/>
        <v>64.996250000000003</v>
      </c>
    </row>
    <row r="8" spans="1:11" x14ac:dyDescent="0.25">
      <c r="A8" s="23"/>
      <c r="B8" s="5" t="s">
        <v>13</v>
      </c>
      <c r="C8" s="17">
        <v>35</v>
      </c>
      <c r="D8" s="10">
        <v>118</v>
      </c>
      <c r="E8" s="7">
        <v>8080</v>
      </c>
      <c r="F8" s="7">
        <v>3111.88</v>
      </c>
      <c r="G8" s="7">
        <f t="shared" si="0"/>
        <v>26.371864406779661</v>
      </c>
      <c r="H8" s="12">
        <v>32</v>
      </c>
      <c r="I8" s="9">
        <v>2062</v>
      </c>
      <c r="J8" s="9">
        <v>2229.54</v>
      </c>
      <c r="K8" s="9">
        <f t="shared" si="1"/>
        <v>69.673124999999999</v>
      </c>
    </row>
    <row r="9" spans="1:11" x14ac:dyDescent="0.25">
      <c r="A9" s="23"/>
      <c r="B9" s="5" t="s">
        <v>17</v>
      </c>
      <c r="C9" s="17">
        <v>35</v>
      </c>
      <c r="D9" s="6">
        <v>0</v>
      </c>
      <c r="E9" s="27">
        <v>0</v>
      </c>
      <c r="F9" s="28">
        <v>29.84</v>
      </c>
      <c r="G9" s="7" t="e">
        <f t="shared" si="0"/>
        <v>#DIV/0!</v>
      </c>
      <c r="H9" s="11">
        <v>0</v>
      </c>
      <c r="I9" s="9">
        <v>0</v>
      </c>
      <c r="J9" s="9">
        <v>31.28</v>
      </c>
      <c r="K9" s="9" t="e">
        <f t="shared" si="1"/>
        <v>#DIV/0!</v>
      </c>
    </row>
    <row r="10" spans="1:11" x14ac:dyDescent="0.25">
      <c r="A10" s="23"/>
      <c r="B10" s="5" t="s">
        <v>18</v>
      </c>
      <c r="C10" s="17">
        <v>35</v>
      </c>
      <c r="D10" s="10">
        <v>0</v>
      </c>
      <c r="E10" s="7">
        <v>0</v>
      </c>
      <c r="F10" s="7">
        <v>0</v>
      </c>
      <c r="G10" s="7" t="e">
        <f t="shared" si="0"/>
        <v>#DIV/0!</v>
      </c>
      <c r="H10" s="11">
        <v>0</v>
      </c>
      <c r="I10" s="9">
        <v>0</v>
      </c>
      <c r="J10" s="9">
        <v>0</v>
      </c>
      <c r="K10" s="9" t="e">
        <f t="shared" si="1"/>
        <v>#DIV/0!</v>
      </c>
    </row>
    <row r="11" spans="1:11" x14ac:dyDescent="0.25">
      <c r="A11" s="23"/>
      <c r="B11" s="5" t="s">
        <v>14</v>
      </c>
      <c r="C11" s="5"/>
      <c r="D11" s="13">
        <f>SUM(D3:D10)</f>
        <v>201</v>
      </c>
      <c r="E11" s="14">
        <f>SUM(E3:E10)</f>
        <v>13705.35</v>
      </c>
      <c r="F11" s="14">
        <f>SUM(F3:F10)</f>
        <v>4886.5200000000004</v>
      </c>
      <c r="G11" s="14">
        <f>F11/D11</f>
        <v>24.311044776119406</v>
      </c>
      <c r="H11" s="15">
        <f>SUM(H3:H10)</f>
        <v>71</v>
      </c>
      <c r="I11" s="16">
        <f>SUM(I3:I10)</f>
        <v>4614.95</v>
      </c>
      <c r="J11" s="16">
        <f>SUM(J3:J10)</f>
        <v>4019.5800000000004</v>
      </c>
      <c r="K11" s="16">
        <f t="shared" ref="K11" si="2">J11/H11</f>
        <v>56.613802816901412</v>
      </c>
    </row>
    <row r="12" spans="1:11" x14ac:dyDescent="0.25">
      <c r="A12" s="23"/>
    </row>
    <row r="13" spans="1:11" x14ac:dyDescent="0.25">
      <c r="A13" s="25"/>
      <c r="B13" s="24"/>
      <c r="C13" s="24"/>
      <c r="D13" s="1" t="s">
        <v>0</v>
      </c>
      <c r="E13" s="2"/>
      <c r="F13" s="2"/>
      <c r="G13" s="2"/>
      <c r="H13" s="3" t="s">
        <v>1</v>
      </c>
      <c r="I13" s="4"/>
      <c r="J13" s="4"/>
      <c r="K13" s="4"/>
    </row>
    <row r="14" spans="1:11" x14ac:dyDescent="0.25">
      <c r="A14" s="26">
        <v>45774</v>
      </c>
      <c r="B14" s="5" t="s">
        <v>2</v>
      </c>
      <c r="C14" s="5" t="s">
        <v>15</v>
      </c>
      <c r="D14" s="6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9" t="s">
        <v>4</v>
      </c>
      <c r="J14" s="9" t="s">
        <v>5</v>
      </c>
      <c r="K14" s="9" t="s">
        <v>6</v>
      </c>
    </row>
    <row r="15" spans="1:11" x14ac:dyDescent="0.25">
      <c r="A15" s="26">
        <v>45780</v>
      </c>
      <c r="B15" s="5" t="s">
        <v>8</v>
      </c>
      <c r="C15" s="17">
        <v>25</v>
      </c>
      <c r="D15" s="10">
        <v>0</v>
      </c>
      <c r="E15" s="7">
        <v>0</v>
      </c>
      <c r="F15" s="7">
        <v>51.04</v>
      </c>
      <c r="G15" s="7" t="e">
        <f t="shared" ref="G15:G22" si="3">F15/D15</f>
        <v>#DIV/0!</v>
      </c>
      <c r="H15" s="12">
        <v>0</v>
      </c>
      <c r="I15" s="9">
        <v>0</v>
      </c>
      <c r="J15" s="9">
        <v>3.68</v>
      </c>
      <c r="K15" s="9" t="e">
        <f t="shared" ref="K15:K22" si="4">J15/H15</f>
        <v>#DIV/0!</v>
      </c>
    </row>
    <row r="16" spans="1:11" x14ac:dyDescent="0.25">
      <c r="A16" s="23"/>
      <c r="B16" s="5" t="s">
        <v>9</v>
      </c>
      <c r="C16" s="17">
        <v>50</v>
      </c>
      <c r="D16" s="10">
        <v>48</v>
      </c>
      <c r="E16" s="7">
        <v>3137.45</v>
      </c>
      <c r="F16" s="7">
        <v>537.95000000000005</v>
      </c>
      <c r="G16" s="7">
        <f t="shared" si="3"/>
        <v>11.207291666666668</v>
      </c>
      <c r="H16" s="11">
        <v>15</v>
      </c>
      <c r="I16" s="9">
        <v>1019.2</v>
      </c>
      <c r="J16" s="9">
        <v>1104.5</v>
      </c>
      <c r="K16" s="9">
        <f t="shared" si="4"/>
        <v>73.63333333333334</v>
      </c>
    </row>
    <row r="17" spans="1:11" x14ac:dyDescent="0.25">
      <c r="A17" s="23"/>
      <c r="B17" s="5" t="s">
        <v>10</v>
      </c>
      <c r="C17" s="17">
        <v>31</v>
      </c>
      <c r="D17" s="10">
        <v>5</v>
      </c>
      <c r="E17" s="7">
        <v>219.65</v>
      </c>
      <c r="F17" s="7">
        <v>66.75</v>
      </c>
      <c r="G17" s="7">
        <f t="shared" si="3"/>
        <v>13.35</v>
      </c>
      <c r="H17" s="11">
        <v>14</v>
      </c>
      <c r="I17" s="9">
        <v>524.25</v>
      </c>
      <c r="J17" s="9">
        <v>231.14</v>
      </c>
      <c r="K17" s="9">
        <f t="shared" si="4"/>
        <v>16.509999999999998</v>
      </c>
    </row>
    <row r="18" spans="1:11" x14ac:dyDescent="0.25">
      <c r="A18" s="23"/>
      <c r="B18" s="5" t="s">
        <v>11</v>
      </c>
      <c r="C18" s="17">
        <v>15</v>
      </c>
      <c r="D18" s="10">
        <v>0</v>
      </c>
      <c r="E18" s="7">
        <v>0</v>
      </c>
      <c r="F18" s="7">
        <v>0</v>
      </c>
      <c r="G18" s="7" t="e">
        <f t="shared" si="3"/>
        <v>#DIV/0!</v>
      </c>
      <c r="H18" s="11">
        <v>0</v>
      </c>
      <c r="I18" s="9">
        <v>0</v>
      </c>
      <c r="J18" s="9">
        <v>0</v>
      </c>
      <c r="K18" s="9" t="e">
        <f t="shared" si="4"/>
        <v>#DIV/0!</v>
      </c>
    </row>
    <row r="19" spans="1:11" x14ac:dyDescent="0.25">
      <c r="A19" s="23"/>
      <c r="B19" s="5" t="s">
        <v>12</v>
      </c>
      <c r="C19" s="17">
        <v>42</v>
      </c>
      <c r="D19" s="6">
        <v>44</v>
      </c>
      <c r="E19" s="27">
        <v>2792.75</v>
      </c>
      <c r="F19" s="27">
        <v>1004.12</v>
      </c>
      <c r="G19" s="7">
        <f t="shared" si="3"/>
        <v>22.82090909090909</v>
      </c>
      <c r="H19" s="11">
        <v>8</v>
      </c>
      <c r="I19" s="9">
        <v>501.7</v>
      </c>
      <c r="J19" s="9">
        <v>541.63</v>
      </c>
      <c r="K19" s="9">
        <f t="shared" si="4"/>
        <v>67.703749999999999</v>
      </c>
    </row>
    <row r="20" spans="1:11" x14ac:dyDescent="0.25">
      <c r="A20" s="23"/>
      <c r="B20" s="5" t="s">
        <v>13</v>
      </c>
      <c r="C20" s="17">
        <v>35</v>
      </c>
      <c r="D20" s="10">
        <v>134</v>
      </c>
      <c r="E20" s="7">
        <v>8393</v>
      </c>
      <c r="F20" s="7">
        <v>3068.85</v>
      </c>
      <c r="G20" s="7">
        <f t="shared" si="3"/>
        <v>22.90186567164179</v>
      </c>
      <c r="H20" s="12">
        <v>30</v>
      </c>
      <c r="I20" s="9">
        <v>1710</v>
      </c>
      <c r="J20" s="9">
        <v>1944.14</v>
      </c>
      <c r="K20" s="9">
        <f t="shared" si="4"/>
        <v>64.804666666666677</v>
      </c>
    </row>
    <row r="21" spans="1:11" x14ac:dyDescent="0.25">
      <c r="A21" s="23"/>
      <c r="B21" s="5" t="s">
        <v>17</v>
      </c>
      <c r="C21" s="17">
        <v>35</v>
      </c>
      <c r="D21" s="6">
        <v>0</v>
      </c>
      <c r="E21" s="27">
        <v>0</v>
      </c>
      <c r="F21" s="28">
        <v>96.31</v>
      </c>
      <c r="G21" s="7" t="e">
        <f t="shared" si="3"/>
        <v>#DIV/0!</v>
      </c>
      <c r="H21" s="11">
        <v>0</v>
      </c>
      <c r="I21" s="9">
        <v>0</v>
      </c>
      <c r="J21" s="9">
        <v>34.26</v>
      </c>
      <c r="K21" s="9" t="e">
        <f t="shared" ref="K21" si="5">J21/H21</f>
        <v>#DIV/0!</v>
      </c>
    </row>
    <row r="22" spans="1:11" x14ac:dyDescent="0.25">
      <c r="A22" s="23"/>
      <c r="B22" s="5" t="s">
        <v>18</v>
      </c>
      <c r="C22" s="17">
        <v>35</v>
      </c>
      <c r="D22" s="10">
        <v>0</v>
      </c>
      <c r="E22" s="7">
        <v>0</v>
      </c>
      <c r="F22" s="7">
        <v>0</v>
      </c>
      <c r="G22" s="7" t="e">
        <f t="shared" si="3"/>
        <v>#DIV/0!</v>
      </c>
      <c r="H22" s="11">
        <v>0</v>
      </c>
      <c r="I22" s="9">
        <v>0</v>
      </c>
      <c r="J22" s="9">
        <v>0</v>
      </c>
      <c r="K22" s="9" t="e">
        <f t="shared" si="4"/>
        <v>#DIV/0!</v>
      </c>
    </row>
    <row r="23" spans="1:11" x14ac:dyDescent="0.25">
      <c r="A23" s="23"/>
      <c r="B23" s="5" t="s">
        <v>14</v>
      </c>
      <c r="C23" s="5"/>
      <c r="D23" s="13">
        <f>SUM(D15:D22)</f>
        <v>231</v>
      </c>
      <c r="E23" s="14">
        <f>SUM(E15:E22)</f>
        <v>14542.85</v>
      </c>
      <c r="F23" s="14">
        <f>SUM(F15:F22)</f>
        <v>4825.0200000000004</v>
      </c>
      <c r="G23" s="14">
        <f>F23/D23</f>
        <v>20.88753246753247</v>
      </c>
      <c r="H23" s="15">
        <f>SUM(H15:H22)</f>
        <v>67</v>
      </c>
      <c r="I23" s="16">
        <f>SUM(I15:I22)</f>
        <v>3755.15</v>
      </c>
      <c r="J23" s="16">
        <f>SUM(J15:J22)</f>
        <v>3859.3500000000004</v>
      </c>
      <c r="K23" s="16">
        <f t="shared" ref="K23" si="6">J23/H23</f>
        <v>57.602238805970153</v>
      </c>
    </row>
    <row r="24" spans="1:11" x14ac:dyDescent="0.25">
      <c r="A24" s="23"/>
      <c r="B24" s="18"/>
      <c r="C24" s="18"/>
      <c r="D24" s="19"/>
      <c r="E24" s="20"/>
      <c r="F24" s="20"/>
      <c r="G24" s="20"/>
      <c r="H24" s="19"/>
      <c r="I24" s="20"/>
      <c r="J24" s="20"/>
      <c r="K24" s="20"/>
    </row>
    <row r="25" spans="1:11" x14ac:dyDescent="0.25">
      <c r="A25" s="23"/>
      <c r="B25" s="18"/>
      <c r="D25" s="1" t="s">
        <v>0</v>
      </c>
      <c r="E25" s="2"/>
      <c r="F25" s="2"/>
      <c r="G25" s="2"/>
      <c r="H25" s="3" t="s">
        <v>1</v>
      </c>
      <c r="I25" s="4"/>
      <c r="J25" s="4"/>
      <c r="K25" s="4"/>
    </row>
    <row r="26" spans="1:11" x14ac:dyDescent="0.25">
      <c r="A26" s="23"/>
      <c r="C26" s="5" t="s">
        <v>15</v>
      </c>
      <c r="D26" s="6" t="s">
        <v>3</v>
      </c>
      <c r="E26" s="7" t="s">
        <v>4</v>
      </c>
      <c r="F26" s="7" t="s">
        <v>5</v>
      </c>
      <c r="G26" s="7" t="s">
        <v>6</v>
      </c>
      <c r="H26" s="8" t="s">
        <v>7</v>
      </c>
      <c r="I26" s="9" t="s">
        <v>4</v>
      </c>
      <c r="J26" s="9" t="s">
        <v>5</v>
      </c>
      <c r="K26" s="9" t="s">
        <v>6</v>
      </c>
    </row>
    <row r="27" spans="1:11" x14ac:dyDescent="0.25">
      <c r="A27" s="23" t="s">
        <v>16</v>
      </c>
      <c r="B27" s="5" t="s">
        <v>8</v>
      </c>
      <c r="C27" s="17">
        <v>25</v>
      </c>
      <c r="D27" s="21" t="e">
        <f t="shared" ref="D27:K35" si="7">(D15-D3)/D15</f>
        <v>#DIV/0!</v>
      </c>
      <c r="E27" s="21" t="e">
        <f t="shared" si="7"/>
        <v>#DIV/0!</v>
      </c>
      <c r="F27" s="21">
        <f t="shared" si="7"/>
        <v>6.9945141065830732E-2</v>
      </c>
      <c r="G27" s="21" t="e">
        <f t="shared" si="7"/>
        <v>#DIV/0!</v>
      </c>
      <c r="H27" s="21" t="e">
        <f t="shared" si="7"/>
        <v>#DIV/0!</v>
      </c>
      <c r="I27" s="21" t="e">
        <f t="shared" si="7"/>
        <v>#DIV/0!</v>
      </c>
      <c r="J27" s="21">
        <f t="shared" si="7"/>
        <v>0.5</v>
      </c>
      <c r="K27" s="21" t="e">
        <f t="shared" si="7"/>
        <v>#DIV/0!</v>
      </c>
    </row>
    <row r="28" spans="1:11" x14ac:dyDescent="0.25">
      <c r="A28" s="23"/>
      <c r="B28" s="5" t="s">
        <v>9</v>
      </c>
      <c r="C28" s="17">
        <v>50</v>
      </c>
      <c r="D28" s="21">
        <f t="shared" si="7"/>
        <v>0.3125</v>
      </c>
      <c r="E28" s="21">
        <f t="shared" si="7"/>
        <v>0.26111969911871108</v>
      </c>
      <c r="F28" s="21">
        <f t="shared" si="7"/>
        <v>-0.44186262663816323</v>
      </c>
      <c r="G28" s="21">
        <f t="shared" si="7"/>
        <v>-1.09725472965551</v>
      </c>
      <c r="H28" s="21">
        <f t="shared" si="7"/>
        <v>-0.73333333333333328</v>
      </c>
      <c r="I28" s="21">
        <f t="shared" si="7"/>
        <v>-0.75495486656200939</v>
      </c>
      <c r="J28" s="21">
        <f t="shared" si="7"/>
        <v>2.5785423268447277E-2</v>
      </c>
      <c r="K28" s="21">
        <f t="shared" si="7"/>
        <v>0.43795312880871962</v>
      </c>
    </row>
    <row r="29" spans="1:11" x14ac:dyDescent="0.25">
      <c r="A29" s="23"/>
      <c r="B29" s="5" t="s">
        <v>10</v>
      </c>
      <c r="C29" s="17">
        <v>31</v>
      </c>
      <c r="D29" s="21">
        <f t="shared" si="7"/>
        <v>0</v>
      </c>
      <c r="E29" s="21">
        <f t="shared" si="7"/>
        <v>-0.43205099021170046</v>
      </c>
      <c r="F29" s="21">
        <f t="shared" si="7"/>
        <v>-2.1123595505617928E-2</v>
      </c>
      <c r="G29" s="21">
        <f t="shared" si="7"/>
        <v>-2.112359550561798E-2</v>
      </c>
      <c r="H29" s="21">
        <f t="shared" si="7"/>
        <v>0.6428571428571429</v>
      </c>
      <c r="I29" s="21">
        <f t="shared" si="7"/>
        <v>0.66666666666666663</v>
      </c>
      <c r="J29" s="21">
        <f t="shared" si="7"/>
        <v>0.30375529981829186</v>
      </c>
      <c r="K29" s="21">
        <f t="shared" si="7"/>
        <v>-0.94948516050878273</v>
      </c>
    </row>
    <row r="30" spans="1:11" x14ac:dyDescent="0.25">
      <c r="A30" s="23"/>
      <c r="B30" s="5" t="s">
        <v>11</v>
      </c>
      <c r="C30" s="17">
        <v>15</v>
      </c>
      <c r="D30" s="21" t="e">
        <f t="shared" si="7"/>
        <v>#DIV/0!</v>
      </c>
      <c r="E30" s="21" t="e">
        <f t="shared" si="7"/>
        <v>#DIV/0!</v>
      </c>
      <c r="F30" s="21" t="e">
        <f t="shared" si="7"/>
        <v>#DIV/0!</v>
      </c>
      <c r="G30" s="21" t="e">
        <f t="shared" si="7"/>
        <v>#DIV/0!</v>
      </c>
      <c r="H30" s="21" t="e">
        <f t="shared" si="7"/>
        <v>#DIV/0!</v>
      </c>
      <c r="I30" s="21" t="e">
        <f t="shared" si="7"/>
        <v>#DIV/0!</v>
      </c>
      <c r="J30" s="21" t="e">
        <f t="shared" si="7"/>
        <v>#DIV/0!</v>
      </c>
      <c r="K30" s="21" t="e">
        <f t="shared" si="7"/>
        <v>#DIV/0!</v>
      </c>
    </row>
    <row r="31" spans="1:11" x14ac:dyDescent="0.25">
      <c r="A31" s="23"/>
      <c r="B31" s="5" t="s">
        <v>12</v>
      </c>
      <c r="C31" s="17">
        <v>42</v>
      </c>
      <c r="D31" s="21">
        <f t="shared" si="7"/>
        <v>0</v>
      </c>
      <c r="E31" s="21">
        <f t="shared" si="7"/>
        <v>-4.6513293348849731E-2</v>
      </c>
      <c r="F31" s="21">
        <f t="shared" si="7"/>
        <v>0.14998207385571447</v>
      </c>
      <c r="G31" s="21">
        <f t="shared" si="7"/>
        <v>0.14998207385571444</v>
      </c>
      <c r="H31" s="21">
        <f t="shared" si="7"/>
        <v>0</v>
      </c>
      <c r="I31" s="21">
        <f t="shared" si="7"/>
        <v>-0.17510464420968699</v>
      </c>
      <c r="J31" s="21">
        <f t="shared" si="7"/>
        <v>3.9990399350109798E-2</v>
      </c>
      <c r="K31" s="21">
        <f t="shared" si="7"/>
        <v>3.9990399350109798E-2</v>
      </c>
    </row>
    <row r="32" spans="1:11" x14ac:dyDescent="0.25">
      <c r="A32" s="23"/>
      <c r="B32" s="5" t="s">
        <v>13</v>
      </c>
      <c r="C32" s="17">
        <v>35</v>
      </c>
      <c r="D32" s="21">
        <f t="shared" si="7"/>
        <v>0.11940298507462686</v>
      </c>
      <c r="E32" s="21">
        <f t="shared" si="7"/>
        <v>3.7292982247110688E-2</v>
      </c>
      <c r="F32" s="21">
        <f t="shared" si="7"/>
        <v>-1.4021539012985387E-2</v>
      </c>
      <c r="G32" s="21">
        <f t="shared" si="7"/>
        <v>-0.15151598498084778</v>
      </c>
      <c r="H32" s="21">
        <f t="shared" si="7"/>
        <v>-6.6666666666666666E-2</v>
      </c>
      <c r="I32" s="21">
        <f t="shared" si="7"/>
        <v>-0.20584795321637428</v>
      </c>
      <c r="J32" s="21">
        <f t="shared" si="7"/>
        <v>-0.14680012756282976</v>
      </c>
      <c r="K32" s="21">
        <f t="shared" si="7"/>
        <v>-7.5125119590152792E-2</v>
      </c>
    </row>
    <row r="33" spans="1:11" x14ac:dyDescent="0.25">
      <c r="A33" s="23"/>
      <c r="B33" s="5" t="s">
        <v>17</v>
      </c>
      <c r="C33" s="17">
        <v>35</v>
      </c>
      <c r="D33" s="21" t="e">
        <f t="shared" si="7"/>
        <v>#DIV/0!</v>
      </c>
      <c r="E33" s="21" t="e">
        <f t="shared" si="7"/>
        <v>#DIV/0!</v>
      </c>
      <c r="F33" s="21">
        <f t="shared" si="7"/>
        <v>0.69016716851832616</v>
      </c>
      <c r="G33" s="21" t="e">
        <f t="shared" si="7"/>
        <v>#DIV/0!</v>
      </c>
      <c r="H33" s="21" t="e">
        <f t="shared" si="7"/>
        <v>#DIV/0!</v>
      </c>
      <c r="I33" s="21" t="e">
        <f t="shared" si="7"/>
        <v>#DIV/0!</v>
      </c>
      <c r="J33" s="21">
        <f t="shared" si="7"/>
        <v>8.6981903093987067E-2</v>
      </c>
      <c r="K33" s="21" t="e">
        <f t="shared" si="7"/>
        <v>#DIV/0!</v>
      </c>
    </row>
    <row r="34" spans="1:11" x14ac:dyDescent="0.25">
      <c r="A34" s="23"/>
      <c r="B34" s="5" t="s">
        <v>18</v>
      </c>
      <c r="C34" s="17">
        <v>35</v>
      </c>
      <c r="D34" s="21" t="e">
        <f t="shared" si="7"/>
        <v>#DIV/0!</v>
      </c>
      <c r="E34" s="21" t="e">
        <f t="shared" si="7"/>
        <v>#DIV/0!</v>
      </c>
      <c r="F34" s="21" t="e">
        <f t="shared" si="7"/>
        <v>#DIV/0!</v>
      </c>
      <c r="G34" s="21" t="e">
        <f t="shared" si="7"/>
        <v>#DIV/0!</v>
      </c>
      <c r="H34" s="21" t="e">
        <f t="shared" si="7"/>
        <v>#DIV/0!</v>
      </c>
      <c r="I34" s="21" t="e">
        <f t="shared" si="7"/>
        <v>#DIV/0!</v>
      </c>
      <c r="J34" s="21" t="e">
        <f t="shared" si="7"/>
        <v>#DIV/0!</v>
      </c>
      <c r="K34" s="21" t="e">
        <f t="shared" si="7"/>
        <v>#DIV/0!</v>
      </c>
    </row>
    <row r="35" spans="1:11" x14ac:dyDescent="0.25">
      <c r="A35" s="23"/>
      <c r="B35" s="5" t="s">
        <v>14</v>
      </c>
      <c r="C35" s="5"/>
      <c r="D35" s="22">
        <f t="shared" si="7"/>
        <v>0.12987012987012986</v>
      </c>
      <c r="E35" s="22">
        <f t="shared" si="7"/>
        <v>5.7588436929487688E-2</v>
      </c>
      <c r="F35" s="22">
        <f t="shared" si="7"/>
        <v>-1.2746061156223185E-2</v>
      </c>
      <c r="G35" s="22">
        <f t="shared" si="7"/>
        <v>-0.16390218968700279</v>
      </c>
      <c r="H35" s="22">
        <f t="shared" si="7"/>
        <v>-5.9701492537313432E-2</v>
      </c>
      <c r="I35" s="22">
        <f t="shared" si="7"/>
        <v>-0.22896555397254428</v>
      </c>
      <c r="J35" s="22">
        <f t="shared" si="7"/>
        <v>-4.1517353958568155E-2</v>
      </c>
      <c r="K35" s="22">
        <f t="shared" si="7"/>
        <v>1.7159680067266668E-2</v>
      </c>
    </row>
  </sheetData>
  <conditionalFormatting sqref="D27:K35">
    <cfRule type="cellIs" dxfId="3" priority="3" operator="lessThan">
      <formula>0</formula>
    </cfRule>
    <cfRule type="cellIs" dxfId="2" priority="4" operator="greaterThan">
      <formula>0.01</formula>
    </cfRule>
  </conditionalFormatting>
  <conditionalFormatting sqref="F27:G35 J27:K3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9F98FF611E74F8700DCFB7D6DD39C" ma:contentTypeVersion="11" ma:contentTypeDescription="Create a new document." ma:contentTypeScope="" ma:versionID="24c11f03e62814479dc79032c47fcf7f">
  <xsd:schema xmlns:xsd="http://www.w3.org/2001/XMLSchema" xmlns:xs="http://www.w3.org/2001/XMLSchema" xmlns:p="http://schemas.microsoft.com/office/2006/metadata/properties" xmlns:ns3="f9c895eb-536c-40a6-974b-f0b1c9c7780d" targetNamespace="http://schemas.microsoft.com/office/2006/metadata/properties" ma:root="true" ma:fieldsID="7de30049495ecb28c526c41631510258" ns3:_="">
    <xsd:import namespace="f9c895eb-536c-40a6-974b-f0b1c9c778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895eb-536c-40a6-974b-f0b1c9c77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DEF913-6947-4B9D-8737-CA6FDEACE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895eb-536c-40a6-974b-f0b1c9c778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46E58-B481-4198-88BF-38FDDB567B20}">
  <ds:schemaRefs>
    <ds:schemaRef ds:uri="http://purl.org/dc/terms/"/>
    <ds:schemaRef ds:uri="http://www.w3.org/XML/1998/namespace"/>
    <ds:schemaRef ds:uri="f9c895eb-536c-40a6-974b-f0b1c9c7780d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D478FAF2-0526-4C82-91B5-9CD85B9272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Ahaus</dc:creator>
  <cp:lastModifiedBy>Windows</cp:lastModifiedBy>
  <dcterms:created xsi:type="dcterms:W3CDTF">2022-02-21T21:31:53Z</dcterms:created>
  <dcterms:modified xsi:type="dcterms:W3CDTF">2025-05-05T12:50:56Z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0x0101003359F98FF611E74F8700DCFB7D6DD39C</vt:lpwstr>
  </property>
</Properties>
</file>