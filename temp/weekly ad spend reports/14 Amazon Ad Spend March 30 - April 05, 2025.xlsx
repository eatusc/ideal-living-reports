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7FDA8A9-C504-4D2D-B2F5-964D32C77DD2}" xr6:coauthVersionLast="47" xr6:coauthVersionMax="47" xr10:uidLastSave="{00000000-0000-0000-0000-000000000000}"/>
  <bookViews>
    <workbookView xWindow="810" yWindow="1890" windowWidth="2772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J11" i="2" l="1"/>
  <c r="I11" i="2"/>
  <c r="H11" i="2"/>
  <c r="F11" i="2"/>
  <c r="E11" i="2"/>
  <c r="D11" i="2"/>
  <c r="G22" i="2"/>
  <c r="G21" i="2"/>
  <c r="G20" i="2"/>
  <c r="G19" i="2"/>
  <c r="G17" i="2"/>
  <c r="G16" i="2"/>
  <c r="G15" i="2"/>
  <c r="K11" i="2" l="1"/>
  <c r="G11" i="2"/>
  <c r="G18" i="2"/>
  <c r="K18" i="2" l="1"/>
  <c r="J33" i="2" l="1"/>
  <c r="I33" i="2"/>
  <c r="H33" i="2"/>
  <c r="F33" i="2"/>
  <c r="E33" i="2"/>
  <c r="D33" i="2"/>
  <c r="K21" i="2"/>
  <c r="K33" i="2" s="1"/>
  <c r="G33" i="2"/>
  <c r="K22" i="2" l="1"/>
  <c r="K20" i="2"/>
  <c r="K19" i="2"/>
  <c r="K17" i="2"/>
  <c r="K16" i="2"/>
  <c r="K15" i="2"/>
  <c r="J32" i="2" l="1"/>
  <c r="I32" i="2"/>
  <c r="H32" i="2"/>
  <c r="F32" i="2"/>
  <c r="E32" i="2"/>
  <c r="D32" i="2"/>
  <c r="K32" i="2" l="1"/>
  <c r="G32" i="2"/>
  <c r="H23" i="2" l="1"/>
  <c r="J34" i="2" l="1"/>
  <c r="I34" i="2"/>
  <c r="H34" i="2"/>
  <c r="F34" i="2"/>
  <c r="E34" i="2"/>
  <c r="D34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8" i="2"/>
  <c r="I28" i="2"/>
  <c r="H28" i="2"/>
  <c r="F28" i="2"/>
  <c r="E28" i="2"/>
  <c r="D28" i="2"/>
  <c r="J27" i="2"/>
  <c r="I27" i="2"/>
  <c r="H27" i="2"/>
  <c r="F27" i="2"/>
  <c r="E27" i="2"/>
  <c r="D27" i="2"/>
  <c r="J23" i="2"/>
  <c r="I23" i="2"/>
  <c r="H35" i="2"/>
  <c r="F23" i="2"/>
  <c r="E23" i="2"/>
  <c r="D23" i="2"/>
  <c r="G29" i="2"/>
  <c r="G27" i="2"/>
  <c r="E35" i="2" l="1"/>
  <c r="D35" i="2"/>
  <c r="G34" i="2"/>
  <c r="G28" i="2"/>
  <c r="K27" i="2"/>
  <c r="G31" i="2"/>
  <c r="K31" i="2"/>
  <c r="K28" i="2"/>
  <c r="K34" i="2"/>
  <c r="G23" i="2"/>
  <c r="I35" i="2"/>
  <c r="K29" i="2"/>
  <c r="J35" i="2"/>
  <c r="G30" i="2"/>
  <c r="K30" i="2"/>
  <c r="K23" i="2"/>
  <c r="F35" i="2"/>
  <c r="K35" i="2" l="1"/>
  <c r="G35" i="2"/>
</calcChain>
</file>

<file path=xl/sharedStrings.xml><?xml version="1.0" encoding="utf-8"?>
<sst xmlns="http://schemas.openxmlformats.org/spreadsheetml/2006/main" count="63" uniqueCount="19">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</sst>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5"/>
  <sheetViews>
    <sheetView tabSelected="1" workbookViewId="0">
      <selection activeCell="H22" sqref="H22:J22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45739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45745</v>
      </c>
      <c r="B3" s="5" t="s">
        <v>8</v>
      </c>
      <c r="C3" s="17">
        <v>25</v>
      </c>
      <c r="D3" s="10">
        <v>0</v>
      </c>
      <c r="E3" s="7">
        <v>0</v>
      </c>
      <c r="F3" s="7">
        <v>20.350000000000001</v>
      </c>
      <c r="G3" s="7" t="e">
        <f t="shared" ref="G3:G10" si="0">F3/D3</f>
        <v>#DIV/0!</v>
      </c>
      <c r="H3" s="12">
        <v>0</v>
      </c>
      <c r="I3" s="9">
        <v>0</v>
      </c>
      <c r="J3" s="9">
        <v>1.84</v>
      </c>
      <c r="K3" s="9" t="e">
        <f t="shared" ref="K3:K10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41</v>
      </c>
      <c r="E4" s="7">
        <v>2692.9</v>
      </c>
      <c r="F4" s="7">
        <v>375.94</v>
      </c>
      <c r="G4" s="7">
        <f t="shared" si="0"/>
        <v>9.1692682926829274</v>
      </c>
      <c r="H4" s="11">
        <v>23</v>
      </c>
      <c r="I4" s="9">
        <v>1528.85</v>
      </c>
      <c r="J4" s="9">
        <v>1205.8</v>
      </c>
      <c r="K4" s="9">
        <f t="shared" si="1"/>
        <v>52.426086956521736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13.82</v>
      </c>
      <c r="G5" s="7" t="e">
        <f t="shared" si="0"/>
        <v>#DIV/0!</v>
      </c>
      <c r="H5" s="11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10">
        <v>33</v>
      </c>
      <c r="E7" s="7">
        <v>2356.09</v>
      </c>
      <c r="F7" s="7">
        <v>680.05</v>
      </c>
      <c r="G7" s="7">
        <f t="shared" si="0"/>
        <v>20.607575757575756</v>
      </c>
      <c r="H7" s="11">
        <v>10</v>
      </c>
      <c r="I7" s="9">
        <v>669.5</v>
      </c>
      <c r="J7" s="9">
        <v>654.41</v>
      </c>
      <c r="K7" s="9">
        <f t="shared" si="1"/>
        <v>65.441000000000003</v>
      </c>
    </row>
    <row r="8" spans="1:11" x14ac:dyDescent="0.25">
      <c r="A8" s="23"/>
      <c r="B8" s="5" t="s">
        <v>13</v>
      </c>
      <c r="C8" s="17">
        <v>35</v>
      </c>
      <c r="D8" s="10">
        <v>104</v>
      </c>
      <c r="E8" s="7">
        <v>6769</v>
      </c>
      <c r="F8" s="7">
        <v>2138.11</v>
      </c>
      <c r="G8" s="7">
        <f t="shared" si="0"/>
        <v>20.55875</v>
      </c>
      <c r="H8" s="12">
        <v>32</v>
      </c>
      <c r="I8" s="9">
        <v>1990</v>
      </c>
      <c r="J8" s="9">
        <v>1837.98</v>
      </c>
      <c r="K8" s="9">
        <f t="shared" si="1"/>
        <v>57.436875000000001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40.17</v>
      </c>
      <c r="G9" s="7" t="e">
        <f t="shared" si="0"/>
        <v>#DIV/0!</v>
      </c>
      <c r="H9" s="11">
        <v>0</v>
      </c>
      <c r="I9" s="9">
        <v>0</v>
      </c>
      <c r="J9" s="9">
        <v>35.46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14</v>
      </c>
      <c r="C11" s="5"/>
      <c r="D11" s="13">
        <f>SUM(D3:D10)</f>
        <v>178</v>
      </c>
      <c r="E11" s="14">
        <f>SUM(E3:E10)</f>
        <v>11817.99</v>
      </c>
      <c r="F11" s="14">
        <f>SUM(F3:F10)</f>
        <v>3268.44</v>
      </c>
      <c r="G11" s="14">
        <f>F11/D11</f>
        <v>18.362022471910112</v>
      </c>
      <c r="H11" s="15">
        <f>SUM(H3:H10)</f>
        <v>65</v>
      </c>
      <c r="I11" s="16">
        <f>SUM(I3:I10)</f>
        <v>4188.3500000000004</v>
      </c>
      <c r="J11" s="16">
        <f>SUM(J3:J10)</f>
        <v>3735.49</v>
      </c>
      <c r="K11" s="16">
        <f t="shared" ref="K11" si="2">J11/H11</f>
        <v>57.469076923076919</v>
      </c>
    </row>
    <row r="12" spans="1:11" x14ac:dyDescent="0.25">
      <c r="A12" s="23"/>
    </row>
    <row r="13" spans="1:11" x14ac:dyDescent="0.25">
      <c r="A13" s="25"/>
      <c r="B13" s="24"/>
      <c r="C13" s="24"/>
      <c r="D13" s="1" t="s">
        <v>0</v>
      </c>
      <c r="E13" s="2"/>
      <c r="F13" s="2"/>
      <c r="G13" s="2"/>
      <c r="H13" s="3" t="s">
        <v>1</v>
      </c>
      <c r="I13" s="4"/>
      <c r="J13" s="4"/>
      <c r="K13" s="4"/>
    </row>
    <row r="14" spans="1:11" x14ac:dyDescent="0.25">
      <c r="A14" s="26">
        <v>45746</v>
      </c>
      <c r="B14" s="5" t="s">
        <v>2</v>
      </c>
      <c r="C14" s="5" t="s">
        <v>15</v>
      </c>
      <c r="D14" s="6" t="s">
        <v>3</v>
      </c>
      <c r="E14" s="7" t="s">
        <v>4</v>
      </c>
      <c r="F14" s="7" t="s">
        <v>5</v>
      </c>
      <c r="G14" s="7" t="s">
        <v>6</v>
      </c>
      <c r="H14" s="8" t="s">
        <v>7</v>
      </c>
      <c r="I14" s="9" t="s">
        <v>4</v>
      </c>
      <c r="J14" s="9" t="s">
        <v>5</v>
      </c>
      <c r="K14" s="9" t="s">
        <v>6</v>
      </c>
    </row>
    <row r="15" spans="1:11" x14ac:dyDescent="0.25">
      <c r="A15" s="26">
        <v>45752</v>
      </c>
      <c r="B15" s="5" t="s">
        <v>8</v>
      </c>
      <c r="C15" s="17">
        <v>25</v>
      </c>
      <c r="D15" s="10">
        <v>0</v>
      </c>
      <c r="E15" s="7">
        <v>0</v>
      </c>
      <c r="F15" s="7">
        <v>7.98</v>
      </c>
      <c r="G15" s="7" t="e">
        <f t="shared" ref="G15:G22" si="3">F15/D15</f>
        <v>#DIV/0!</v>
      </c>
      <c r="H15" s="12">
        <v>0</v>
      </c>
      <c r="I15" s="9">
        <v>0</v>
      </c>
      <c r="J15" s="9">
        <v>1.88</v>
      </c>
      <c r="K15" s="9" t="e">
        <f t="shared" ref="K15:K22" si="4">J15/H15</f>
        <v>#DIV/0!</v>
      </c>
    </row>
    <row r="16" spans="1:11" x14ac:dyDescent="0.25">
      <c r="A16" s="23"/>
      <c r="B16" s="5" t="s">
        <v>9</v>
      </c>
      <c r="C16" s="17">
        <v>50</v>
      </c>
      <c r="D16" s="10">
        <v>37</v>
      </c>
      <c r="E16" s="7">
        <v>2737.85</v>
      </c>
      <c r="F16" s="7">
        <v>343.9</v>
      </c>
      <c r="G16" s="7">
        <f t="shared" si="3"/>
        <v>9.294594594594594</v>
      </c>
      <c r="H16" s="11">
        <v>20</v>
      </c>
      <c r="I16" s="9">
        <v>1668.75</v>
      </c>
      <c r="J16" s="9">
        <v>1002.14</v>
      </c>
      <c r="K16" s="9">
        <f t="shared" si="4"/>
        <v>50.106999999999999</v>
      </c>
    </row>
    <row r="17" spans="1:11" x14ac:dyDescent="0.25">
      <c r="A17" s="23"/>
      <c r="B17" s="5" t="s">
        <v>10</v>
      </c>
      <c r="C17" s="17">
        <v>31</v>
      </c>
      <c r="D17" s="10">
        <v>0</v>
      </c>
      <c r="E17" s="7">
        <v>0</v>
      </c>
      <c r="F17" s="7">
        <v>40.83</v>
      </c>
      <c r="G17" s="7" t="e">
        <f t="shared" si="3"/>
        <v>#DIV/0!</v>
      </c>
      <c r="H17" s="11">
        <v>0</v>
      </c>
      <c r="I17" s="9">
        <v>0</v>
      </c>
      <c r="J17" s="9">
        <v>0</v>
      </c>
      <c r="K17" s="9" t="e">
        <f t="shared" si="4"/>
        <v>#DIV/0!</v>
      </c>
    </row>
    <row r="18" spans="1:11" x14ac:dyDescent="0.25">
      <c r="A18" s="23"/>
      <c r="B18" s="5" t="s">
        <v>11</v>
      </c>
      <c r="C18" s="17">
        <v>15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12</v>
      </c>
      <c r="C19" s="17">
        <v>42</v>
      </c>
      <c r="D19" s="10">
        <v>39</v>
      </c>
      <c r="E19" s="7">
        <v>2702.8</v>
      </c>
      <c r="F19" s="7">
        <v>921.94</v>
      </c>
      <c r="G19" s="7">
        <f t="shared" si="3"/>
        <v>23.63948717948718</v>
      </c>
      <c r="H19" s="11">
        <v>7</v>
      </c>
      <c r="I19" s="9">
        <v>554.6</v>
      </c>
      <c r="J19" s="9">
        <v>617.47</v>
      </c>
      <c r="K19" s="9">
        <f t="shared" si="4"/>
        <v>88.210000000000008</v>
      </c>
    </row>
    <row r="20" spans="1:11" x14ac:dyDescent="0.25">
      <c r="A20" s="23"/>
      <c r="B20" s="5" t="s">
        <v>13</v>
      </c>
      <c r="C20" s="17">
        <v>35</v>
      </c>
      <c r="D20" s="10">
        <v>136</v>
      </c>
      <c r="E20" s="7">
        <v>8838.9</v>
      </c>
      <c r="F20" s="7">
        <v>2472.0700000000002</v>
      </c>
      <c r="G20" s="7">
        <f t="shared" si="3"/>
        <v>18.17698529411765</v>
      </c>
      <c r="H20" s="12">
        <v>35</v>
      </c>
      <c r="I20" s="9">
        <v>2246</v>
      </c>
      <c r="J20" s="9">
        <v>2275.86</v>
      </c>
      <c r="K20" s="9">
        <f t="shared" si="4"/>
        <v>65.024571428571434</v>
      </c>
    </row>
    <row r="21" spans="1:11" x14ac:dyDescent="0.25">
      <c r="A21" s="23"/>
      <c r="B21" s="5" t="s">
        <v>17</v>
      </c>
      <c r="C21" s="17">
        <v>35</v>
      </c>
      <c r="D21" s="6">
        <v>0</v>
      </c>
      <c r="E21" s="27">
        <v>0</v>
      </c>
      <c r="F21" s="28">
        <v>49.43</v>
      </c>
      <c r="G21" s="7" t="e">
        <f t="shared" si="3"/>
        <v>#DIV/0!</v>
      </c>
      <c r="H21" s="11">
        <v>0</v>
      </c>
      <c r="I21" s="9">
        <v>0</v>
      </c>
      <c r="J21" s="9">
        <v>31.79</v>
      </c>
      <c r="K21" s="9" t="e">
        <f t="shared" ref="K21" si="5">J21/H21</f>
        <v>#DIV/0!</v>
      </c>
    </row>
    <row r="22" spans="1:11" x14ac:dyDescent="0.25">
      <c r="A22" s="23"/>
      <c r="B22" s="5" t="s">
        <v>18</v>
      </c>
      <c r="C22" s="17">
        <v>35</v>
      </c>
      <c r="D22" s="10">
        <v>0</v>
      </c>
      <c r="E22" s="7">
        <v>0</v>
      </c>
      <c r="F22" s="7">
        <v>0</v>
      </c>
      <c r="G22" s="7" t="e">
        <f t="shared" si="3"/>
        <v>#DIV/0!</v>
      </c>
      <c r="H22" s="11">
        <v>0</v>
      </c>
      <c r="I22" s="9">
        <v>0</v>
      </c>
      <c r="J22" s="9">
        <v>0</v>
      </c>
      <c r="K22" s="9" t="e">
        <f t="shared" si="4"/>
        <v>#DIV/0!</v>
      </c>
    </row>
    <row r="23" spans="1:11" x14ac:dyDescent="0.25">
      <c r="A23" s="23"/>
      <c r="B23" s="5" t="s">
        <v>14</v>
      </c>
      <c r="C23" s="5"/>
      <c r="D23" s="13">
        <f>SUM(D15:D22)</f>
        <v>212</v>
      </c>
      <c r="E23" s="14">
        <f>SUM(E15:E22)</f>
        <v>14279.55</v>
      </c>
      <c r="F23" s="14">
        <f>SUM(F15:F22)</f>
        <v>3836.15</v>
      </c>
      <c r="G23" s="14">
        <f>F23/D23</f>
        <v>18.09504716981132</v>
      </c>
      <c r="H23" s="15">
        <f>SUM(H15:H22)</f>
        <v>62</v>
      </c>
      <c r="I23" s="16">
        <f>SUM(I15:I22)</f>
        <v>4469.3500000000004</v>
      </c>
      <c r="J23" s="16">
        <f>SUM(J15:J22)</f>
        <v>3929.1400000000003</v>
      </c>
      <c r="K23" s="16">
        <f t="shared" ref="K23" si="6">J23/H23</f>
        <v>63.373225806451622</v>
      </c>
    </row>
    <row r="24" spans="1:11" x14ac:dyDescent="0.25">
      <c r="A24" s="23"/>
      <c r="B24" s="18"/>
      <c r="C24" s="18"/>
      <c r="D24" s="19"/>
      <c r="E24" s="20"/>
      <c r="F24" s="20"/>
      <c r="G24" s="20"/>
      <c r="H24" s="19"/>
      <c r="I24" s="20"/>
      <c r="J24" s="20"/>
      <c r="K24" s="20"/>
    </row>
    <row r="25" spans="1:11" x14ac:dyDescent="0.25">
      <c r="A25" s="23"/>
      <c r="B25" s="18"/>
      <c r="D25" s="1" t="s">
        <v>0</v>
      </c>
      <c r="E25" s="2"/>
      <c r="F25" s="2"/>
      <c r="G25" s="2"/>
      <c r="H25" s="3" t="s">
        <v>1</v>
      </c>
      <c r="I25" s="4"/>
      <c r="J25" s="4"/>
      <c r="K25" s="4"/>
    </row>
    <row r="26" spans="1:11" x14ac:dyDescent="0.25">
      <c r="A26" s="23"/>
      <c r="C26" s="5" t="s">
        <v>15</v>
      </c>
      <c r="D26" s="6" t="s">
        <v>3</v>
      </c>
      <c r="E26" s="7" t="s">
        <v>4</v>
      </c>
      <c r="F26" s="7" t="s">
        <v>5</v>
      </c>
      <c r="G26" s="7" t="s">
        <v>6</v>
      </c>
      <c r="H26" s="8" t="s">
        <v>7</v>
      </c>
      <c r="I26" s="9" t="s">
        <v>4</v>
      </c>
      <c r="J26" s="9" t="s">
        <v>5</v>
      </c>
      <c r="K26" s="9" t="s">
        <v>6</v>
      </c>
    </row>
    <row r="27" spans="1:11" x14ac:dyDescent="0.25">
      <c r="A27" s="23" t="s">
        <v>16</v>
      </c>
      <c r="B27" s="5" t="s">
        <v>8</v>
      </c>
      <c r="C27" s="17">
        <v>25</v>
      </c>
      <c r="D27" s="21" t="e">
        <f t="shared" ref="D27:K35" si="7">(D15-D3)/D15</f>
        <v>#DIV/0!</v>
      </c>
      <c r="E27" s="21" t="e">
        <f t="shared" si="7"/>
        <v>#DIV/0!</v>
      </c>
      <c r="F27" s="21">
        <f t="shared" si="7"/>
        <v>-1.550125313283208</v>
      </c>
      <c r="G27" s="21" t="e">
        <f t="shared" si="7"/>
        <v>#DIV/0!</v>
      </c>
      <c r="H27" s="21" t="e">
        <f t="shared" si="7"/>
        <v>#DIV/0!</v>
      </c>
      <c r="I27" s="21" t="e">
        <f t="shared" si="7"/>
        <v>#DIV/0!</v>
      </c>
      <c r="J27" s="21">
        <f t="shared" si="7"/>
        <v>2.1276595744680753E-2</v>
      </c>
      <c r="K27" s="21" t="e">
        <f t="shared" si="7"/>
        <v>#DIV/0!</v>
      </c>
    </row>
    <row r="28" spans="1:11" x14ac:dyDescent="0.25">
      <c r="A28" s="23"/>
      <c r="B28" s="5" t="s">
        <v>9</v>
      </c>
      <c r="C28" s="17">
        <v>50</v>
      </c>
      <c r="D28" s="21">
        <f t="shared" si="7"/>
        <v>-0.10810810810810811</v>
      </c>
      <c r="E28" s="21">
        <f t="shared" si="7"/>
        <v>1.6417992220172699E-2</v>
      </c>
      <c r="F28" s="21">
        <f t="shared" si="7"/>
        <v>-9.3166618202966039E-2</v>
      </c>
      <c r="G28" s="21">
        <f t="shared" si="7"/>
        <v>1.3483783572933018E-2</v>
      </c>
      <c r="H28" s="21">
        <f t="shared" si="7"/>
        <v>-0.15</v>
      </c>
      <c r="I28" s="21">
        <f t="shared" si="7"/>
        <v>8.3835205992509418E-2</v>
      </c>
      <c r="J28" s="21">
        <f t="shared" si="7"/>
        <v>-0.20322509828966009</v>
      </c>
      <c r="K28" s="21">
        <f t="shared" si="7"/>
        <v>-4.6282694164921805E-2</v>
      </c>
    </row>
    <row r="29" spans="1:11" x14ac:dyDescent="0.25">
      <c r="A29" s="23"/>
      <c r="B29" s="5" t="s">
        <v>10</v>
      </c>
      <c r="C29" s="17">
        <v>31</v>
      </c>
      <c r="D29" s="21" t="e">
        <f t="shared" si="7"/>
        <v>#DIV/0!</v>
      </c>
      <c r="E29" s="21" t="e">
        <f t="shared" si="7"/>
        <v>#DIV/0!</v>
      </c>
      <c r="F29" s="21">
        <f t="shared" si="7"/>
        <v>0.66152338966446234</v>
      </c>
      <c r="G29" s="21" t="e">
        <f t="shared" si="7"/>
        <v>#DIV/0!</v>
      </c>
      <c r="H29" s="21" t="e">
        <f t="shared" si="7"/>
        <v>#DIV/0!</v>
      </c>
      <c r="I29" s="21" t="e">
        <f t="shared" si="7"/>
        <v>#DIV/0!</v>
      </c>
      <c r="J29" s="21" t="e">
        <f t="shared" si="7"/>
        <v>#DIV/0!</v>
      </c>
      <c r="K29" s="21" t="e">
        <f t="shared" si="7"/>
        <v>#DIV/0!</v>
      </c>
    </row>
    <row r="30" spans="1:11" x14ac:dyDescent="0.25">
      <c r="A30" s="23"/>
      <c r="B30" s="5" t="s">
        <v>11</v>
      </c>
      <c r="C30" s="17">
        <v>15</v>
      </c>
      <c r="D30" s="21" t="e">
        <f t="shared" si="7"/>
        <v>#DIV/0!</v>
      </c>
      <c r="E30" s="21" t="e">
        <f t="shared" si="7"/>
        <v>#DIV/0!</v>
      </c>
      <c r="F30" s="21" t="e">
        <f t="shared" si="7"/>
        <v>#DIV/0!</v>
      </c>
      <c r="G30" s="21" t="e">
        <f t="shared" si="7"/>
        <v>#DIV/0!</v>
      </c>
      <c r="H30" s="21" t="e">
        <f t="shared" si="7"/>
        <v>#DIV/0!</v>
      </c>
      <c r="I30" s="21" t="e">
        <f t="shared" si="7"/>
        <v>#DIV/0!</v>
      </c>
      <c r="J30" s="21" t="e">
        <f t="shared" si="7"/>
        <v>#DIV/0!</v>
      </c>
      <c r="K30" s="21" t="e">
        <f t="shared" si="7"/>
        <v>#DIV/0!</v>
      </c>
    </row>
    <row r="31" spans="1:11" x14ac:dyDescent="0.25">
      <c r="A31" s="23"/>
      <c r="B31" s="5" t="s">
        <v>12</v>
      </c>
      <c r="C31" s="17">
        <v>42</v>
      </c>
      <c r="D31" s="21">
        <f t="shared" si="7"/>
        <v>0.15384615384615385</v>
      </c>
      <c r="E31" s="21">
        <f t="shared" si="7"/>
        <v>0.12827808198904839</v>
      </c>
      <c r="F31" s="21">
        <f t="shared" si="7"/>
        <v>0.26237065318784314</v>
      </c>
      <c r="G31" s="21">
        <f t="shared" si="7"/>
        <v>0.12825622649472368</v>
      </c>
      <c r="H31" s="21">
        <f t="shared" si="7"/>
        <v>-0.42857142857142855</v>
      </c>
      <c r="I31" s="21">
        <f t="shared" si="7"/>
        <v>-0.207176343310494</v>
      </c>
      <c r="J31" s="21">
        <f t="shared" si="7"/>
        <v>-5.9824768814679158E-2</v>
      </c>
      <c r="K31" s="21">
        <f t="shared" si="7"/>
        <v>0.25812266182972454</v>
      </c>
    </row>
    <row r="32" spans="1:11" x14ac:dyDescent="0.25">
      <c r="A32" s="23"/>
      <c r="B32" s="5" t="s">
        <v>13</v>
      </c>
      <c r="C32" s="17">
        <v>35</v>
      </c>
      <c r="D32" s="21">
        <f t="shared" si="7"/>
        <v>0.23529411764705882</v>
      </c>
      <c r="E32" s="21">
        <f t="shared" si="7"/>
        <v>0.23418072384572738</v>
      </c>
      <c r="F32" s="21">
        <f t="shared" si="7"/>
        <v>0.13509326192219476</v>
      </c>
      <c r="G32" s="21">
        <f t="shared" si="7"/>
        <v>-0.13103188825559131</v>
      </c>
      <c r="H32" s="21">
        <f t="shared" si="7"/>
        <v>8.5714285714285715E-2</v>
      </c>
      <c r="I32" s="21">
        <f t="shared" si="7"/>
        <v>0.11398040961709706</v>
      </c>
      <c r="J32" s="21">
        <f t="shared" si="7"/>
        <v>0.19240199309272102</v>
      </c>
      <c r="K32" s="21">
        <f t="shared" si="7"/>
        <v>0.11668967994516366</v>
      </c>
    </row>
    <row r="33" spans="1:11" x14ac:dyDescent="0.25">
      <c r="A33" s="23"/>
      <c r="B33" s="5" t="s">
        <v>17</v>
      </c>
      <c r="C33" s="17">
        <v>35</v>
      </c>
      <c r="D33" s="21" t="e">
        <f t="shared" si="7"/>
        <v>#DIV/0!</v>
      </c>
      <c r="E33" s="21" t="e">
        <f t="shared" si="7"/>
        <v>#DIV/0!</v>
      </c>
      <c r="F33" s="21">
        <f t="shared" si="7"/>
        <v>0.18733562613797286</v>
      </c>
      <c r="G33" s="21" t="e">
        <f t="shared" si="7"/>
        <v>#DIV/0!</v>
      </c>
      <c r="H33" s="21" t="e">
        <f t="shared" si="7"/>
        <v>#DIV/0!</v>
      </c>
      <c r="I33" s="21" t="e">
        <f t="shared" si="7"/>
        <v>#DIV/0!</v>
      </c>
      <c r="J33" s="21">
        <f t="shared" si="7"/>
        <v>-0.11544510852469336</v>
      </c>
      <c r="K33" s="21" t="e">
        <f t="shared" si="7"/>
        <v>#DIV/0!</v>
      </c>
    </row>
    <row r="34" spans="1:11" x14ac:dyDescent="0.25">
      <c r="A34" s="23"/>
      <c r="B34" s="5" t="s">
        <v>18</v>
      </c>
      <c r="C34" s="17">
        <v>35</v>
      </c>
      <c r="D34" s="21" t="e">
        <f t="shared" si="7"/>
        <v>#DIV/0!</v>
      </c>
      <c r="E34" s="21" t="e">
        <f t="shared" si="7"/>
        <v>#DIV/0!</v>
      </c>
      <c r="F34" s="21" t="e">
        <f t="shared" si="7"/>
        <v>#DIV/0!</v>
      </c>
      <c r="G34" s="21" t="e">
        <f t="shared" si="7"/>
        <v>#DIV/0!</v>
      </c>
      <c r="H34" s="21" t="e">
        <f t="shared" si="7"/>
        <v>#DIV/0!</v>
      </c>
      <c r="I34" s="21" t="e">
        <f t="shared" si="7"/>
        <v>#DIV/0!</v>
      </c>
      <c r="J34" s="21" t="e">
        <f t="shared" si="7"/>
        <v>#DIV/0!</v>
      </c>
      <c r="K34" s="21" t="e">
        <f t="shared" si="7"/>
        <v>#DIV/0!</v>
      </c>
    </row>
    <row r="35" spans="1:11" x14ac:dyDescent="0.25">
      <c r="A35" s="23"/>
      <c r="B35" s="5" t="s">
        <v>14</v>
      </c>
      <c r="C35" s="5"/>
      <c r="D35" s="22">
        <f t="shared" si="7"/>
        <v>0.16037735849056603</v>
      </c>
      <c r="E35" s="22">
        <f t="shared" si="7"/>
        <v>0.17238358351628724</v>
      </c>
      <c r="F35" s="22">
        <f t="shared" si="7"/>
        <v>0.14798952074345373</v>
      </c>
      <c r="G35" s="22">
        <f t="shared" si="7"/>
        <v>-1.4754053945998992E-2</v>
      </c>
      <c r="H35" s="22">
        <f t="shared" si="7"/>
        <v>-4.8387096774193547E-2</v>
      </c>
      <c r="I35" s="22">
        <f t="shared" si="7"/>
        <v>6.2872677234944677E-2</v>
      </c>
      <c r="J35" s="22">
        <f t="shared" si="7"/>
        <v>4.9285594303079182E-2</v>
      </c>
      <c r="K35" s="22">
        <f t="shared" si="7"/>
        <v>9.3164720719860206E-2</v>
      </c>
    </row>
  </sheetData>
  <conditionalFormatting sqref="D27:K35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7:G35 J27:K3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2025-04-07T13:08:35Z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