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F5FCBE8-F369-4414-9591-D1CC5F157A61}" xr6:coauthVersionLast="47" xr6:coauthVersionMax="47" xr10:uidLastSave="{00000000-0000-0000-0000-000000000000}"/>
  <bookViews>
    <workbookView xWindow="2505" yWindow="2505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<sst xmlns="http://schemas.openxmlformats.org/spreadsheetml/2006/main" count="66" uniqueCount="20">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</sst>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10" workbookViewId="0">
      <selection activeCell="G22" sqref="G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45893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45899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40</v>
      </c>
      <c r="E4" s="7">
        <v>2737.8</v>
      </c>
      <c r="F4" s="7">
        <v>580.99</v>
      </c>
      <c r="G4" s="7">
        <f t="shared" si="0"/>
        <v>14.524750000000001</v>
      </c>
      <c r="H4" s="11">
        <v>7</v>
      </c>
      <c r="I4" s="9">
        <v>469.65</v>
      </c>
      <c r="J4" s="9">
        <v>634.94000000000005</v>
      </c>
      <c r="K4" s="9">
        <f t="shared" si="1"/>
        <v>90.705714285714294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48</v>
      </c>
      <c r="E7" s="27">
        <v>3227.45</v>
      </c>
      <c r="F7" s="27">
        <v>636.07000000000005</v>
      </c>
      <c r="G7" s="7">
        <f t="shared" si="0"/>
        <v>13.251458333333334</v>
      </c>
      <c r="H7" s="11">
        <v>8</v>
      </c>
      <c r="I7" s="9">
        <v>569.54999999999995</v>
      </c>
      <c r="J7" s="9">
        <v>801.58</v>
      </c>
      <c r="K7" s="9">
        <f t="shared" si="1"/>
        <v>100.19750000000001</v>
      </c>
    </row>
    <row r="8" spans="1:11" x14ac:dyDescent="0.25">
      <c r="A8" s="23"/>
      <c r="B8" s="5" t="s">
        <v>13</v>
      </c>
      <c r="C8" s="17">
        <v>35</v>
      </c>
      <c r="D8" s="10">
        <v>107</v>
      </c>
      <c r="E8" s="7">
        <v>7167.55</v>
      </c>
      <c r="F8" s="7">
        <v>2734.6000000000004</v>
      </c>
      <c r="G8" s="7">
        <f t="shared" si="0"/>
        <v>25.557009345794395</v>
      </c>
      <c r="H8" s="12">
        <v>25</v>
      </c>
      <c r="I8" s="9">
        <v>1576.9</v>
      </c>
      <c r="J8" s="9">
        <v>1420.01</v>
      </c>
      <c r="K8" s="9">
        <f t="shared" si="1"/>
        <v>56.800399999999996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0</v>
      </c>
      <c r="E11" s="7">
        <v>0</v>
      </c>
      <c r="F11" s="7">
        <v>10.61</v>
      </c>
      <c r="G11" s="7" t="e">
        <f t="shared" si="0"/>
        <v>#DIV/0!</v>
      </c>
      <c r="H11" s="11">
        <v>0</v>
      </c>
      <c r="I11" s="9">
        <v>0</v>
      </c>
      <c r="J11" s="9">
        <v>137.52000000000001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195</v>
      </c>
      <c r="E12" s="14">
        <f>SUM(E3:E11)</f>
        <v>13132.8</v>
      </c>
      <c r="F12" s="14">
        <f>SUM(F3:F11)</f>
        <v>3962.2700000000004</v>
      </c>
      <c r="G12" s="14">
        <f>F12/D12</f>
        <v>20.319333333333336</v>
      </c>
      <c r="H12" s="15">
        <f>SUM(H3:H11)</f>
        <v>40</v>
      </c>
      <c r="I12" s="16">
        <f>SUM(I3:I11)</f>
        <v>2616.1</v>
      </c>
      <c r="J12" s="16">
        <f>SUM(J3:J11)</f>
        <v>2994.0499999999997</v>
      </c>
      <c r="K12" s="16">
        <f t="shared" ref="K12" si="2">J12/H12</f>
        <v>74.851249999999993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45900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45906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32</v>
      </c>
      <c r="E17" s="7">
        <v>2248.15</v>
      </c>
      <c r="F17" s="7">
        <v>482.41</v>
      </c>
      <c r="G17" s="7">
        <f t="shared" si="3"/>
        <v>15.075312500000001</v>
      </c>
      <c r="H17" s="11">
        <v>13</v>
      </c>
      <c r="I17" s="9">
        <v>809.35</v>
      </c>
      <c r="J17" s="9">
        <v>595.0200000000001</v>
      </c>
      <c r="K17" s="9">
        <f t="shared" si="4"/>
        <v>45.77076923076924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36</v>
      </c>
      <c r="E20" s="27">
        <v>2408.0500000000002</v>
      </c>
      <c r="F20" s="27">
        <v>644.17999999999995</v>
      </c>
      <c r="G20" s="7">
        <f t="shared" si="3"/>
        <v>17.893888888888888</v>
      </c>
      <c r="H20" s="11">
        <v>8</v>
      </c>
      <c r="I20" s="9">
        <v>544.70000000000005</v>
      </c>
      <c r="J20" s="9">
        <v>660.9</v>
      </c>
      <c r="K20" s="9">
        <f t="shared" si="4"/>
        <v>82.612499999999997</v>
      </c>
    </row>
    <row r="21" spans="1:11" x14ac:dyDescent="0.25">
      <c r="A21" s="23"/>
      <c r="B21" s="5" t="s">
        <v>13</v>
      </c>
      <c r="C21" s="17">
        <v>35</v>
      </c>
      <c r="D21" s="10">
        <v>155</v>
      </c>
      <c r="E21" s="7">
        <v>10603.75</v>
      </c>
      <c r="F21" s="7">
        <v>2903.77</v>
      </c>
      <c r="G21" s="7">
        <f t="shared" si="3"/>
        <v>18.733999999999998</v>
      </c>
      <c r="H21" s="12">
        <v>17</v>
      </c>
      <c r="I21" s="9">
        <v>1038</v>
      </c>
      <c r="J21" s="9">
        <v>1578.15</v>
      </c>
      <c r="K21" s="9">
        <f t="shared" si="4"/>
        <v>92.832352941176481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35</v>
      </c>
      <c r="F24" s="7">
        <v>11.54</v>
      </c>
      <c r="G24" s="7">
        <f t="shared" si="3"/>
        <v>11.54</v>
      </c>
      <c r="H24" s="11">
        <v>0</v>
      </c>
      <c r="I24" s="9">
        <v>0</v>
      </c>
      <c r="J24" s="9">
        <v>131.91999999999999</v>
      </c>
      <c r="K24" s="9" t="e">
        <f t="shared" si="4"/>
        <v>#DIV/0!</v>
      </c>
    </row>
    <row r="25" spans="1:11" x14ac:dyDescent="0.25">
      <c r="A25" s="23"/>
      <c r="B25" s="5" t="s">
        <v>14</v>
      </c>
      <c r="C25" s="5"/>
      <c r="D25" s="13">
        <f>SUM(D16:D24)</f>
        <v>224</v>
      </c>
      <c r="E25" s="14">
        <f>SUM(E16:E24)</f>
        <v>15294.95</v>
      </c>
      <c r="F25" s="14">
        <f>SUM(F16:F24)</f>
        <v>4041.8999999999996</v>
      </c>
      <c r="G25" s="14">
        <f>F25/D25</f>
        <v>18.044196428571428</v>
      </c>
      <c r="H25" s="15">
        <f>SUM(H16:H24)</f>
        <v>38</v>
      </c>
      <c r="I25" s="16">
        <f>SUM(I16:I24)</f>
        <v>2392.0500000000002</v>
      </c>
      <c r="J25" s="16">
        <f>SUM(J16:J24)</f>
        <v>2965.9900000000002</v>
      </c>
      <c r="K25" s="16">
        <f t="shared" ref="K25" si="7">J25/H25</f>
        <v>78.052368421052634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-0.25</v>
      </c>
      <c r="E30" s="21">
        <f t="shared" si="8"/>
        <v>-0.21780130329381939</v>
      </c>
      <c r="F30" s="21">
        <f t="shared" si="8"/>
        <v>-0.20434899774051113</v>
      </c>
      <c r="G30" s="21">
        <f t="shared" si="8"/>
        <v>3.6520801807591041E-2</v>
      </c>
      <c r="H30" s="21">
        <f t="shared" si="8"/>
        <v>0.46153846153846156</v>
      </c>
      <c r="I30" s="21">
        <f t="shared" si="8"/>
        <v>0.41971952801630941</v>
      </c>
      <c r="J30" s="21">
        <f>(J17-J4)/J17</f>
        <v>-6.7090181842627064E-2</v>
      </c>
      <c r="K30" s="21">
        <f t="shared" si="8"/>
        <v>-0.98173890913630735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-0.33333333333333331</v>
      </c>
      <c r="E33" s="21">
        <f t="shared" si="8"/>
        <v>-0.34027532650900089</v>
      </c>
      <c r="F33" s="21">
        <f t="shared" si="8"/>
        <v>1.2589648855909685E-2</v>
      </c>
      <c r="G33" s="21">
        <f t="shared" si="8"/>
        <v>0.25944223664193233</v>
      </c>
      <c r="H33" s="21">
        <f t="shared" si="8"/>
        <v>0</v>
      </c>
      <c r="I33" s="21">
        <f t="shared" si="8"/>
        <v>-4.5621442996144498E-2</v>
      </c>
      <c r="J33" s="21">
        <f t="shared" si="8"/>
        <v>-0.21286124981086407</v>
      </c>
      <c r="K33" s="21">
        <f t="shared" si="8"/>
        <v>-0.21286124981086407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0.30967741935483872</v>
      </c>
      <c r="E34" s="21">
        <f t="shared" si="8"/>
        <v>0.32405516916185312</v>
      </c>
      <c r="F34" s="21">
        <f t="shared" si="8"/>
        <v>5.8258746388315748E-2</v>
      </c>
      <c r="G34" s="21">
        <f t="shared" si="8"/>
        <v>-0.36420461971786044</v>
      </c>
      <c r="H34" s="21">
        <f t="shared" si="8"/>
        <v>-0.47058823529411764</v>
      </c>
      <c r="I34" s="21">
        <f t="shared" si="8"/>
        <v>-0.51917148362235077</v>
      </c>
      <c r="J34" s="21">
        <f t="shared" si="8"/>
        <v>0.1002059373316859</v>
      </c>
      <c r="K34" s="21">
        <f t="shared" si="8"/>
        <v>0.38814003738554648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1</v>
      </c>
      <c r="E37" s="21">
        <f t="shared" si="9"/>
        <v>1</v>
      </c>
      <c r="F37" s="21">
        <f t="shared" si="9"/>
        <v>8.0589254766031182E-2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>
        <f t="shared" si="9"/>
        <v>-4.2449969678593262E-2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0.12946428571428573</v>
      </c>
      <c r="E38" s="22">
        <f t="shared" si="9"/>
        <v>0.14136365270890075</v>
      </c>
      <c r="F38" s="22">
        <f t="shared" si="9"/>
        <v>1.9701130656374282E-2</v>
      </c>
      <c r="G38" s="22">
        <f t="shared" si="9"/>
        <v>-0.12608690632293409</v>
      </c>
      <c r="H38" s="22">
        <f t="shared" si="9"/>
        <v>-5.2631578947368418E-2</v>
      </c>
      <c r="I38" s="22">
        <f t="shared" si="9"/>
        <v>-9.366443009134412E-2</v>
      </c>
      <c r="J38" s="22">
        <f t="shared" si="9"/>
        <v>-9.4605848300228553E-3</v>
      </c>
      <c r="K38" s="22">
        <f t="shared" si="9"/>
        <v>4.1012444411478242E-2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2025-09-08T14:58:40Z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