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0D332955-CDB4-4BA3-A524-00A8DAD6100B}" xr6:coauthVersionLast="47" xr6:coauthVersionMax="47" xr10:uidLastSave="{00000000-0000-0000-0000-000000000000}"/>
  <bookViews>
    <workbookView xWindow="735" yWindow="735" windowWidth="24660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2" l="1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D30" i="2"/>
  <c r="D29" i="2"/>
  <c r="J30" i="2" l="1"/>
  <c r="J36" i="2"/>
  <c r="I36" i="2"/>
  <c r="H36" i="2"/>
  <c r="F36" i="2"/>
  <c r="E36" i="2"/>
  <c r="D36" i="2"/>
  <c r="K23" i="2" l="1"/>
  <c r="K36" i="2" s="1"/>
  <c r="G23" i="2"/>
  <c r="G36" i="2" s="1"/>
  <c r="J12" i="2" l="1"/>
  <c r="I12" i="2"/>
  <c r="H12" i="2"/>
  <c r="F12" i="2"/>
  <c r="E12" i="2"/>
  <c r="D12" i="2"/>
  <c r="G24" i="2"/>
  <c r="G22" i="2"/>
  <c r="G21" i="2"/>
  <c r="G20" i="2"/>
  <c r="G18" i="2"/>
  <c r="G17" i="2"/>
  <c r="G16" i="2"/>
  <c r="K12" i="2" l="1"/>
  <c r="G12" i="2"/>
  <c r="G19" i="2"/>
  <c r="K19" i="2" l="1"/>
  <c r="J35" i="2" l="1"/>
  <c r="I35" i="2"/>
  <c r="H35" i="2"/>
  <c r="F35" i="2"/>
  <c r="E35" i="2"/>
  <c r="D35" i="2"/>
  <c r="K22" i="2"/>
  <c r="K35" i="2" s="1"/>
  <c r="G35" i="2"/>
  <c r="K24" i="2" l="1"/>
  <c r="K21" i="2"/>
  <c r="K20" i="2"/>
  <c r="K18" i="2"/>
  <c r="K17" i="2"/>
  <c r="K16" i="2"/>
  <c r="J34" i="2" l="1"/>
  <c r="I34" i="2"/>
  <c r="H34" i="2"/>
  <c r="F34" i="2"/>
  <c r="E34" i="2"/>
  <c r="D34" i="2"/>
  <c r="K34" i="2" l="1"/>
  <c r="G34" i="2"/>
  <c r="H25" i="2" l="1"/>
  <c r="J37" i="2" l="1"/>
  <c r="I37" i="2"/>
  <c r="H37" i="2"/>
  <c r="F37" i="2"/>
  <c r="E37" i="2"/>
  <c r="D37" i="2"/>
  <c r="J33" i="2"/>
  <c r="I33" i="2"/>
  <c r="H33" i="2"/>
  <c r="F33" i="2"/>
  <c r="E33" i="2"/>
  <c r="D33" i="2"/>
  <c r="J32" i="2"/>
  <c r="I32" i="2"/>
  <c r="H32" i="2"/>
  <c r="F32" i="2"/>
  <c r="E32" i="2"/>
  <c r="D32" i="2"/>
  <c r="J31" i="2"/>
  <c r="I31" i="2"/>
  <c r="H31" i="2"/>
  <c r="F31" i="2"/>
  <c r="E31" i="2"/>
  <c r="D31" i="2"/>
  <c r="I30" i="2"/>
  <c r="H30" i="2"/>
  <c r="F30" i="2"/>
  <c r="E30" i="2"/>
  <c r="J29" i="2"/>
  <c r="I29" i="2"/>
  <c r="H29" i="2"/>
  <c r="F29" i="2"/>
  <c r="E29" i="2"/>
  <c r="J25" i="2"/>
  <c r="I25" i="2"/>
  <c r="H38" i="2"/>
  <c r="F25" i="2"/>
  <c r="E25" i="2"/>
  <c r="D25" i="2"/>
  <c r="G31" i="2"/>
  <c r="G29" i="2"/>
  <c r="E38" i="2" l="1"/>
  <c r="D38" i="2"/>
  <c r="G37" i="2"/>
  <c r="G30" i="2"/>
  <c r="K29" i="2"/>
  <c r="G33" i="2"/>
  <c r="K33" i="2"/>
  <c r="K30" i="2"/>
  <c r="K37" i="2"/>
  <c r="G25" i="2"/>
  <c r="I38" i="2"/>
  <c r="K31" i="2"/>
  <c r="J38" i="2"/>
  <c r="G32" i="2"/>
  <c r="K32" i="2"/>
  <c r="K25" i="2"/>
  <c r="F38" i="2"/>
  <c r="K38" i="2" l="1"/>
  <c r="G38" i="2"/>
</calcChain>
</file>

<file path=xl/sharedStrings.xml><?xml version="1.0" encoding="utf-8"?>
<sst xmlns="http://schemas.openxmlformats.org/spreadsheetml/2006/main" count="66" uniqueCount="20">
  <si>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</si>
  <si>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</si>
  <si>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</si>
  <si>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</si>
  <si>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</si>
  <si>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</si>
  <si>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</si>
  <si>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</si>
  <si>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</si>
  <si>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</si>
  <si>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</si>
  <si>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</si>
  <si>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</si>
  <si>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</si>
  <si>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</si>
  <si>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</si>
  <si>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</si>
  <si>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</si>
  <si>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</si>
  <si>
    <t>AromaTru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</si>
</sst>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8"/>
  <sheetViews>
    <sheetView tabSelected="1" workbookViewId="0">
      <selection activeCell="H24" sqref="H24:J24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45844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45850</v>
      </c>
      <c r="B3" s="5" t="s">
        <v>8</v>
      </c>
      <c r="C3" s="17">
        <v>25</v>
      </c>
      <c r="D3" s="10">
        <v>0</v>
      </c>
      <c r="E3" s="7">
        <v>0</v>
      </c>
      <c r="F3" s="7">
        <v>0</v>
      </c>
      <c r="G3" s="7" t="e">
        <f t="shared" ref="G3:G11" si="0">F3/D3</f>
        <v>#DIV/0!</v>
      </c>
      <c r="H3" s="12">
        <v>0</v>
      </c>
      <c r="I3" s="9">
        <v>0</v>
      </c>
      <c r="J3" s="9">
        <v>0</v>
      </c>
      <c r="K3" s="9" t="e">
        <f t="shared" ref="K3:K11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42</v>
      </c>
      <c r="E4" s="7">
        <v>2987.6</v>
      </c>
      <c r="F4" s="7">
        <v>756.92</v>
      </c>
      <c r="G4" s="7">
        <f t="shared" si="0"/>
        <v>18.021904761904761</v>
      </c>
      <c r="H4" s="11">
        <v>10</v>
      </c>
      <c r="I4" s="9">
        <v>709.45</v>
      </c>
      <c r="J4" s="9">
        <v>547.69000000000005</v>
      </c>
      <c r="K4" s="9">
        <f t="shared" si="1"/>
        <v>54.769000000000005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0</v>
      </c>
      <c r="G5" s="7" t="e">
        <f t="shared" si="0"/>
        <v>#DIV/0!</v>
      </c>
      <c r="H5" s="11">
        <v>12</v>
      </c>
      <c r="I5" s="9">
        <v>838.8</v>
      </c>
      <c r="J5" s="9">
        <v>130.36000000000001</v>
      </c>
      <c r="K5" s="9">
        <f t="shared" si="1"/>
        <v>10.863333333333335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6">
        <v>50</v>
      </c>
      <c r="E7" s="27">
        <v>3367.25</v>
      </c>
      <c r="F7" s="27">
        <v>897.86</v>
      </c>
      <c r="G7" s="7">
        <f t="shared" si="0"/>
        <v>17.9572</v>
      </c>
      <c r="H7" s="11">
        <v>12</v>
      </c>
      <c r="I7" s="9">
        <v>839.4</v>
      </c>
      <c r="J7" s="9">
        <v>716.24</v>
      </c>
      <c r="K7" s="9">
        <f t="shared" si="1"/>
        <v>59.686666666666667</v>
      </c>
    </row>
    <row r="8" spans="1:11" x14ac:dyDescent="0.25">
      <c r="A8" s="23"/>
      <c r="B8" s="5" t="s">
        <v>13</v>
      </c>
      <c r="C8" s="17">
        <v>35</v>
      </c>
      <c r="D8" s="10">
        <v>140</v>
      </c>
      <c r="E8" s="7">
        <v>9791.25</v>
      </c>
      <c r="F8" s="7">
        <v>3154.91</v>
      </c>
      <c r="G8" s="7">
        <f t="shared" si="0"/>
        <v>22.535071428571428</v>
      </c>
      <c r="H8" s="12">
        <v>24</v>
      </c>
      <c r="I8" s="9">
        <v>1588.9</v>
      </c>
      <c r="J8" s="9">
        <v>1455.7</v>
      </c>
      <c r="K8" s="9">
        <f t="shared" si="1"/>
        <v>60.654166666666669</v>
      </c>
    </row>
    <row r="9" spans="1:11" x14ac:dyDescent="0.25">
      <c r="A9" s="23"/>
      <c r="B9" s="5" t="s">
        <v>17</v>
      </c>
      <c r="C9" s="17">
        <v>35</v>
      </c>
      <c r="D9" s="6">
        <v>0</v>
      </c>
      <c r="E9" s="27">
        <v>0</v>
      </c>
      <c r="F9" s="28">
        <v>0</v>
      </c>
      <c r="G9" s="7" t="e">
        <f t="shared" si="0"/>
        <v>#DIV/0!</v>
      </c>
      <c r="H9" s="11">
        <v>0</v>
      </c>
      <c r="I9" s="9">
        <v>0</v>
      </c>
      <c r="J9" s="9">
        <v>0</v>
      </c>
      <c r="K9" s="9" t="e">
        <f t="shared" si="1"/>
        <v>#DIV/0!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0</v>
      </c>
      <c r="G10" s="7" t="e">
        <f t="shared" si="0"/>
        <v>#DIV/0!</v>
      </c>
      <c r="H10" s="11">
        <v>0</v>
      </c>
      <c r="I10" s="9">
        <v>0</v>
      </c>
      <c r="J10" s="9">
        <v>0</v>
      </c>
      <c r="K10" s="9" t="e">
        <f t="shared" si="1"/>
        <v>#DIV/0!</v>
      </c>
    </row>
    <row r="11" spans="1:11" x14ac:dyDescent="0.25">
      <c r="A11" s="23"/>
      <c r="B11" s="5" t="s">
        <v>19</v>
      </c>
      <c r="C11" s="17">
        <v>35</v>
      </c>
      <c r="D11" s="10">
        <v>11</v>
      </c>
      <c r="E11" s="7">
        <v>491</v>
      </c>
      <c r="F11" s="7">
        <v>71.510000000000005</v>
      </c>
      <c r="G11" s="7">
        <f t="shared" si="0"/>
        <v>6.500909090909091</v>
      </c>
      <c r="H11" s="11">
        <v>0</v>
      </c>
      <c r="I11" s="9">
        <v>0</v>
      </c>
      <c r="J11" s="9">
        <v>159.24</v>
      </c>
      <c r="K11" s="9" t="e">
        <f t="shared" si="1"/>
        <v>#DIV/0!</v>
      </c>
    </row>
    <row r="12" spans="1:11" x14ac:dyDescent="0.25">
      <c r="A12" s="23"/>
      <c r="B12" s="5" t="s">
        <v>14</v>
      </c>
      <c r="C12" s="5"/>
      <c r="D12" s="13">
        <f>SUM(D3:D11)</f>
        <v>243</v>
      </c>
      <c r="E12" s="14">
        <f>SUM(E3:E11)</f>
        <v>16637.099999999999</v>
      </c>
      <c r="F12" s="14">
        <f>SUM(F3:F11)</f>
        <v>4881.2</v>
      </c>
      <c r="G12" s="14">
        <f>F12/D12</f>
        <v>20.087242798353909</v>
      </c>
      <c r="H12" s="15">
        <f>SUM(H3:H11)</f>
        <v>58</v>
      </c>
      <c r="I12" s="16">
        <f>SUM(I3:I11)</f>
        <v>3976.55</v>
      </c>
      <c r="J12" s="16">
        <f>SUM(J3:J11)</f>
        <v>3009.2299999999996</v>
      </c>
      <c r="K12" s="16">
        <f t="shared" ref="K12" si="2">J12/H12</f>
        <v>51.883275862068956</v>
      </c>
    </row>
    <row r="13" spans="1:11" x14ac:dyDescent="0.25">
      <c r="A13" s="23"/>
    </row>
    <row r="14" spans="1:11" x14ac:dyDescent="0.25">
      <c r="A14" s="25"/>
      <c r="B14" s="24"/>
      <c r="C14" s="24"/>
      <c r="D14" s="1" t="s">
        <v>0</v>
      </c>
      <c r="E14" s="2"/>
      <c r="F14" s="2"/>
      <c r="G14" s="2"/>
      <c r="H14" s="3" t="s">
        <v>1</v>
      </c>
      <c r="I14" s="4"/>
      <c r="J14" s="4"/>
      <c r="K14" s="4"/>
    </row>
    <row r="15" spans="1:11" x14ac:dyDescent="0.25">
      <c r="A15" s="26">
        <v>45851</v>
      </c>
      <c r="B15" s="5" t="s">
        <v>2</v>
      </c>
      <c r="C15" s="5" t="s">
        <v>15</v>
      </c>
      <c r="D15" s="6" t="s">
        <v>3</v>
      </c>
      <c r="E15" s="7" t="s">
        <v>4</v>
      </c>
      <c r="F15" s="7" t="s">
        <v>5</v>
      </c>
      <c r="G15" s="7" t="s">
        <v>6</v>
      </c>
      <c r="H15" s="8" t="s">
        <v>7</v>
      </c>
      <c r="I15" s="9" t="s">
        <v>4</v>
      </c>
      <c r="J15" s="9" t="s">
        <v>5</v>
      </c>
      <c r="K15" s="9" t="s">
        <v>6</v>
      </c>
    </row>
    <row r="16" spans="1:11" x14ac:dyDescent="0.25">
      <c r="A16" s="26">
        <v>45857</v>
      </c>
      <c r="B16" s="5" t="s">
        <v>8</v>
      </c>
      <c r="C16" s="17">
        <v>25</v>
      </c>
      <c r="D16" s="10">
        <v>0</v>
      </c>
      <c r="E16" s="7">
        <v>0</v>
      </c>
      <c r="F16" s="7">
        <v>0</v>
      </c>
      <c r="G16" s="7" t="e">
        <f t="shared" ref="G16:G24" si="3">F16/D16</f>
        <v>#DIV/0!</v>
      </c>
      <c r="H16" s="12">
        <v>0</v>
      </c>
      <c r="I16" s="9">
        <v>0</v>
      </c>
      <c r="J16" s="9">
        <v>0</v>
      </c>
      <c r="K16" s="9" t="e">
        <f t="shared" ref="K16:K24" si="4">J16/H16</f>
        <v>#DIV/0!</v>
      </c>
    </row>
    <row r="17" spans="1:11" x14ac:dyDescent="0.25">
      <c r="A17" s="23"/>
      <c r="B17" s="5" t="s">
        <v>9</v>
      </c>
      <c r="C17" s="17">
        <v>50</v>
      </c>
      <c r="D17" s="10">
        <v>32</v>
      </c>
      <c r="E17" s="7">
        <v>2278.15</v>
      </c>
      <c r="F17" s="7">
        <v>476.25</v>
      </c>
      <c r="G17" s="7">
        <f t="shared" si="3"/>
        <v>14.8828125</v>
      </c>
      <c r="H17" s="11">
        <v>8</v>
      </c>
      <c r="I17" s="9">
        <v>514.65</v>
      </c>
      <c r="J17" s="9">
        <v>508.08</v>
      </c>
      <c r="K17" s="9">
        <f t="shared" si="4"/>
        <v>63.51</v>
      </c>
    </row>
    <row r="18" spans="1:11" x14ac:dyDescent="0.25">
      <c r="A18" s="23"/>
      <c r="B18" s="5" t="s">
        <v>10</v>
      </c>
      <c r="C18" s="17">
        <v>31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13</v>
      </c>
      <c r="I18" s="9">
        <v>953.6</v>
      </c>
      <c r="J18" s="9">
        <v>118.07</v>
      </c>
      <c r="K18" s="9">
        <f t="shared" si="4"/>
        <v>9.0823076923076922</v>
      </c>
    </row>
    <row r="19" spans="1:11" x14ac:dyDescent="0.25">
      <c r="A19" s="23"/>
      <c r="B19" s="5" t="s">
        <v>11</v>
      </c>
      <c r="C19" s="17">
        <v>15</v>
      </c>
      <c r="D19" s="10">
        <v>0</v>
      </c>
      <c r="E19" s="7">
        <v>0</v>
      </c>
      <c r="F19" s="7">
        <v>0</v>
      </c>
      <c r="G19" s="7" t="e">
        <f t="shared" si="3"/>
        <v>#DIV/0!</v>
      </c>
      <c r="H19" s="11">
        <v>0</v>
      </c>
      <c r="I19" s="9">
        <v>0</v>
      </c>
      <c r="J19" s="9">
        <v>0</v>
      </c>
      <c r="K19" s="9" t="e">
        <f t="shared" si="4"/>
        <v>#DIV/0!</v>
      </c>
    </row>
    <row r="20" spans="1:11" x14ac:dyDescent="0.25">
      <c r="A20" s="23"/>
      <c r="B20" s="5" t="s">
        <v>12</v>
      </c>
      <c r="C20" s="17">
        <v>42</v>
      </c>
      <c r="D20" s="6">
        <v>49</v>
      </c>
      <c r="E20" s="27">
        <v>3167.45</v>
      </c>
      <c r="F20" s="27">
        <v>779.96</v>
      </c>
      <c r="G20" s="7">
        <f t="shared" si="3"/>
        <v>15.917551020408164</v>
      </c>
      <c r="H20" s="11">
        <v>9</v>
      </c>
      <c r="I20" s="9">
        <v>664.5</v>
      </c>
      <c r="J20" s="9">
        <v>912.76</v>
      </c>
      <c r="K20" s="9">
        <f t="shared" si="4"/>
        <v>101.41777777777777</v>
      </c>
    </row>
    <row r="21" spans="1:11" x14ac:dyDescent="0.25">
      <c r="A21" s="23"/>
      <c r="B21" s="5" t="s">
        <v>13</v>
      </c>
      <c r="C21" s="17">
        <v>35</v>
      </c>
      <c r="D21" s="10">
        <v>114</v>
      </c>
      <c r="E21" s="7">
        <v>8270.5499999999993</v>
      </c>
      <c r="F21" s="7">
        <v>2704.58</v>
      </c>
      <c r="G21" s="7">
        <f t="shared" si="3"/>
        <v>23.72438596491228</v>
      </c>
      <c r="H21" s="12">
        <v>23</v>
      </c>
      <c r="I21" s="9">
        <v>1547.95</v>
      </c>
      <c r="J21" s="9">
        <v>1254.21</v>
      </c>
      <c r="K21" s="9">
        <f t="shared" si="4"/>
        <v>54.530869565217394</v>
      </c>
    </row>
    <row r="22" spans="1:11" x14ac:dyDescent="0.25">
      <c r="A22" s="23"/>
      <c r="B22" s="5" t="s">
        <v>17</v>
      </c>
      <c r="C22" s="17">
        <v>35</v>
      </c>
      <c r="D22" s="6">
        <v>0</v>
      </c>
      <c r="E22" s="27">
        <v>0</v>
      </c>
      <c r="F22" s="28">
        <v>0</v>
      </c>
      <c r="G22" s="7" t="e">
        <f t="shared" si="3"/>
        <v>#DIV/0!</v>
      </c>
      <c r="H22" s="11">
        <v>0</v>
      </c>
      <c r="I22" s="9">
        <v>0</v>
      </c>
      <c r="J22" s="9">
        <v>0</v>
      </c>
      <c r="K22" s="9" t="e">
        <f t="shared" ref="K22:K23" si="5">J22/H22</f>
        <v>#DIV/0!</v>
      </c>
    </row>
    <row r="23" spans="1:11" x14ac:dyDescent="0.25">
      <c r="A23" s="23"/>
      <c r="B23" s="5" t="s">
        <v>18</v>
      </c>
      <c r="C23" s="17">
        <v>35</v>
      </c>
      <c r="D23" s="10">
        <v>1</v>
      </c>
      <c r="E23" s="7">
        <v>54.95</v>
      </c>
      <c r="F23" s="7">
        <v>7.37</v>
      </c>
      <c r="G23" s="7">
        <f t="shared" ref="G23" si="6">F23/D23</f>
        <v>7.37</v>
      </c>
      <c r="H23" s="11">
        <v>0</v>
      </c>
      <c r="I23" s="9">
        <v>0</v>
      </c>
      <c r="J23" s="9">
        <v>19.43</v>
      </c>
      <c r="K23" s="9" t="e">
        <f t="shared" si="5"/>
        <v>#DIV/0!</v>
      </c>
    </row>
    <row r="24" spans="1:11" x14ac:dyDescent="0.25">
      <c r="A24" s="23"/>
      <c r="B24" s="5" t="s">
        <v>19</v>
      </c>
      <c r="C24" s="17">
        <v>35</v>
      </c>
      <c r="D24" s="10">
        <v>1</v>
      </c>
      <c r="E24" s="7">
        <v>96</v>
      </c>
      <c r="F24" s="7">
        <v>22.54</v>
      </c>
      <c r="G24" s="7">
        <f t="shared" si="3"/>
        <v>22.54</v>
      </c>
      <c r="H24" s="11">
        <v>1</v>
      </c>
      <c r="I24" s="9">
        <v>30</v>
      </c>
      <c r="J24" s="9">
        <v>91.27</v>
      </c>
      <c r="K24" s="9">
        <f t="shared" si="4"/>
        <v>91.27</v>
      </c>
    </row>
    <row r="25" spans="1:11" x14ac:dyDescent="0.25">
      <c r="A25" s="23"/>
      <c r="B25" s="5" t="s">
        <v>14</v>
      </c>
      <c r="C25" s="5"/>
      <c r="D25" s="13">
        <f>SUM(D16:D24)</f>
        <v>197</v>
      </c>
      <c r="E25" s="14">
        <f>SUM(E16:E24)</f>
        <v>13867.1</v>
      </c>
      <c r="F25" s="14">
        <f>SUM(F16:F24)</f>
        <v>3990.7</v>
      </c>
      <c r="G25" s="14">
        <f>F25/D25</f>
        <v>20.257360406091369</v>
      </c>
      <c r="H25" s="15">
        <f>SUM(H16:H24)</f>
        <v>54</v>
      </c>
      <c r="I25" s="16">
        <f>SUM(I16:I24)</f>
        <v>3710.7</v>
      </c>
      <c r="J25" s="16">
        <f>SUM(J16:J24)</f>
        <v>2903.8199999999997</v>
      </c>
      <c r="K25" s="16">
        <f t="shared" ref="K25" si="7">J25/H25</f>
        <v>53.774444444444441</v>
      </c>
    </row>
    <row r="26" spans="1:11" x14ac:dyDescent="0.25">
      <c r="A26" s="23"/>
      <c r="B26" s="18"/>
      <c r="C26" s="18"/>
      <c r="D26" s="19"/>
      <c r="E26" s="20"/>
      <c r="F26" s="20"/>
      <c r="G26" s="20"/>
      <c r="H26" s="19"/>
      <c r="I26" s="20"/>
      <c r="J26" s="20"/>
      <c r="K26" s="20"/>
    </row>
    <row r="27" spans="1:11" x14ac:dyDescent="0.25">
      <c r="A27" s="23"/>
      <c r="B27" s="18"/>
      <c r="D27" s="1" t="s">
        <v>0</v>
      </c>
      <c r="E27" s="2"/>
      <c r="F27" s="2"/>
      <c r="G27" s="2"/>
      <c r="H27" s="3" t="s">
        <v>1</v>
      </c>
      <c r="I27" s="4"/>
      <c r="J27" s="4"/>
      <c r="K27" s="4"/>
    </row>
    <row r="28" spans="1:11" x14ac:dyDescent="0.25">
      <c r="A28" s="23"/>
      <c r="C28" s="5" t="s">
        <v>15</v>
      </c>
      <c r="D28" s="6" t="s">
        <v>3</v>
      </c>
      <c r="E28" s="7" t="s">
        <v>4</v>
      </c>
      <c r="F28" s="7" t="s">
        <v>5</v>
      </c>
      <c r="G28" s="7" t="s">
        <v>6</v>
      </c>
      <c r="H28" s="8" t="s">
        <v>7</v>
      </c>
      <c r="I28" s="9" t="s">
        <v>4</v>
      </c>
      <c r="J28" s="9" t="s">
        <v>5</v>
      </c>
      <c r="K28" s="9" t="s">
        <v>6</v>
      </c>
    </row>
    <row r="29" spans="1:11" x14ac:dyDescent="0.25">
      <c r="A29" s="23" t="s">
        <v>16</v>
      </c>
      <c r="B29" s="5" t="s">
        <v>8</v>
      </c>
      <c r="C29" s="17">
        <v>25</v>
      </c>
      <c r="D29" s="21" t="e">
        <f>(D16-D3)/D16</f>
        <v>#DIV/0!</v>
      </c>
      <c r="E29" s="21" t="e">
        <f t="shared" ref="D29:K35" si="8">(E16-E3)/E16</f>
        <v>#DIV/0!</v>
      </c>
      <c r="F29" s="21" t="e">
        <f t="shared" si="8"/>
        <v>#DIV/0!</v>
      </c>
      <c r="G29" s="21" t="e">
        <f t="shared" si="8"/>
        <v>#DIV/0!</v>
      </c>
      <c r="H29" s="21" t="e">
        <f t="shared" si="8"/>
        <v>#DIV/0!</v>
      </c>
      <c r="I29" s="21" t="e">
        <f t="shared" si="8"/>
        <v>#DIV/0!</v>
      </c>
      <c r="J29" s="21" t="e">
        <f t="shared" si="8"/>
        <v>#DIV/0!</v>
      </c>
      <c r="K29" s="21" t="e">
        <f t="shared" si="8"/>
        <v>#DIV/0!</v>
      </c>
    </row>
    <row r="30" spans="1:11" x14ac:dyDescent="0.25">
      <c r="A30" s="23"/>
      <c r="B30" s="5" t="s">
        <v>9</v>
      </c>
      <c r="C30" s="17">
        <v>50</v>
      </c>
      <c r="D30" s="21">
        <f>(D17-D4)/D17</f>
        <v>-0.3125</v>
      </c>
      <c r="E30" s="21">
        <f t="shared" si="8"/>
        <v>-0.3114149638961437</v>
      </c>
      <c r="F30" s="21">
        <f t="shared" si="8"/>
        <v>-0.58933333333333326</v>
      </c>
      <c r="G30" s="21">
        <f t="shared" si="8"/>
        <v>-0.21092063492063484</v>
      </c>
      <c r="H30" s="21">
        <f t="shared" si="8"/>
        <v>-0.25</v>
      </c>
      <c r="I30" s="21">
        <f t="shared" si="8"/>
        <v>-0.3785096667638202</v>
      </c>
      <c r="J30" s="21">
        <f>(J17-J4)/J17</f>
        <v>-7.7960163753739709E-2</v>
      </c>
      <c r="K30" s="21">
        <f t="shared" si="8"/>
        <v>0.13763186899700824</v>
      </c>
    </row>
    <row r="31" spans="1:11" x14ac:dyDescent="0.25">
      <c r="A31" s="23"/>
      <c r="B31" s="5" t="s">
        <v>10</v>
      </c>
      <c r="C31" s="17">
        <v>31</v>
      </c>
      <c r="D31" s="21" t="e">
        <f t="shared" si="8"/>
        <v>#DIV/0!</v>
      </c>
      <c r="E31" s="21" t="e">
        <f t="shared" si="8"/>
        <v>#DIV/0!</v>
      </c>
      <c r="F31" s="21" t="e">
        <f t="shared" si="8"/>
        <v>#DIV/0!</v>
      </c>
      <c r="G31" s="21" t="e">
        <f t="shared" si="8"/>
        <v>#DIV/0!</v>
      </c>
      <c r="H31" s="21">
        <f t="shared" si="8"/>
        <v>7.6923076923076927E-2</v>
      </c>
      <c r="I31" s="21">
        <f t="shared" si="8"/>
        <v>0.12038590604026853</v>
      </c>
      <c r="J31" s="21">
        <f t="shared" si="8"/>
        <v>-0.10409079359701889</v>
      </c>
      <c r="K31" s="21">
        <f t="shared" si="8"/>
        <v>-0.19609835973010381</v>
      </c>
    </row>
    <row r="32" spans="1:11" x14ac:dyDescent="0.25">
      <c r="A32" s="23"/>
      <c r="B32" s="5" t="s">
        <v>11</v>
      </c>
      <c r="C32" s="17">
        <v>15</v>
      </c>
      <c r="D32" s="21" t="e">
        <f t="shared" si="8"/>
        <v>#DIV/0!</v>
      </c>
      <c r="E32" s="21" t="e">
        <f t="shared" si="8"/>
        <v>#DIV/0!</v>
      </c>
      <c r="F32" s="21" t="e">
        <f t="shared" si="8"/>
        <v>#DIV/0!</v>
      </c>
      <c r="G32" s="21" t="e">
        <f t="shared" si="8"/>
        <v>#DIV/0!</v>
      </c>
      <c r="H32" s="21" t="e">
        <f t="shared" si="8"/>
        <v>#DIV/0!</v>
      </c>
      <c r="I32" s="21" t="e">
        <f t="shared" si="8"/>
        <v>#DIV/0!</v>
      </c>
      <c r="J32" s="21" t="e">
        <f t="shared" si="8"/>
        <v>#DIV/0!</v>
      </c>
      <c r="K32" s="21" t="e">
        <f t="shared" si="8"/>
        <v>#DIV/0!</v>
      </c>
    </row>
    <row r="33" spans="1:11" x14ac:dyDescent="0.25">
      <c r="A33" s="23"/>
      <c r="B33" s="5" t="s">
        <v>12</v>
      </c>
      <c r="C33" s="17">
        <v>42</v>
      </c>
      <c r="D33" s="21">
        <f t="shared" si="8"/>
        <v>-2.0408163265306121E-2</v>
      </c>
      <c r="E33" s="21">
        <f t="shared" si="8"/>
        <v>-6.3079133056559752E-2</v>
      </c>
      <c r="F33" s="21">
        <f t="shared" si="8"/>
        <v>-0.1511615980306682</v>
      </c>
      <c r="G33" s="21">
        <f t="shared" si="8"/>
        <v>-0.12813836607005485</v>
      </c>
      <c r="H33" s="21">
        <f t="shared" si="8"/>
        <v>-0.33333333333333331</v>
      </c>
      <c r="I33" s="21">
        <f t="shared" si="8"/>
        <v>-0.26320541760722344</v>
      </c>
      <c r="J33" s="21">
        <f t="shared" si="8"/>
        <v>0.21530303694289846</v>
      </c>
      <c r="K33" s="21">
        <f t="shared" si="8"/>
        <v>0.41147727770717379</v>
      </c>
    </row>
    <row r="34" spans="1:11" x14ac:dyDescent="0.25">
      <c r="A34" s="23"/>
      <c r="B34" s="5" t="s">
        <v>13</v>
      </c>
      <c r="C34" s="17">
        <v>35</v>
      </c>
      <c r="D34" s="21">
        <f t="shared" si="8"/>
        <v>-0.22807017543859648</v>
      </c>
      <c r="E34" s="21">
        <f t="shared" si="8"/>
        <v>-0.18386927108837997</v>
      </c>
      <c r="F34" s="21">
        <f t="shared" si="8"/>
        <v>-0.16650644462356445</v>
      </c>
      <c r="G34" s="21">
        <f t="shared" si="8"/>
        <v>5.0130466520811788E-2</v>
      </c>
      <c r="H34" s="21">
        <f t="shared" si="8"/>
        <v>-4.3478260869565216E-2</v>
      </c>
      <c r="I34" s="21">
        <f t="shared" si="8"/>
        <v>-2.6454342840531053E-2</v>
      </c>
      <c r="J34" s="21">
        <f t="shared" si="8"/>
        <v>-0.16065092767558861</v>
      </c>
      <c r="K34" s="21">
        <f t="shared" si="8"/>
        <v>-0.11229047235577241</v>
      </c>
    </row>
    <row r="35" spans="1:11" x14ac:dyDescent="0.25">
      <c r="A35" s="23"/>
      <c r="B35" s="5" t="s">
        <v>17</v>
      </c>
      <c r="C35" s="17">
        <v>35</v>
      </c>
      <c r="D35" s="21" t="e">
        <f t="shared" si="8"/>
        <v>#DIV/0!</v>
      </c>
      <c r="E35" s="21" t="e">
        <f t="shared" si="8"/>
        <v>#DIV/0!</v>
      </c>
      <c r="F35" s="21" t="e">
        <f t="shared" si="8"/>
        <v>#DIV/0!</v>
      </c>
      <c r="G35" s="21" t="e">
        <f t="shared" si="8"/>
        <v>#DIV/0!</v>
      </c>
      <c r="H35" s="21" t="e">
        <f t="shared" si="8"/>
        <v>#DIV/0!</v>
      </c>
      <c r="I35" s="21" t="e">
        <f t="shared" si="8"/>
        <v>#DIV/0!</v>
      </c>
      <c r="J35" s="21" t="e">
        <f t="shared" si="8"/>
        <v>#DIV/0!</v>
      </c>
      <c r="K35" s="21" t="e">
        <f t="shared" si="8"/>
        <v>#DIV/0!</v>
      </c>
    </row>
    <row r="36" spans="1:11" x14ac:dyDescent="0.25">
      <c r="A36" s="23"/>
      <c r="B36" s="5" t="s">
        <v>18</v>
      </c>
      <c r="C36" s="17">
        <v>35</v>
      </c>
      <c r="D36" s="21">
        <f t="shared" ref="D36:K38" si="9">(D23-D10)/D23</f>
        <v>1</v>
      </c>
      <c r="E36" s="21">
        <f t="shared" si="9"/>
        <v>1</v>
      </c>
      <c r="F36" s="21">
        <f t="shared" si="9"/>
        <v>1</v>
      </c>
      <c r="G36" s="21" t="e">
        <f t="shared" si="9"/>
        <v>#DIV/0!</v>
      </c>
      <c r="H36" s="21" t="e">
        <f t="shared" si="9"/>
        <v>#DIV/0!</v>
      </c>
      <c r="I36" s="21" t="e">
        <f t="shared" si="9"/>
        <v>#DIV/0!</v>
      </c>
      <c r="J36" s="21">
        <f t="shared" si="9"/>
        <v>1</v>
      </c>
      <c r="K36" s="21" t="e">
        <f t="shared" si="9"/>
        <v>#DIV/0!</v>
      </c>
    </row>
    <row r="37" spans="1:11" x14ac:dyDescent="0.25">
      <c r="A37" s="23"/>
      <c r="B37" s="5" t="s">
        <v>19</v>
      </c>
      <c r="C37" s="17">
        <v>35</v>
      </c>
      <c r="D37" s="21">
        <f t="shared" si="9"/>
        <v>-10</v>
      </c>
      <c r="E37" s="21">
        <f t="shared" si="9"/>
        <v>-4.114583333333333</v>
      </c>
      <c r="F37" s="21">
        <f t="shared" si="9"/>
        <v>-2.1725820763087849</v>
      </c>
      <c r="G37" s="21">
        <f t="shared" si="9"/>
        <v>0.7115834476082924</v>
      </c>
      <c r="H37" s="21">
        <f t="shared" si="9"/>
        <v>1</v>
      </c>
      <c r="I37" s="21">
        <f t="shared" si="9"/>
        <v>1</v>
      </c>
      <c r="J37" s="21">
        <f t="shared" si="9"/>
        <v>-0.74471348745480459</v>
      </c>
      <c r="K37" s="21" t="e">
        <f t="shared" si="9"/>
        <v>#DIV/0!</v>
      </c>
    </row>
    <row r="38" spans="1:11" x14ac:dyDescent="0.25">
      <c r="A38" s="23"/>
      <c r="B38" s="5" t="s">
        <v>14</v>
      </c>
      <c r="C38" s="5"/>
      <c r="D38" s="22">
        <f t="shared" si="9"/>
        <v>-0.233502538071066</v>
      </c>
      <c r="E38" s="22">
        <f t="shared" si="9"/>
        <v>-0.19975337309170613</v>
      </c>
      <c r="F38" s="22">
        <f t="shared" si="9"/>
        <v>-0.22314380935675446</v>
      </c>
      <c r="G38" s="22">
        <f t="shared" si="9"/>
        <v>8.397817105840975E-3</v>
      </c>
      <c r="H38" s="22">
        <f t="shared" si="9"/>
        <v>-7.407407407407407E-2</v>
      </c>
      <c r="I38" s="22">
        <f t="shared" si="9"/>
        <v>-7.1644164173875646E-2</v>
      </c>
      <c r="J38" s="22">
        <f t="shared" si="9"/>
        <v>-3.6300459394866029E-2</v>
      </c>
      <c r="K38" s="22">
        <f t="shared" si="9"/>
        <v>3.5168537804779978E-2</v>
      </c>
    </row>
  </sheetData>
  <conditionalFormatting sqref="D29:K38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9:G38 J29:K38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2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2025-07-21T12:56:27Z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