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7104062-23A7-46E5-96E3-2C41A1DBEF8A}" xr6:coauthVersionLast="47" xr6:coauthVersionMax="47" xr10:uidLastSave="{00000000-0000-0000-0000-000000000000}"/>
  <bookViews>
    <workbookView xWindow="390" yWindow="390" windowWidth="2011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D29" i="2"/>
  <c r="J30" i="2" l="1"/>
  <c r="J36" i="2"/>
  <c r="I36" i="2"/>
  <c r="H36" i="2"/>
  <c r="F36" i="2"/>
  <c r="E36" i="2"/>
  <c r="D36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<sst xmlns="http://schemas.openxmlformats.org/spreadsheetml/2006/main" count="66" uniqueCount="20">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</sst>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J12" sqref="J1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45809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45815</v>
      </c>
      <c r="B3" s="5" t="s">
        <v>8</v>
      </c>
      <c r="C3" s="17">
        <v>25</v>
      </c>
      <c r="D3" s="10">
        <v>0</v>
      </c>
      <c r="E3" s="7">
        <v>0</v>
      </c>
      <c r="F3" s="7">
        <v>8.02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35</v>
      </c>
      <c r="E4" s="7">
        <v>2868.05</v>
      </c>
      <c r="F4" s="7">
        <v>282.64999999999998</v>
      </c>
      <c r="G4" s="7">
        <f t="shared" si="0"/>
        <v>8.0757142857142856</v>
      </c>
      <c r="H4" s="11">
        <v>9</v>
      </c>
      <c r="I4" s="9">
        <v>619.54999999999995</v>
      </c>
      <c r="J4" s="9">
        <v>954.27</v>
      </c>
      <c r="K4" s="9">
        <f t="shared" si="1"/>
        <v>106.03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7</v>
      </c>
      <c r="I5" s="9">
        <v>314.55</v>
      </c>
      <c r="J5" s="9">
        <v>124.72</v>
      </c>
      <c r="K5" s="9">
        <f t="shared" si="1"/>
        <v>17.817142857142859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36</v>
      </c>
      <c r="E7" s="27">
        <v>2807.8</v>
      </c>
      <c r="F7" s="27">
        <v>959.24</v>
      </c>
      <c r="G7" s="7">
        <f t="shared" si="0"/>
        <v>26.645555555555557</v>
      </c>
      <c r="H7" s="11">
        <v>13</v>
      </c>
      <c r="I7" s="9">
        <v>826.4</v>
      </c>
      <c r="J7" s="9">
        <v>700.98</v>
      </c>
      <c r="K7" s="9">
        <f t="shared" si="1"/>
        <v>53.921538461538461</v>
      </c>
    </row>
    <row r="8" spans="1:11" x14ac:dyDescent="0.25">
      <c r="A8" s="23"/>
      <c r="B8" s="5" t="s">
        <v>13</v>
      </c>
      <c r="C8" s="17">
        <v>35</v>
      </c>
      <c r="D8" s="10">
        <v>130</v>
      </c>
      <c r="E8" s="7">
        <v>8427.7999999999993</v>
      </c>
      <c r="F8" s="7">
        <v>2942.15</v>
      </c>
      <c r="G8" s="7">
        <f t="shared" si="0"/>
        <v>22.631923076923076</v>
      </c>
      <c r="H8" s="12">
        <v>21</v>
      </c>
      <c r="I8" s="9">
        <v>1339.95</v>
      </c>
      <c r="J8" s="9">
        <v>1368.83</v>
      </c>
      <c r="K8" s="9">
        <f t="shared" si="1"/>
        <v>65.182380952380953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144</v>
      </c>
      <c r="F9" s="28">
        <v>6.85</v>
      </c>
      <c r="G9" s="7">
        <f t="shared" si="0"/>
        <v>3.4249999999999998</v>
      </c>
      <c r="H9" s="11">
        <v>1</v>
      </c>
      <c r="I9" s="9">
        <v>36</v>
      </c>
      <c r="J9" s="9">
        <v>80.11</v>
      </c>
      <c r="K9" s="9">
        <f t="shared" si="1"/>
        <v>80.11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4</v>
      </c>
      <c r="E11" s="7">
        <v>178.5</v>
      </c>
      <c r="F11" s="7">
        <v>21.34</v>
      </c>
      <c r="G11" s="7">
        <f t="shared" si="0"/>
        <v>5.335</v>
      </c>
      <c r="H11" s="11">
        <v>3</v>
      </c>
      <c r="I11" s="9">
        <v>51.5</v>
      </c>
      <c r="J11" s="9">
        <v>166.6</v>
      </c>
      <c r="K11" s="9">
        <f t="shared" si="1"/>
        <v>55.533333333333331</v>
      </c>
    </row>
    <row r="12" spans="1:11" x14ac:dyDescent="0.25">
      <c r="A12" s="23"/>
      <c r="B12" s="5" t="s">
        <v>14</v>
      </c>
      <c r="C12" s="5"/>
      <c r="D12" s="13">
        <f>SUM(D3:D11)</f>
        <v>207</v>
      </c>
      <c r="E12" s="14">
        <f>SUM(E3:E11)</f>
        <v>14426.15</v>
      </c>
      <c r="F12" s="14">
        <f>SUM(F3:F11)</f>
        <v>4220.25</v>
      </c>
      <c r="G12" s="14">
        <f>F12/D12</f>
        <v>20.387681159420289</v>
      </c>
      <c r="H12" s="15">
        <f>SUM(H3:H11)</f>
        <v>54</v>
      </c>
      <c r="I12" s="16">
        <f>SUM(I3:I11)</f>
        <v>3187.95</v>
      </c>
      <c r="J12" s="16">
        <f>SUM(J3:J11)</f>
        <v>3395.51</v>
      </c>
      <c r="K12" s="16">
        <f t="shared" ref="K12" si="2">J12/H12</f>
        <v>62.879814814814821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45816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45822</v>
      </c>
      <c r="B16" s="5" t="s">
        <v>8</v>
      </c>
      <c r="C16" s="17">
        <v>25</v>
      </c>
      <c r="D16" s="10">
        <v>0</v>
      </c>
      <c r="E16" s="7">
        <v>0</v>
      </c>
      <c r="F16" s="7">
        <v>0.47</v>
      </c>
      <c r="G16" s="7" t="e">
        <f t="shared" ref="G16:G24" si="3">F16/D16</f>
        <v>#DIV/0!</v>
      </c>
      <c r="H16" s="12">
        <v>0</v>
      </c>
      <c r="I16" s="9">
        <v>0</v>
      </c>
      <c r="J16" s="9">
        <v>1.84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31</v>
      </c>
      <c r="E17" s="7">
        <v>2318.4</v>
      </c>
      <c r="F17" s="7">
        <v>340.48</v>
      </c>
      <c r="G17" s="7">
        <f t="shared" si="3"/>
        <v>10.983225806451614</v>
      </c>
      <c r="H17" s="11">
        <v>15</v>
      </c>
      <c r="I17" s="9">
        <v>1149.2</v>
      </c>
      <c r="J17" s="9">
        <v>852.2</v>
      </c>
      <c r="K17" s="9">
        <f t="shared" si="4"/>
        <v>56.81333333333334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12</v>
      </c>
      <c r="I18" s="9">
        <v>454.35</v>
      </c>
      <c r="J18" s="9">
        <v>173.77</v>
      </c>
      <c r="K18" s="9">
        <f t="shared" si="4"/>
        <v>14.480833333333335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51</v>
      </c>
      <c r="E20" s="27">
        <v>3619.2</v>
      </c>
      <c r="F20" s="27">
        <v>1057.2</v>
      </c>
      <c r="G20" s="7">
        <f t="shared" si="3"/>
        <v>20.729411764705883</v>
      </c>
      <c r="H20" s="11">
        <v>5</v>
      </c>
      <c r="I20" s="9">
        <v>309.75</v>
      </c>
      <c r="J20" s="9">
        <v>596.76</v>
      </c>
      <c r="K20" s="9">
        <f t="shared" si="4"/>
        <v>119.352</v>
      </c>
    </row>
    <row r="21" spans="1:11" x14ac:dyDescent="0.25">
      <c r="A21" s="23"/>
      <c r="B21" s="5" t="s">
        <v>13</v>
      </c>
      <c r="C21" s="17">
        <v>35</v>
      </c>
      <c r="D21" s="10">
        <v>116</v>
      </c>
      <c r="E21" s="7">
        <v>7568.7</v>
      </c>
      <c r="F21" s="7">
        <v>2416.3200000000002</v>
      </c>
      <c r="G21" s="7">
        <f t="shared" si="3"/>
        <v>20.83034482758621</v>
      </c>
      <c r="H21" s="12">
        <v>27</v>
      </c>
      <c r="I21" s="9">
        <v>1763</v>
      </c>
      <c r="J21" s="9">
        <v>998.48</v>
      </c>
      <c r="K21" s="9">
        <f t="shared" si="4"/>
        <v>36.980740740740742</v>
      </c>
    </row>
    <row r="22" spans="1:11" x14ac:dyDescent="0.25">
      <c r="A22" s="23"/>
      <c r="B22" s="5" t="s">
        <v>17</v>
      </c>
      <c r="C22" s="17">
        <v>35</v>
      </c>
      <c r="D22" s="6">
        <v>2</v>
      </c>
      <c r="E22" s="27">
        <v>72</v>
      </c>
      <c r="F22" s="28">
        <v>14.44</v>
      </c>
      <c r="G22" s="7">
        <f t="shared" si="3"/>
        <v>7.22</v>
      </c>
      <c r="H22" s="11">
        <v>2</v>
      </c>
      <c r="I22" s="9">
        <v>72</v>
      </c>
      <c r="J22" s="9">
        <v>58.5</v>
      </c>
      <c r="K22" s="9">
        <f t="shared" ref="K22:K23" si="5">J22/H22</f>
        <v>29.25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0</v>
      </c>
      <c r="E24" s="7">
        <v>0</v>
      </c>
      <c r="F24" s="7">
        <v>19.2</v>
      </c>
      <c r="G24" s="7" t="e">
        <f t="shared" si="3"/>
        <v>#DIV/0!</v>
      </c>
      <c r="H24" s="11">
        <v>2</v>
      </c>
      <c r="I24" s="9">
        <v>28</v>
      </c>
      <c r="J24" s="9">
        <v>192.93</v>
      </c>
      <c r="K24" s="9">
        <f t="shared" si="4"/>
        <v>96.465000000000003</v>
      </c>
    </row>
    <row r="25" spans="1:11" x14ac:dyDescent="0.25">
      <c r="A25" s="23"/>
      <c r="B25" s="5" t="s">
        <v>14</v>
      </c>
      <c r="C25" s="5"/>
      <c r="D25" s="13">
        <f>SUM(D16:D24)</f>
        <v>200</v>
      </c>
      <c r="E25" s="14">
        <f>SUM(E16:E24)</f>
        <v>13578.3</v>
      </c>
      <c r="F25" s="14">
        <f>SUM(F16:F24)</f>
        <v>3848.11</v>
      </c>
      <c r="G25" s="14">
        <f>F25/D25</f>
        <v>19.240549999999999</v>
      </c>
      <c r="H25" s="15">
        <f>SUM(H16:H24)</f>
        <v>63</v>
      </c>
      <c r="I25" s="16">
        <f>SUM(I16:I24)</f>
        <v>3776.3</v>
      </c>
      <c r="J25" s="16">
        <f>SUM(J16:J24)</f>
        <v>2874.48</v>
      </c>
      <c r="K25" s="16">
        <f t="shared" ref="K25" si="7">J25/H25</f>
        <v>45.626666666666665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>
        <f t="shared" si="8"/>
        <v>-16.063829787234042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>
        <f t="shared" si="8"/>
        <v>1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-0.12903225806451613</v>
      </c>
      <c r="E30" s="21">
        <f t="shared" si="8"/>
        <v>-0.23708160800552108</v>
      </c>
      <c r="F30" s="21">
        <f t="shared" si="8"/>
        <v>0.16984844924812043</v>
      </c>
      <c r="G30" s="21">
        <f t="shared" si="8"/>
        <v>0.26472291219119237</v>
      </c>
      <c r="H30" s="21">
        <f t="shared" si="8"/>
        <v>0.4</v>
      </c>
      <c r="I30" s="21">
        <f t="shared" si="8"/>
        <v>0.46088583362339025</v>
      </c>
      <c r="J30" s="21">
        <f>(J17-J4)/J17</f>
        <v>-0.11977235390753337</v>
      </c>
      <c r="K30" s="21">
        <f t="shared" si="8"/>
        <v>-0.86628725651255556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0.41666666666666669</v>
      </c>
      <c r="I31" s="21">
        <f t="shared" si="8"/>
        <v>0.30769230769230771</v>
      </c>
      <c r="J31" s="21">
        <f t="shared" si="8"/>
        <v>0.28226966680094384</v>
      </c>
      <c r="K31" s="21">
        <f t="shared" si="8"/>
        <v>-0.23039485691266778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0.29411764705882354</v>
      </c>
      <c r="E33" s="21">
        <f t="shared" si="8"/>
        <v>0.22419319186560557</v>
      </c>
      <c r="F33" s="21">
        <f t="shared" si="8"/>
        <v>9.2659856223987924E-2</v>
      </c>
      <c r="G33" s="21">
        <f t="shared" si="8"/>
        <v>-0.28539853701601714</v>
      </c>
      <c r="H33" s="21">
        <f t="shared" si="8"/>
        <v>-1.6</v>
      </c>
      <c r="I33" s="21">
        <f t="shared" si="8"/>
        <v>-1.6679580306698949</v>
      </c>
      <c r="J33" s="21">
        <f t="shared" si="8"/>
        <v>-0.17464307259199682</v>
      </c>
      <c r="K33" s="21">
        <f t="shared" si="8"/>
        <v>0.54821420284923206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-0.1206896551724138</v>
      </c>
      <c r="E34" s="21">
        <f t="shared" si="8"/>
        <v>-0.11350694306816222</v>
      </c>
      <c r="F34" s="21">
        <f t="shared" si="8"/>
        <v>-0.21761604423255193</v>
      </c>
      <c r="G34" s="21">
        <f t="shared" si="8"/>
        <v>-8.6488162545969291E-2</v>
      </c>
      <c r="H34" s="21">
        <f t="shared" si="8"/>
        <v>0.22222222222222221</v>
      </c>
      <c r="I34" s="21">
        <f t="shared" si="8"/>
        <v>0.2399602949517867</v>
      </c>
      <c r="J34" s="21">
        <f t="shared" si="8"/>
        <v>-0.37091378895921789</v>
      </c>
      <c r="K34" s="21">
        <f t="shared" si="8"/>
        <v>-0.76260344294756599</v>
      </c>
    </row>
    <row r="35" spans="1:11" x14ac:dyDescent="0.25">
      <c r="A35" s="23"/>
      <c r="B35" s="5" t="s">
        <v>17</v>
      </c>
      <c r="C35" s="17">
        <v>35</v>
      </c>
      <c r="D35" s="21">
        <f t="shared" si="8"/>
        <v>0</v>
      </c>
      <c r="E35" s="21">
        <f t="shared" si="8"/>
        <v>-1</v>
      </c>
      <c r="F35" s="21">
        <f t="shared" si="8"/>
        <v>0.52562326869806097</v>
      </c>
      <c r="G35" s="21">
        <f t="shared" si="8"/>
        <v>0.52562326869806097</v>
      </c>
      <c r="H35" s="21">
        <f t="shared" si="8"/>
        <v>0.5</v>
      </c>
      <c r="I35" s="21">
        <f t="shared" si="8"/>
        <v>0.5</v>
      </c>
      <c r="J35" s="21">
        <f t="shared" si="8"/>
        <v>-0.36940170940170941</v>
      </c>
      <c r="K35" s="21">
        <f t="shared" si="8"/>
        <v>-1.7388034188034187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-0.11145833333333337</v>
      </c>
      <c r="G37" s="21" t="e">
        <f t="shared" si="9"/>
        <v>#DIV/0!</v>
      </c>
      <c r="H37" s="21">
        <f t="shared" si="9"/>
        <v>-0.5</v>
      </c>
      <c r="I37" s="21">
        <f t="shared" si="9"/>
        <v>-0.8392857142857143</v>
      </c>
      <c r="J37" s="21">
        <f t="shared" si="9"/>
        <v>0.13647436894210341</v>
      </c>
      <c r="K37" s="21">
        <f t="shared" si="9"/>
        <v>0.42431624596140227</v>
      </c>
    </row>
    <row r="38" spans="1:11" x14ac:dyDescent="0.25">
      <c r="A38" s="23"/>
      <c r="B38" s="5" t="s">
        <v>14</v>
      </c>
      <c r="C38" s="5"/>
      <c r="D38" s="22">
        <f t="shared" si="9"/>
        <v>-3.5000000000000003E-2</v>
      </c>
      <c r="E38" s="22">
        <f t="shared" si="9"/>
        <v>-6.2441542755720558E-2</v>
      </c>
      <c r="F38" s="22">
        <f t="shared" si="9"/>
        <v>-9.6707214710598149E-2</v>
      </c>
      <c r="G38" s="22">
        <f t="shared" si="9"/>
        <v>-5.9620497304925808E-2</v>
      </c>
      <c r="H38" s="22">
        <f t="shared" si="9"/>
        <v>0.14285714285714285</v>
      </c>
      <c r="I38" s="22">
        <f t="shared" si="9"/>
        <v>0.15580065143129526</v>
      </c>
      <c r="J38" s="22">
        <f t="shared" si="9"/>
        <v>-0.18126061061478951</v>
      </c>
      <c r="K38" s="22">
        <f t="shared" si="9"/>
        <v>-0.37813737905058792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2025-06-16T13:16:23Z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