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7B6D111-45AF-4FBD-B9DD-75FC62E3E746}" xr6:coauthVersionLast="47" xr6:coauthVersionMax="47" xr10:uidLastSave="{00000000-0000-0000-0000-000000000000}"/>
  <bookViews>
    <workbookView xWindow="1470" yWindow="1470" windowWidth="229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5" i="2"/>
  <c r="G24" i="2"/>
  <c r="G19" i="2"/>
  <c r="K25" i="2" l="1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J13" i="2" l="1"/>
  <c r="I13" i="2"/>
  <c r="H13" i="2"/>
  <c r="F13" i="2"/>
  <c r="E13" i="2"/>
  <c r="D13" i="2"/>
  <c r="G26" i="2"/>
  <c r="G23" i="2"/>
  <c r="G22" i="2"/>
  <c r="G21" i="2"/>
  <c r="G18" i="2"/>
  <c r="G17" i="2"/>
  <c r="K13" i="2" l="1"/>
  <c r="G13" i="2"/>
  <c r="G20" i="2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<sst xmlns="http://schemas.openxmlformats.org/spreadsheetml/2006/main" count="68" uniqueCount="21">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</sst>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topLeftCell="A4" workbookViewId="0">
      <selection activeCell="H26" sqref="H26:J2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45942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45948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33</v>
      </c>
      <c r="E4" s="7">
        <v>2343.15</v>
      </c>
      <c r="F4" s="7">
        <v>760.86</v>
      </c>
      <c r="G4" s="7">
        <f t="shared" si="0"/>
        <v>23.056363636363638</v>
      </c>
      <c r="H4" s="11">
        <v>14</v>
      </c>
      <c r="I4" s="9">
        <v>979.25</v>
      </c>
      <c r="J4" s="9">
        <v>1051.48</v>
      </c>
      <c r="K4" s="9">
        <f t="shared" si="1"/>
        <v>75.105714285714285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29</v>
      </c>
      <c r="E7" s="27">
        <v>1939.4</v>
      </c>
      <c r="F7" s="27">
        <v>474.01</v>
      </c>
      <c r="G7" s="7">
        <f t="shared" si="0"/>
        <v>16.345172413793104</v>
      </c>
      <c r="H7" s="11">
        <v>7</v>
      </c>
      <c r="I7" s="9">
        <v>439.65</v>
      </c>
      <c r="J7" s="9">
        <v>532.92999999999995</v>
      </c>
      <c r="K7" s="9">
        <f t="shared" si="1"/>
        <v>76.132857142857134</v>
      </c>
    </row>
    <row r="8" spans="1:11" x14ac:dyDescent="0.25">
      <c r="A8" s="23"/>
      <c r="B8" s="5" t="s">
        <v>13</v>
      </c>
      <c r="C8" s="17">
        <v>35</v>
      </c>
      <c r="D8" s="10">
        <v>116</v>
      </c>
      <c r="E8" s="7">
        <v>7535.95</v>
      </c>
      <c r="F8" s="7">
        <v>3219.22</v>
      </c>
      <c r="G8" s="7">
        <f t="shared" si="0"/>
        <v>27.751896551724137</v>
      </c>
      <c r="H8" s="12">
        <v>28</v>
      </c>
      <c r="I8" s="9">
        <v>1700</v>
      </c>
      <c r="J8" s="9">
        <v>1405.68</v>
      </c>
      <c r="K8" s="9">
        <f t="shared" si="1"/>
        <v>50.202857142857148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2.12</v>
      </c>
      <c r="G9" s="7" t="e">
        <f t="shared" si="0"/>
        <v>#DIV/0!</v>
      </c>
      <c r="H9" s="12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0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0</v>
      </c>
      <c r="E12" s="7">
        <v>0</v>
      </c>
      <c r="F12" s="7">
        <v>24.43</v>
      </c>
      <c r="G12" s="7" t="e">
        <f t="shared" si="0"/>
        <v>#DIV/0!</v>
      </c>
      <c r="H12" s="11">
        <v>5</v>
      </c>
      <c r="I12" s="9">
        <v>175</v>
      </c>
      <c r="J12" s="9">
        <v>133.1</v>
      </c>
      <c r="K12" s="9">
        <f t="shared" si="1"/>
        <v>26.619999999999997</v>
      </c>
    </row>
    <row r="13" spans="1:11" x14ac:dyDescent="0.25">
      <c r="A13" s="23"/>
      <c r="B13" s="5" t="s">
        <v>14</v>
      </c>
      <c r="C13" s="5"/>
      <c r="D13" s="13">
        <f>SUM(D3:D12)</f>
        <v>178</v>
      </c>
      <c r="E13" s="14">
        <f>SUM(E3:E12)</f>
        <v>11818.5</v>
      </c>
      <c r="F13" s="14">
        <f>SUM(F3:F12)</f>
        <v>4480.6400000000003</v>
      </c>
      <c r="G13" s="14">
        <f>F13/D13</f>
        <v>25.172134831460674</v>
      </c>
      <c r="H13" s="15">
        <f>SUM(H3:H12)</f>
        <v>54</v>
      </c>
      <c r="I13" s="16">
        <f>SUM(I3:I12)</f>
        <v>3293.9</v>
      </c>
      <c r="J13" s="16">
        <f>SUM(J3:J12)</f>
        <v>3123.19</v>
      </c>
      <c r="K13" s="16">
        <f t="shared" ref="K13" si="2">J13/H13</f>
        <v>57.836851851851854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45949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45955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29</v>
      </c>
      <c r="E18" s="7">
        <v>1878.45</v>
      </c>
      <c r="F18" s="7">
        <v>678.97</v>
      </c>
      <c r="G18" s="7">
        <f t="shared" si="3"/>
        <v>23.412758620689655</v>
      </c>
      <c r="H18" s="11">
        <v>15</v>
      </c>
      <c r="I18" s="9">
        <v>979.25</v>
      </c>
      <c r="J18" s="9">
        <v>930.5</v>
      </c>
      <c r="K18" s="9">
        <f t="shared" si="4"/>
        <v>62.033333333333331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2</v>
      </c>
      <c r="I19" s="9">
        <v>44.9</v>
      </c>
      <c r="J19" s="9">
        <v>2.11</v>
      </c>
      <c r="K19" s="9">
        <f t="shared" si="4"/>
        <v>1.0549999999999999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39</v>
      </c>
      <c r="E21" s="27">
        <v>2418.0500000000002</v>
      </c>
      <c r="F21" s="27">
        <v>563.67999999999995</v>
      </c>
      <c r="G21" s="7">
        <f t="shared" si="3"/>
        <v>14.453333333333331</v>
      </c>
      <c r="H21" s="11">
        <v>9</v>
      </c>
      <c r="I21" s="9">
        <v>739.4</v>
      </c>
      <c r="J21" s="9">
        <v>639.84</v>
      </c>
      <c r="K21" s="9">
        <f t="shared" si="4"/>
        <v>71.093333333333334</v>
      </c>
    </row>
    <row r="22" spans="1:11" x14ac:dyDescent="0.25">
      <c r="A22" s="23"/>
      <c r="B22" s="5" t="s">
        <v>13</v>
      </c>
      <c r="C22" s="17">
        <v>35</v>
      </c>
      <c r="D22" s="10">
        <v>137</v>
      </c>
      <c r="E22" s="7">
        <v>9289.9</v>
      </c>
      <c r="F22" s="7">
        <v>2752.6800000000003</v>
      </c>
      <c r="G22" s="7">
        <f t="shared" si="3"/>
        <v>20.09255474452555</v>
      </c>
      <c r="H22" s="12">
        <v>19</v>
      </c>
      <c r="I22" s="9">
        <v>1090</v>
      </c>
      <c r="J22" s="9">
        <v>1294.3</v>
      </c>
      <c r="K22" s="9">
        <f t="shared" si="4"/>
        <v>68.121052631578948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0.52</v>
      </c>
      <c r="G23" s="7" t="e">
        <f t="shared" si="3"/>
        <v>#DIV/0!</v>
      </c>
      <c r="H23" s="12">
        <v>0</v>
      </c>
      <c r="I23" s="9">
        <v>0</v>
      </c>
      <c r="J23" s="9">
        <v>8.26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0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6</v>
      </c>
      <c r="E26" s="7">
        <v>192.9</v>
      </c>
      <c r="F26" s="7">
        <v>10.96</v>
      </c>
      <c r="G26" s="7">
        <f t="shared" si="3"/>
        <v>1.8266666666666669</v>
      </c>
      <c r="H26" s="11">
        <v>0</v>
      </c>
      <c r="I26" s="9">
        <v>0</v>
      </c>
      <c r="J26" s="9">
        <v>67.14</v>
      </c>
      <c r="K26" s="9" t="e">
        <f t="shared" si="4"/>
        <v>#DIV/0!</v>
      </c>
    </row>
    <row r="27" spans="1:11" x14ac:dyDescent="0.25">
      <c r="A27" s="23"/>
      <c r="B27" s="5" t="s">
        <v>14</v>
      </c>
      <c r="C27" s="5"/>
      <c r="D27" s="13">
        <f>SUM(D17:D26)</f>
        <v>211</v>
      </c>
      <c r="E27" s="14">
        <f>SUM(E17:E26)</f>
        <v>13779.3</v>
      </c>
      <c r="F27" s="14">
        <f>SUM(F17:F26)</f>
        <v>4006.8100000000004</v>
      </c>
      <c r="G27" s="14">
        <f>F27/D27</f>
        <v>18.98962085308057</v>
      </c>
      <c r="H27" s="15">
        <f>SUM(H17:H26)</f>
        <v>45</v>
      </c>
      <c r="I27" s="16">
        <f>SUM(I17:I26)</f>
        <v>2853.55</v>
      </c>
      <c r="J27" s="16">
        <f>SUM(J17:J26)</f>
        <v>2942.15</v>
      </c>
      <c r="K27" s="16">
        <f t="shared" ref="K27" si="8">J27/H27</f>
        <v>65.38111111111111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-0.13793103448275862</v>
      </c>
      <c r="E32" s="21">
        <f t="shared" si="9"/>
        <v>-0.24738481194601936</v>
      </c>
      <c r="F32" s="21">
        <f t="shared" si="9"/>
        <v>-0.12060915798930731</v>
      </c>
      <c r="G32" s="21">
        <f t="shared" si="9"/>
        <v>1.5222255100305563E-2</v>
      </c>
      <c r="H32" s="21">
        <f t="shared" si="9"/>
        <v>6.6666666666666666E-2</v>
      </c>
      <c r="I32" s="21">
        <f t="shared" si="9"/>
        <v>0</v>
      </c>
      <c r="J32" s="21">
        <f t="shared" si="9"/>
        <v>-0.13001612036539498</v>
      </c>
      <c r="K32" s="21">
        <f t="shared" si="9"/>
        <v>-0.21073155753435174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>
        <f t="shared" si="9"/>
        <v>1</v>
      </c>
      <c r="I33" s="21">
        <f t="shared" si="9"/>
        <v>1</v>
      </c>
      <c r="J33" s="21">
        <f t="shared" si="9"/>
        <v>1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0.25641025641025639</v>
      </c>
      <c r="E35" s="21">
        <f t="shared" si="9"/>
        <v>0.19794876036475675</v>
      </c>
      <c r="F35" s="21">
        <f t="shared" si="9"/>
        <v>0.15907961964235021</v>
      </c>
      <c r="G35" s="21">
        <f t="shared" si="9"/>
        <v>-0.13089292530856367</v>
      </c>
      <c r="H35" s="21">
        <f t="shared" si="9"/>
        <v>0.22222222222222221</v>
      </c>
      <c r="I35" s="21">
        <f t="shared" si="9"/>
        <v>0.40539626724371114</v>
      </c>
      <c r="J35" s="21">
        <f t="shared" si="9"/>
        <v>0.16708864716179056</v>
      </c>
      <c r="K35" s="21">
        <f t="shared" si="9"/>
        <v>-7.0886025077697867E-2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0.15328467153284672</v>
      </c>
      <c r="E36" s="21">
        <f t="shared" si="9"/>
        <v>0.18880181702709392</v>
      </c>
      <c r="F36" s="21">
        <f t="shared" si="9"/>
        <v>-0.16948573753578311</v>
      </c>
      <c r="G36" s="21">
        <f t="shared" si="9"/>
        <v>-0.38120298312415762</v>
      </c>
      <c r="H36" s="21">
        <f t="shared" si="9"/>
        <v>-0.47368421052631576</v>
      </c>
      <c r="I36" s="21">
        <f t="shared" si="9"/>
        <v>-0.55963302752293576</v>
      </c>
      <c r="J36" s="21">
        <f t="shared" si="9"/>
        <v>-8.6054237811944767E-2</v>
      </c>
      <c r="K36" s="21">
        <f t="shared" si="9"/>
        <v>0.26303462434189462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-3.0769230769230771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>
        <f t="shared" si="9"/>
        <v>1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>
        <f t="shared" ref="D39:K40" si="10">(D26-D12)/D26</f>
        <v>1</v>
      </c>
      <c r="E39" s="21">
        <f t="shared" si="10"/>
        <v>1</v>
      </c>
      <c r="F39" s="21">
        <f t="shared" si="10"/>
        <v>-1.2290145985401457</v>
      </c>
      <c r="G39" s="21" t="e">
        <f t="shared" si="10"/>
        <v>#DIV/0!</v>
      </c>
      <c r="H39" s="21" t="e">
        <f t="shared" si="10"/>
        <v>#DIV/0!</v>
      </c>
      <c r="I39" s="21" t="e">
        <f t="shared" si="10"/>
        <v>#DIV/0!</v>
      </c>
      <c r="J39" s="21">
        <f t="shared" si="10"/>
        <v>-0.98242478403336297</v>
      </c>
      <c r="K39" s="21" t="e">
        <f t="shared" si="10"/>
        <v>#DIV/0!</v>
      </c>
    </row>
    <row r="40" spans="1:11" x14ac:dyDescent="0.25">
      <c r="A40" s="23"/>
      <c r="B40" s="5" t="s">
        <v>14</v>
      </c>
      <c r="C40" s="5"/>
      <c r="D40" s="22">
        <f t="shared" si="10"/>
        <v>0.15639810426540285</v>
      </c>
      <c r="E40" s="22">
        <f t="shared" si="10"/>
        <v>0.14230040713243775</v>
      </c>
      <c r="F40" s="22">
        <f t="shared" si="10"/>
        <v>-0.11825616887249454</v>
      </c>
      <c r="G40" s="22">
        <f t="shared" si="10"/>
        <v>-0.32557332377582215</v>
      </c>
      <c r="H40" s="22">
        <f t="shared" si="10"/>
        <v>-0.2</v>
      </c>
      <c r="I40" s="22">
        <f t="shared" si="10"/>
        <v>-0.15431655306547981</v>
      </c>
      <c r="J40" s="22">
        <f t="shared" si="10"/>
        <v>-6.1533232500042473E-2</v>
      </c>
      <c r="K40" s="22">
        <f t="shared" si="10"/>
        <v>0.11538897291663122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2025-10-27T12:44:49Z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