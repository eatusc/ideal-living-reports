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F16F842-A5E4-444C-AEEE-E5C9B9C63D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K11" i="2" s="1"/>
  <c r="I11" i="2"/>
  <c r="H11" i="2"/>
  <c r="F11" i="2"/>
  <c r="G11" i="2" s="1"/>
  <c r="E11" i="2"/>
  <c r="D11" i="2"/>
  <c r="G18" i="2"/>
  <c r="K18" i="2" l="1"/>
  <c r="J33" i="2" l="1"/>
  <c r="I33" i="2"/>
  <c r="H33" i="2"/>
  <c r="F33" i="2"/>
  <c r="E33" i="2"/>
  <c r="D33" i="2"/>
  <c r="K21" i="2"/>
  <c r="K33" i="2" s="1"/>
  <c r="G21" i="2"/>
  <c r="G33" i="2" s="1"/>
  <c r="G19" i="2" l="1"/>
  <c r="G20" i="2"/>
  <c r="G22" i="2"/>
  <c r="G15" i="2" l="1"/>
  <c r="G16" i="2"/>
  <c r="G17" i="2"/>
  <c r="K22" i="2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<sst xmlns="http://schemas.openxmlformats.org/spreadsheetml/2006/main" count="63" uniqueCount="19">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</sst>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m/d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H22" sqref="H22:J2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45648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45654</v>
      </c>
      <c r="B3" s="5" t="s">
        <v>8</v>
      </c>
      <c r="C3" s="17">
        <v>25</v>
      </c>
      <c r="D3" s="10">
        <v>0</v>
      </c>
      <c r="E3" s="7">
        <v>0</v>
      </c>
      <c r="F3" s="7">
        <v>16.850000000000001</v>
      </c>
      <c r="G3" s="7" t="e">
        <f t="shared" ref="G3:G10" si="0">F3/D3</f>
        <v>#DIV/0!</v>
      </c>
      <c r="H3" s="12">
        <v>0</v>
      </c>
      <c r="I3" s="9">
        <v>0</v>
      </c>
      <c r="J3" s="9">
        <v>14.4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33</v>
      </c>
      <c r="E4" s="7">
        <v>2348.0500000000002</v>
      </c>
      <c r="F4" s="7">
        <v>407.93</v>
      </c>
      <c r="G4" s="7">
        <f t="shared" si="0"/>
        <v>12.361515151515151</v>
      </c>
      <c r="H4" s="11">
        <v>15</v>
      </c>
      <c r="I4" s="9">
        <v>1139.1500000000001</v>
      </c>
      <c r="J4" s="9">
        <v>892.73</v>
      </c>
      <c r="K4" s="9">
        <f t="shared" si="1"/>
        <v>59.515333333333338</v>
      </c>
    </row>
    <row r="5" spans="1:11" x14ac:dyDescent="0.25">
      <c r="A5" s="23"/>
      <c r="B5" s="5" t="s">
        <v>10</v>
      </c>
      <c r="C5" s="17">
        <v>31</v>
      </c>
      <c r="D5" s="10">
        <v>11</v>
      </c>
      <c r="E5" s="7">
        <v>564.45000000000005</v>
      </c>
      <c r="F5" s="7">
        <v>156.79</v>
      </c>
      <c r="G5" s="7">
        <f t="shared" si="0"/>
        <v>14.253636363636362</v>
      </c>
      <c r="H5" s="11">
        <v>2</v>
      </c>
      <c r="I5" s="9">
        <v>69.900000000000006</v>
      </c>
      <c r="J5" s="9">
        <v>172.89</v>
      </c>
      <c r="K5" s="9">
        <f t="shared" si="1"/>
        <v>86.444999999999993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58</v>
      </c>
      <c r="E7" s="7">
        <v>5033.41</v>
      </c>
      <c r="F7" s="7">
        <v>1150.5</v>
      </c>
      <c r="G7" s="7">
        <f t="shared" si="0"/>
        <v>19.836206896551722</v>
      </c>
      <c r="H7" s="11">
        <v>7</v>
      </c>
      <c r="I7" s="9">
        <v>567.59</v>
      </c>
      <c r="J7" s="9">
        <v>390.06000000000006</v>
      </c>
      <c r="K7" s="9">
        <f t="shared" si="1"/>
        <v>55.722857142857151</v>
      </c>
    </row>
    <row r="8" spans="1:11" x14ac:dyDescent="0.25">
      <c r="A8" s="23"/>
      <c r="B8" s="5" t="s">
        <v>13</v>
      </c>
      <c r="C8" s="17">
        <v>35</v>
      </c>
      <c r="D8" s="10">
        <v>133</v>
      </c>
      <c r="E8" s="7">
        <v>8680</v>
      </c>
      <c r="F8" s="7">
        <v>2733.93</v>
      </c>
      <c r="G8" s="7">
        <f t="shared" si="0"/>
        <v>20.555864661654134</v>
      </c>
      <c r="H8" s="12">
        <v>19</v>
      </c>
      <c r="I8" s="9">
        <v>1136</v>
      </c>
      <c r="J8" s="9">
        <v>1014.36</v>
      </c>
      <c r="K8" s="9">
        <f t="shared" si="1"/>
        <v>53.387368421052635</v>
      </c>
    </row>
    <row r="9" spans="1:11" x14ac:dyDescent="0.25">
      <c r="A9" s="23"/>
      <c r="B9" s="5" t="s">
        <v>17</v>
      </c>
      <c r="C9" s="17">
        <v>35</v>
      </c>
      <c r="D9" s="10">
        <v>0</v>
      </c>
      <c r="E9" s="7">
        <v>78</v>
      </c>
      <c r="F9" s="7">
        <v>14.76</v>
      </c>
      <c r="G9" s="7" t="e">
        <f t="shared" si="0"/>
        <v>#DIV/0!</v>
      </c>
      <c r="H9" s="11">
        <v>4</v>
      </c>
      <c r="I9" s="9">
        <v>153</v>
      </c>
      <c r="J9" s="9">
        <v>133.54</v>
      </c>
      <c r="K9" s="9">
        <f t="shared" si="1"/>
        <v>33.384999999999998</v>
      </c>
    </row>
    <row r="10" spans="1:11" x14ac:dyDescent="0.25">
      <c r="A10" s="23"/>
      <c r="B10" s="5" t="s">
        <v>18</v>
      </c>
      <c r="C10" s="17">
        <v>35</v>
      </c>
      <c r="D10" s="10">
        <v>1</v>
      </c>
      <c r="E10" s="7">
        <v>109.9</v>
      </c>
      <c r="F10" s="7">
        <v>7.83</v>
      </c>
      <c r="G10" s="7">
        <f t="shared" si="0"/>
        <v>7.83</v>
      </c>
      <c r="H10" s="11">
        <v>3</v>
      </c>
      <c r="I10" s="9">
        <v>164.85</v>
      </c>
      <c r="J10" s="9">
        <v>159.22</v>
      </c>
      <c r="K10" s="9">
        <f t="shared" si="1"/>
        <v>53.073333333333331</v>
      </c>
    </row>
    <row r="11" spans="1:11" x14ac:dyDescent="0.25">
      <c r="A11" s="23"/>
      <c r="B11" s="5" t="s">
        <v>14</v>
      </c>
      <c r="C11" s="5"/>
      <c r="D11" s="13">
        <f>SUM(D3:D10)</f>
        <v>236</v>
      </c>
      <c r="E11" s="14">
        <f>SUM(E3:E10)</f>
        <v>16813.810000000001</v>
      </c>
      <c r="F11" s="14">
        <f>SUM(F3:F10)</f>
        <v>4488.59</v>
      </c>
      <c r="G11" s="14">
        <f>F11/D11</f>
        <v>19.019449152542375</v>
      </c>
      <c r="H11" s="15">
        <f>SUM(H3:H10)</f>
        <v>50</v>
      </c>
      <c r="I11" s="16">
        <f>SUM(I3:I10)</f>
        <v>3230.4900000000002</v>
      </c>
      <c r="J11" s="16">
        <f>SUM(J3:J10)</f>
        <v>2777.2</v>
      </c>
      <c r="K11" s="16">
        <f t="shared" ref="K11" si="2">J11/H11</f>
        <v>55.543999999999997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45655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45661</v>
      </c>
      <c r="B15" s="5" t="s">
        <v>8</v>
      </c>
      <c r="C15" s="17">
        <v>25</v>
      </c>
      <c r="D15" s="10">
        <v>0</v>
      </c>
      <c r="E15" s="7">
        <v>0</v>
      </c>
      <c r="F15" s="7">
        <v>18.2</v>
      </c>
      <c r="G15" s="7" t="e">
        <f t="shared" ref="G15:G18" si="3">F15/D15</f>
        <v>#DIV/0!</v>
      </c>
      <c r="H15" s="12">
        <v>0</v>
      </c>
      <c r="I15" s="9">
        <v>0</v>
      </c>
      <c r="J15" s="9">
        <v>9.0500000000000007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42</v>
      </c>
      <c r="E16" s="7">
        <v>3207.5</v>
      </c>
      <c r="F16" s="7">
        <v>524.80999999999995</v>
      </c>
      <c r="G16" s="7">
        <f t="shared" si="3"/>
        <v>12.49547619047619</v>
      </c>
      <c r="H16" s="11">
        <v>26</v>
      </c>
      <c r="I16" s="9">
        <v>1848.7</v>
      </c>
      <c r="J16" s="9">
        <v>1388.02</v>
      </c>
      <c r="K16" s="9">
        <f t="shared" si="4"/>
        <v>53.385384615384616</v>
      </c>
    </row>
    <row r="17" spans="1:11" x14ac:dyDescent="0.25">
      <c r="A17" s="23"/>
      <c r="B17" s="5" t="s">
        <v>10</v>
      </c>
      <c r="C17" s="17">
        <v>31</v>
      </c>
      <c r="D17" s="10">
        <v>13</v>
      </c>
      <c r="E17" s="7">
        <v>794.25</v>
      </c>
      <c r="F17" s="7">
        <v>208.35</v>
      </c>
      <c r="G17" s="7">
        <f t="shared" si="3"/>
        <v>16.026923076923076</v>
      </c>
      <c r="H17" s="11">
        <v>4</v>
      </c>
      <c r="I17" s="9">
        <v>234.75</v>
      </c>
      <c r="J17" s="9">
        <v>212.77</v>
      </c>
      <c r="K17" s="9">
        <f t="shared" si="4"/>
        <v>53.192500000000003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45</v>
      </c>
      <c r="E19" s="7">
        <v>3479.46</v>
      </c>
      <c r="F19" s="7">
        <v>923.45</v>
      </c>
      <c r="G19" s="7">
        <f t="shared" ref="G19:G22" si="5">F19/D19</f>
        <v>20.521111111111111</v>
      </c>
      <c r="H19" s="11">
        <v>4</v>
      </c>
      <c r="I19" s="9">
        <v>411.76</v>
      </c>
      <c r="J19" s="9">
        <v>651.27</v>
      </c>
      <c r="K19" s="9">
        <f t="shared" si="4"/>
        <v>162.8175</v>
      </c>
    </row>
    <row r="20" spans="1:11" x14ac:dyDescent="0.25">
      <c r="A20" s="23"/>
      <c r="B20" s="5" t="s">
        <v>13</v>
      </c>
      <c r="C20" s="17">
        <v>35</v>
      </c>
      <c r="D20" s="10">
        <v>173</v>
      </c>
      <c r="E20" s="7">
        <v>11081</v>
      </c>
      <c r="F20" s="7">
        <v>3122.32</v>
      </c>
      <c r="G20" s="7">
        <f t="shared" si="5"/>
        <v>18.048092485549134</v>
      </c>
      <c r="H20" s="12">
        <v>48</v>
      </c>
      <c r="I20" s="9">
        <v>2851</v>
      </c>
      <c r="J20" s="9">
        <v>1537.58</v>
      </c>
      <c r="K20" s="9">
        <f t="shared" si="4"/>
        <v>32.032916666666665</v>
      </c>
    </row>
    <row r="21" spans="1:11" x14ac:dyDescent="0.25">
      <c r="A21" s="23"/>
      <c r="B21" s="5" t="s">
        <v>17</v>
      </c>
      <c r="C21" s="17">
        <v>35</v>
      </c>
      <c r="D21" s="10">
        <v>12</v>
      </c>
      <c r="E21" s="7">
        <v>483</v>
      </c>
      <c r="F21" s="7">
        <v>45.04</v>
      </c>
      <c r="G21" s="7">
        <f t="shared" ref="G21" si="6">F21/D21</f>
        <v>3.7533333333333334</v>
      </c>
      <c r="H21" s="11">
        <v>11</v>
      </c>
      <c r="I21" s="9">
        <v>423</v>
      </c>
      <c r="J21" s="9">
        <v>301.33</v>
      </c>
      <c r="K21" s="9">
        <f t="shared" ref="K21" si="7">J21/H21</f>
        <v>27.393636363636361</v>
      </c>
    </row>
    <row r="22" spans="1:11" x14ac:dyDescent="0.25">
      <c r="A22" s="23"/>
      <c r="B22" s="5" t="s">
        <v>18</v>
      </c>
      <c r="C22" s="17">
        <v>35</v>
      </c>
      <c r="D22" s="10">
        <v>2</v>
      </c>
      <c r="E22" s="7">
        <v>164.85</v>
      </c>
      <c r="F22" s="7">
        <v>2.4</v>
      </c>
      <c r="G22" s="7">
        <f t="shared" si="5"/>
        <v>1.2</v>
      </c>
      <c r="H22" s="11">
        <v>1</v>
      </c>
      <c r="I22" s="9">
        <v>54.95</v>
      </c>
      <c r="J22" s="9">
        <v>277.44</v>
      </c>
      <c r="K22" s="9">
        <f t="shared" si="4"/>
        <v>277.44</v>
      </c>
    </row>
    <row r="23" spans="1:11" x14ac:dyDescent="0.25">
      <c r="A23" s="23"/>
      <c r="B23" s="5" t="s">
        <v>14</v>
      </c>
      <c r="C23" s="5"/>
      <c r="D23" s="13">
        <f>SUM(D15:D22)</f>
        <v>287</v>
      </c>
      <c r="E23" s="14">
        <f>SUM(E15:E22)</f>
        <v>19210.059999999998</v>
      </c>
      <c r="F23" s="14">
        <f>SUM(F15:F22)</f>
        <v>4844.57</v>
      </c>
      <c r="G23" s="14">
        <f>F23/D23</f>
        <v>16.880034843205575</v>
      </c>
      <c r="H23" s="15">
        <f>SUM(H15:H22)</f>
        <v>94</v>
      </c>
      <c r="I23" s="16">
        <f>SUM(I15:I22)</f>
        <v>5824.16</v>
      </c>
      <c r="J23" s="16">
        <f>SUM(J15:J22)</f>
        <v>4377.4599999999991</v>
      </c>
      <c r="K23" s="16">
        <f t="shared" ref="K23" si="8">J23/H23</f>
        <v>46.568723404255309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 t="e">
        <f t="shared" ref="D27:K35" si="9">(D15-D3)/D15</f>
        <v>#DIV/0!</v>
      </c>
      <c r="E27" s="21" t="e">
        <f t="shared" si="9"/>
        <v>#DIV/0!</v>
      </c>
      <c r="F27" s="21">
        <f t="shared" si="9"/>
        <v>7.4175824175824065E-2</v>
      </c>
      <c r="G27" s="21" t="e">
        <f t="shared" si="9"/>
        <v>#DIV/0!</v>
      </c>
      <c r="H27" s="21" t="e">
        <f t="shared" si="9"/>
        <v>#DIV/0!</v>
      </c>
      <c r="I27" s="21" t="e">
        <f t="shared" si="9"/>
        <v>#DIV/0!</v>
      </c>
      <c r="J27" s="21">
        <f t="shared" si="9"/>
        <v>-0.59116022099447507</v>
      </c>
      <c r="K27" s="21" t="e">
        <f t="shared" si="9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9"/>
        <v>0.21428571428571427</v>
      </c>
      <c r="E28" s="21">
        <f t="shared" si="9"/>
        <v>0.26795011691348397</v>
      </c>
      <c r="F28" s="21">
        <f t="shared" si="9"/>
        <v>0.22270917093805367</v>
      </c>
      <c r="G28" s="21">
        <f t="shared" si="9"/>
        <v>1.0720763012068375E-2</v>
      </c>
      <c r="H28" s="21">
        <f t="shared" si="9"/>
        <v>0.42307692307692307</v>
      </c>
      <c r="I28" s="21">
        <f t="shared" si="9"/>
        <v>0.38381024503705302</v>
      </c>
      <c r="J28" s="21">
        <f t="shared" si="9"/>
        <v>0.35683203412054582</v>
      </c>
      <c r="K28" s="21">
        <f t="shared" si="9"/>
        <v>-0.11482447419105399</v>
      </c>
    </row>
    <row r="29" spans="1:11" x14ac:dyDescent="0.25">
      <c r="A29" s="23"/>
      <c r="B29" s="5" t="s">
        <v>10</v>
      </c>
      <c r="C29" s="17">
        <v>31</v>
      </c>
      <c r="D29" s="21">
        <f t="shared" si="9"/>
        <v>0.15384615384615385</v>
      </c>
      <c r="E29" s="21">
        <f t="shared" si="9"/>
        <v>0.28932955618508022</v>
      </c>
      <c r="F29" s="21">
        <f t="shared" si="9"/>
        <v>0.24746820254379651</v>
      </c>
      <c r="G29" s="21">
        <f t="shared" si="9"/>
        <v>0.11064423936994136</v>
      </c>
      <c r="H29" s="21">
        <f t="shared" si="9"/>
        <v>0.5</v>
      </c>
      <c r="I29" s="21">
        <f t="shared" si="9"/>
        <v>0.70223642172523959</v>
      </c>
      <c r="J29" s="21">
        <f t="shared" si="9"/>
        <v>0.18743243878366322</v>
      </c>
      <c r="K29" s="21">
        <f t="shared" si="9"/>
        <v>-0.62513512243267355</v>
      </c>
    </row>
    <row r="30" spans="1:11" x14ac:dyDescent="0.25">
      <c r="A30" s="23"/>
      <c r="B30" s="5" t="s">
        <v>11</v>
      </c>
      <c r="C30" s="17">
        <v>15</v>
      </c>
      <c r="D30" s="21" t="e">
        <f t="shared" si="9"/>
        <v>#DIV/0!</v>
      </c>
      <c r="E30" s="21" t="e">
        <f t="shared" si="9"/>
        <v>#DIV/0!</v>
      </c>
      <c r="F30" s="21" t="e">
        <f t="shared" si="9"/>
        <v>#DIV/0!</v>
      </c>
      <c r="G30" s="21" t="e">
        <f t="shared" si="9"/>
        <v>#DIV/0!</v>
      </c>
      <c r="H30" s="21" t="e">
        <f t="shared" si="9"/>
        <v>#DIV/0!</v>
      </c>
      <c r="I30" s="21" t="e">
        <f t="shared" si="9"/>
        <v>#DIV/0!</v>
      </c>
      <c r="J30" s="21" t="e">
        <f t="shared" si="9"/>
        <v>#DIV/0!</v>
      </c>
      <c r="K30" s="21" t="e">
        <f t="shared" si="9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9"/>
        <v>-0.28888888888888886</v>
      </c>
      <c r="E31" s="21">
        <f t="shared" si="9"/>
        <v>-0.44660665735487687</v>
      </c>
      <c r="F31" s="21">
        <f t="shared" si="9"/>
        <v>-0.2458714602848015</v>
      </c>
      <c r="G31" s="21">
        <f t="shared" si="9"/>
        <v>3.3375591158343688E-2</v>
      </c>
      <c r="H31" s="21">
        <f t="shared" si="9"/>
        <v>-0.75</v>
      </c>
      <c r="I31" s="21">
        <f t="shared" si="9"/>
        <v>-0.37844861084126685</v>
      </c>
      <c r="J31" s="21">
        <f t="shared" si="9"/>
        <v>0.40107789396102989</v>
      </c>
      <c r="K31" s="21">
        <f t="shared" si="9"/>
        <v>0.65775879654915992</v>
      </c>
    </row>
    <row r="32" spans="1:11" x14ac:dyDescent="0.25">
      <c r="A32" s="23"/>
      <c r="B32" s="5" t="s">
        <v>13</v>
      </c>
      <c r="C32" s="17">
        <v>35</v>
      </c>
      <c r="D32" s="21">
        <f t="shared" si="9"/>
        <v>0.23121387283236994</v>
      </c>
      <c r="E32" s="21">
        <f t="shared" si="9"/>
        <v>0.21667719519898926</v>
      </c>
      <c r="F32" s="21">
        <f t="shared" si="9"/>
        <v>0.12439147813164579</v>
      </c>
      <c r="G32" s="21">
        <f t="shared" si="9"/>
        <v>-0.13894943070094193</v>
      </c>
      <c r="H32" s="21">
        <f t="shared" si="9"/>
        <v>0.60416666666666663</v>
      </c>
      <c r="I32" s="21">
        <f t="shared" si="9"/>
        <v>0.60154331813398809</v>
      </c>
      <c r="J32" s="21">
        <f t="shared" si="9"/>
        <v>0.3402879850154138</v>
      </c>
      <c r="K32" s="21">
        <f t="shared" si="9"/>
        <v>-0.66664087996106003</v>
      </c>
    </row>
    <row r="33" spans="1:11" x14ac:dyDescent="0.25">
      <c r="A33" s="23"/>
      <c r="B33" s="5" t="s">
        <v>17</v>
      </c>
      <c r="C33" s="17">
        <v>35</v>
      </c>
      <c r="D33" s="21">
        <f t="shared" si="9"/>
        <v>1</v>
      </c>
      <c r="E33" s="21">
        <f t="shared" si="9"/>
        <v>0.83850931677018636</v>
      </c>
      <c r="F33" s="21">
        <f t="shared" si="9"/>
        <v>0.67229129662522202</v>
      </c>
      <c r="G33" s="21" t="e">
        <f t="shared" si="9"/>
        <v>#DIV/0!</v>
      </c>
      <c r="H33" s="21">
        <f t="shared" si="9"/>
        <v>0.63636363636363635</v>
      </c>
      <c r="I33" s="21">
        <f t="shared" si="9"/>
        <v>0.63829787234042556</v>
      </c>
      <c r="J33" s="21">
        <f t="shared" si="9"/>
        <v>0.55683138087810702</v>
      </c>
      <c r="K33" s="21">
        <f t="shared" si="9"/>
        <v>-0.21871370258520564</v>
      </c>
    </row>
    <row r="34" spans="1:11" x14ac:dyDescent="0.25">
      <c r="A34" s="23"/>
      <c r="B34" s="5" t="s">
        <v>18</v>
      </c>
      <c r="C34" s="17">
        <v>35</v>
      </c>
      <c r="D34" s="21">
        <f t="shared" si="9"/>
        <v>0.5</v>
      </c>
      <c r="E34" s="21">
        <f t="shared" si="9"/>
        <v>0.33333333333333326</v>
      </c>
      <c r="F34" s="21">
        <f t="shared" si="9"/>
        <v>-2.2625000000000002</v>
      </c>
      <c r="G34" s="21">
        <f t="shared" si="9"/>
        <v>-5.5250000000000004</v>
      </c>
      <c r="H34" s="21">
        <f t="shared" si="9"/>
        <v>-2</v>
      </c>
      <c r="I34" s="21">
        <f t="shared" si="9"/>
        <v>-1.9999999999999998</v>
      </c>
      <c r="J34" s="21">
        <f t="shared" si="9"/>
        <v>0.42611014994232987</v>
      </c>
      <c r="K34" s="21">
        <f t="shared" si="9"/>
        <v>0.80870338331410996</v>
      </c>
    </row>
    <row r="35" spans="1:11" x14ac:dyDescent="0.25">
      <c r="A35" s="23"/>
      <c r="B35" s="5" t="s">
        <v>14</v>
      </c>
      <c r="C35" s="5"/>
      <c r="D35" s="22">
        <f t="shared" si="9"/>
        <v>0.17770034843205576</v>
      </c>
      <c r="E35" s="22">
        <f t="shared" si="9"/>
        <v>0.12473932928892448</v>
      </c>
      <c r="F35" s="22">
        <f t="shared" si="9"/>
        <v>7.3480205673568472E-2</v>
      </c>
      <c r="G35" s="22">
        <f t="shared" si="9"/>
        <v>-0.12674229225290617</v>
      </c>
      <c r="H35" s="22">
        <f t="shared" si="9"/>
        <v>0.46808510638297873</v>
      </c>
      <c r="I35" s="22">
        <f t="shared" si="9"/>
        <v>0.44532945523474626</v>
      </c>
      <c r="J35" s="22">
        <f t="shared" si="9"/>
        <v>0.36556816053144964</v>
      </c>
      <c r="K35" s="22">
        <f t="shared" si="9"/>
        <v>-0.19273185820087468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2025-01-06T13:37:22Z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