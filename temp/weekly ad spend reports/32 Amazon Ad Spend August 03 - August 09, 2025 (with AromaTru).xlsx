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AF8C0C3-41F7-469D-8703-406051182084}" xr6:coauthVersionLast="47" xr6:coauthVersionMax="47" xr10:uidLastSave="{00000000-0000-0000-0000-000000000000}"/>
  <bookViews>
    <workbookView xWindow="2730" yWindow="2625" windowWidth="2467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<sst xmlns="http://schemas.openxmlformats.org/spreadsheetml/2006/main" count="66" uniqueCount="20">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</sst>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4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45865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45871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27</v>
      </c>
      <c r="E4" s="7">
        <v>1878.45</v>
      </c>
      <c r="F4" s="7">
        <v>393.6</v>
      </c>
      <c r="G4" s="7">
        <f t="shared" si="0"/>
        <v>14.577777777777779</v>
      </c>
      <c r="H4" s="11">
        <v>4</v>
      </c>
      <c r="I4" s="9">
        <v>339.75</v>
      </c>
      <c r="J4" s="9">
        <v>412.72</v>
      </c>
      <c r="K4" s="9">
        <f t="shared" si="1"/>
        <v>103.18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36</v>
      </c>
      <c r="E7" s="27">
        <v>2607.85</v>
      </c>
      <c r="F7" s="27">
        <v>619.37</v>
      </c>
      <c r="G7" s="7">
        <f t="shared" si="0"/>
        <v>17.204722222222223</v>
      </c>
      <c r="H7" s="11">
        <v>7</v>
      </c>
      <c r="I7" s="9">
        <v>429.65</v>
      </c>
      <c r="J7" s="9">
        <v>827.1</v>
      </c>
      <c r="K7" s="9">
        <f t="shared" si="1"/>
        <v>118.15714285714286</v>
      </c>
    </row>
    <row r="8" spans="1:11" x14ac:dyDescent="0.25">
      <c r="A8" s="23"/>
      <c r="B8" s="5" t="s">
        <v>13</v>
      </c>
      <c r="C8" s="17">
        <v>35</v>
      </c>
      <c r="D8" s="10">
        <v>109</v>
      </c>
      <c r="E8" s="7">
        <v>7811.4</v>
      </c>
      <c r="F8" s="7">
        <v>2615.0499999999997</v>
      </c>
      <c r="G8" s="7">
        <f t="shared" si="0"/>
        <v>23.991284403669724</v>
      </c>
      <c r="H8" s="12">
        <v>18</v>
      </c>
      <c r="I8" s="9">
        <v>1319.9</v>
      </c>
      <c r="J8" s="9">
        <v>1194.01</v>
      </c>
      <c r="K8" s="9">
        <f t="shared" si="1"/>
        <v>66.333888888888893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13.61</v>
      </c>
      <c r="G10" s="7">
        <f t="shared" si="0"/>
        <v>13.61</v>
      </c>
      <c r="H10" s="11">
        <v>0</v>
      </c>
      <c r="I10" s="9">
        <v>0</v>
      </c>
      <c r="J10" s="9">
        <v>82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2</v>
      </c>
      <c r="E11" s="7">
        <v>65</v>
      </c>
      <c r="F11" s="7">
        <v>25.68</v>
      </c>
      <c r="G11" s="7">
        <f t="shared" si="0"/>
        <v>12.84</v>
      </c>
      <c r="H11" s="11">
        <v>1</v>
      </c>
      <c r="I11" s="9">
        <v>192</v>
      </c>
      <c r="J11" s="9">
        <v>41.04</v>
      </c>
      <c r="K11" s="9">
        <f t="shared" si="1"/>
        <v>41.04</v>
      </c>
    </row>
    <row r="12" spans="1:11" x14ac:dyDescent="0.25">
      <c r="A12" s="23"/>
      <c r="B12" s="5" t="s">
        <v>14</v>
      </c>
      <c r="C12" s="5"/>
      <c r="D12" s="13">
        <f>SUM(D3:D11)</f>
        <v>175</v>
      </c>
      <c r="E12" s="14">
        <f>SUM(E3:E11)</f>
        <v>12417.650000000001</v>
      </c>
      <c r="F12" s="14">
        <f>SUM(F3:F11)</f>
        <v>3667.3099999999995</v>
      </c>
      <c r="G12" s="14">
        <f>F12/D12</f>
        <v>20.956057142857141</v>
      </c>
      <c r="H12" s="15">
        <f>SUM(H3:H11)</f>
        <v>30</v>
      </c>
      <c r="I12" s="16">
        <f>SUM(I3:I11)</f>
        <v>2281.3000000000002</v>
      </c>
      <c r="J12" s="16">
        <f>SUM(J3:J11)</f>
        <v>2556.87</v>
      </c>
      <c r="K12" s="16">
        <f t="shared" ref="K12" si="2">J12/H12</f>
        <v>85.228999999999999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45872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45878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27</v>
      </c>
      <c r="E17" s="7">
        <v>2068.3000000000002</v>
      </c>
      <c r="F17" s="7">
        <v>429.69</v>
      </c>
      <c r="G17" s="7">
        <f t="shared" si="3"/>
        <v>15.914444444444444</v>
      </c>
      <c r="H17" s="11">
        <v>8</v>
      </c>
      <c r="I17" s="9">
        <v>599.54999999999995</v>
      </c>
      <c r="J17" s="9">
        <v>614.43999999999994</v>
      </c>
      <c r="K17" s="9">
        <f t="shared" si="4"/>
        <v>76.804999999999993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40</v>
      </c>
      <c r="E20" s="27">
        <v>2967.6</v>
      </c>
      <c r="F20" s="27">
        <v>672.94</v>
      </c>
      <c r="G20" s="7">
        <f t="shared" si="3"/>
        <v>16.823500000000003</v>
      </c>
      <c r="H20" s="11">
        <v>12</v>
      </c>
      <c r="I20" s="9">
        <v>744.45</v>
      </c>
      <c r="J20" s="9">
        <v>938.86</v>
      </c>
      <c r="K20" s="9">
        <f t="shared" si="4"/>
        <v>78.23833333333333</v>
      </c>
    </row>
    <row r="21" spans="1:11" x14ac:dyDescent="0.25">
      <c r="A21" s="23"/>
      <c r="B21" s="5" t="s">
        <v>13</v>
      </c>
      <c r="C21" s="17">
        <v>35</v>
      </c>
      <c r="D21" s="10">
        <v>100</v>
      </c>
      <c r="E21" s="7">
        <v>7160.2999999999993</v>
      </c>
      <c r="F21" s="7">
        <v>2414.9699999999998</v>
      </c>
      <c r="G21" s="7">
        <f t="shared" si="3"/>
        <v>24.149699999999999</v>
      </c>
      <c r="H21" s="12">
        <v>33</v>
      </c>
      <c r="I21" s="9">
        <v>2107.9</v>
      </c>
      <c r="J21" s="9">
        <v>1349.23</v>
      </c>
      <c r="K21" s="9">
        <f t="shared" si="4"/>
        <v>40.885757575757573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7.46</v>
      </c>
      <c r="G23" s="7" t="e">
        <f t="shared" ref="G23" si="6">F23/D23</f>
        <v>#DIV/0!</v>
      </c>
      <c r="H23" s="11">
        <v>0</v>
      </c>
      <c r="I23" s="9">
        <v>0</v>
      </c>
      <c r="J23" s="9">
        <v>65.84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30</v>
      </c>
      <c r="F24" s="7">
        <v>10.27</v>
      </c>
      <c r="G24" s="7">
        <f t="shared" si="3"/>
        <v>10.27</v>
      </c>
      <c r="H24" s="11">
        <v>0</v>
      </c>
      <c r="I24" s="9">
        <v>0</v>
      </c>
      <c r="J24" s="9">
        <v>45.99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168</v>
      </c>
      <c r="E25" s="14">
        <f>SUM(E16:E24)</f>
        <v>12226.199999999999</v>
      </c>
      <c r="F25" s="14">
        <f>SUM(F16:F24)</f>
        <v>3535.33</v>
      </c>
      <c r="G25" s="14">
        <f>F25/D25</f>
        <v>21.043630952380951</v>
      </c>
      <c r="H25" s="15">
        <f>SUM(H16:H24)</f>
        <v>53</v>
      </c>
      <c r="I25" s="16">
        <f>SUM(I16:I24)</f>
        <v>3451.9</v>
      </c>
      <c r="J25" s="16">
        <f>SUM(J16:J24)</f>
        <v>3014.3599999999997</v>
      </c>
      <c r="K25" s="16">
        <f t="shared" ref="K25" si="7">J25/H25</f>
        <v>56.874716981132067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</v>
      </c>
      <c r="E30" s="21">
        <f t="shared" si="8"/>
        <v>9.1790359232219759E-2</v>
      </c>
      <c r="F30" s="21">
        <f t="shared" si="8"/>
        <v>8.3990784053619996E-2</v>
      </c>
      <c r="G30" s="21">
        <f t="shared" si="8"/>
        <v>8.3990784053619899E-2</v>
      </c>
      <c r="H30" s="21">
        <f t="shared" si="8"/>
        <v>0.5</v>
      </c>
      <c r="I30" s="21">
        <f t="shared" si="8"/>
        <v>0.43332499374530892</v>
      </c>
      <c r="J30" s="21">
        <f>(J17-J4)/J17</f>
        <v>0.32829893887116712</v>
      </c>
      <c r="K30" s="21">
        <f t="shared" si="8"/>
        <v>-0.34340212225766575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0.1</v>
      </c>
      <c r="E33" s="21">
        <f t="shared" si="8"/>
        <v>0.12122590645639575</v>
      </c>
      <c r="F33" s="21">
        <f t="shared" si="8"/>
        <v>7.9605908401937833E-2</v>
      </c>
      <c r="G33" s="21">
        <f t="shared" si="8"/>
        <v>-2.2660101775624591E-2</v>
      </c>
      <c r="H33" s="21">
        <f t="shared" si="8"/>
        <v>0.41666666666666669</v>
      </c>
      <c r="I33" s="21">
        <f t="shared" si="8"/>
        <v>0.42286251595137359</v>
      </c>
      <c r="J33" s="21">
        <f t="shared" si="8"/>
        <v>0.11903798223377286</v>
      </c>
      <c r="K33" s="21">
        <f t="shared" si="8"/>
        <v>-0.51022060188496088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-0.09</v>
      </c>
      <c r="E34" s="21">
        <f t="shared" si="8"/>
        <v>-9.093194419228251E-2</v>
      </c>
      <c r="F34" s="21">
        <f t="shared" si="8"/>
        <v>-8.2849890474829893E-2</v>
      </c>
      <c r="G34" s="21">
        <f t="shared" si="8"/>
        <v>6.5597335093303677E-3</v>
      </c>
      <c r="H34" s="21">
        <f t="shared" si="8"/>
        <v>0.45454545454545453</v>
      </c>
      <c r="I34" s="21">
        <f t="shared" si="8"/>
        <v>0.37383177570093457</v>
      </c>
      <c r="J34" s="21">
        <f t="shared" si="8"/>
        <v>0.11504339512166201</v>
      </c>
      <c r="K34" s="21">
        <f t="shared" si="8"/>
        <v>-0.62242044227695326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>
        <f t="shared" si="9"/>
        <v>-0.82439678284182294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>
        <f t="shared" si="9"/>
        <v>-0.24544349939246651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-1</v>
      </c>
      <c r="E37" s="21">
        <f t="shared" si="9"/>
        <v>-1.1666666666666667</v>
      </c>
      <c r="F37" s="21">
        <f t="shared" si="9"/>
        <v>-1.5004868549172348</v>
      </c>
      <c r="G37" s="21">
        <f t="shared" si="9"/>
        <v>-0.25024342745861738</v>
      </c>
      <c r="H37" s="21" t="e">
        <f t="shared" si="9"/>
        <v>#DIV/0!</v>
      </c>
      <c r="I37" s="21" t="e">
        <f t="shared" si="9"/>
        <v>#DIV/0!</v>
      </c>
      <c r="J37" s="21">
        <f t="shared" si="9"/>
        <v>0.10763209393346386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-4.1666666666666664E-2</v>
      </c>
      <c r="E38" s="22">
        <f t="shared" si="9"/>
        <v>-1.5658994618115405E-2</v>
      </c>
      <c r="F38" s="22">
        <f t="shared" si="9"/>
        <v>-3.7331734236973509E-2</v>
      </c>
      <c r="G38" s="22">
        <f t="shared" si="9"/>
        <v>4.16153513250536E-3</v>
      </c>
      <c r="H38" s="22">
        <f t="shared" si="9"/>
        <v>0.43396226415094341</v>
      </c>
      <c r="I38" s="22">
        <f t="shared" si="9"/>
        <v>0.33911758741562614</v>
      </c>
      <c r="J38" s="22">
        <f t="shared" si="9"/>
        <v>0.1517701933412067</v>
      </c>
      <c r="K38" s="22">
        <f t="shared" si="9"/>
        <v>-0.49853932509720161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2025-08-11T12:32:10Z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