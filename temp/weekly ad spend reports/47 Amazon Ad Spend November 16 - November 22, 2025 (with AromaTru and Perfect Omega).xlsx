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26A8D99-DE84-41ED-8D52-6EC00ED00FBF}" xr6:coauthVersionLast="47" xr6:coauthVersionMax="47" xr10:uidLastSave="{00000000-0000-0000-0000-000000000000}"/>
  <bookViews>
    <workbookView xWindow="2550" yWindow="2550" windowWidth="2293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13" i="2"/>
  <c r="E13" i="2"/>
  <c r="F13" i="2"/>
  <c r="G13" i="2" s="1"/>
  <c r="H13" i="2"/>
  <c r="I13" i="2"/>
  <c r="J13" i="2"/>
  <c r="G25" i="2"/>
  <c r="G24" i="2"/>
  <c r="G19" i="2"/>
  <c r="K13" i="2" l="1"/>
  <c r="K25" i="2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G26" i="2" l="1"/>
  <c r="G23" i="2"/>
  <c r="G22" i="2"/>
  <c r="G21" i="2"/>
  <c r="G18" i="2"/>
  <c r="G17" i="2"/>
  <c r="G20" i="2" l="1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<sst xmlns="http://schemas.openxmlformats.org/spreadsheetml/2006/main" count="68" uniqueCount="21">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</sst>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topLeftCell="A7" workbookViewId="0">
      <selection activeCell="J15" sqref="J15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45970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45976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31</v>
      </c>
      <c r="E4" s="7">
        <v>2168.25</v>
      </c>
      <c r="F4" s="7">
        <v>970.94</v>
      </c>
      <c r="G4" s="7">
        <f t="shared" si="0"/>
        <v>31.320645161290326</v>
      </c>
      <c r="H4" s="11">
        <v>10</v>
      </c>
      <c r="I4" s="9">
        <v>639.5</v>
      </c>
      <c r="J4" s="9">
        <v>839.18999999999994</v>
      </c>
      <c r="K4" s="9">
        <f t="shared" si="1"/>
        <v>83.918999999999997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2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26</v>
      </c>
      <c r="E7" s="27">
        <v>1788.55</v>
      </c>
      <c r="F7" s="27">
        <v>528.07000000000005</v>
      </c>
      <c r="G7" s="7">
        <f t="shared" si="0"/>
        <v>20.310384615384617</v>
      </c>
      <c r="H7" s="11">
        <v>13</v>
      </c>
      <c r="I7" s="9">
        <v>874.4</v>
      </c>
      <c r="J7" s="9">
        <v>759.41</v>
      </c>
      <c r="K7" s="9">
        <f t="shared" si="1"/>
        <v>58.416153846153847</v>
      </c>
    </row>
    <row r="8" spans="1:11" x14ac:dyDescent="0.25">
      <c r="A8" s="23"/>
      <c r="B8" s="5" t="s">
        <v>13</v>
      </c>
      <c r="C8" s="17">
        <v>35</v>
      </c>
      <c r="D8" s="10">
        <v>123</v>
      </c>
      <c r="E8" s="7">
        <v>8400</v>
      </c>
      <c r="F8" s="7">
        <v>3037.92</v>
      </c>
      <c r="G8" s="7">
        <f t="shared" si="0"/>
        <v>24.698536585365854</v>
      </c>
      <c r="H8" s="12">
        <v>21</v>
      </c>
      <c r="I8" s="9">
        <v>1340</v>
      </c>
      <c r="J8" s="9">
        <v>1596.04</v>
      </c>
      <c r="K8" s="9">
        <f t="shared" si="1"/>
        <v>76.001904761904754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47.65</v>
      </c>
      <c r="G9" s="7" t="e">
        <f t="shared" si="0"/>
        <v>#DIV/0!</v>
      </c>
      <c r="H9" s="12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2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0</v>
      </c>
      <c r="G11" s="7" t="e">
        <f t="shared" si="0"/>
        <v>#DIV/0!</v>
      </c>
      <c r="H11" s="12">
        <v>0</v>
      </c>
      <c r="I11" s="9">
        <v>0</v>
      </c>
      <c r="J11" s="9">
        <v>0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1</v>
      </c>
      <c r="E12" s="7">
        <v>32.5</v>
      </c>
      <c r="F12" s="7">
        <v>31.33</v>
      </c>
      <c r="G12" s="7">
        <f t="shared" si="0"/>
        <v>31.33</v>
      </c>
      <c r="H12" s="11">
        <v>5</v>
      </c>
      <c r="I12" s="9">
        <v>175</v>
      </c>
      <c r="J12" s="9">
        <v>118.73</v>
      </c>
      <c r="K12" s="9">
        <f t="shared" si="1"/>
        <v>23.746000000000002</v>
      </c>
    </row>
    <row r="13" spans="1:11" x14ac:dyDescent="0.25">
      <c r="A13" s="23"/>
      <c r="B13" s="5" t="s">
        <v>14</v>
      </c>
      <c r="C13" s="5"/>
      <c r="D13" s="13">
        <f>SUM(D3:D12)</f>
        <v>181</v>
      </c>
      <c r="E13" s="14">
        <f>SUM(E3:E12)</f>
        <v>12389.3</v>
      </c>
      <c r="F13" s="14">
        <f>SUM(F3:F12)</f>
        <v>4615.91</v>
      </c>
      <c r="G13" s="14">
        <f>F13/D13</f>
        <v>25.502265193370164</v>
      </c>
      <c r="H13" s="15">
        <f>SUM(H3:H12)</f>
        <v>49</v>
      </c>
      <c r="I13" s="16">
        <f>SUM(I3:I12)</f>
        <v>3028.9</v>
      </c>
      <c r="J13" s="16">
        <f>SUM(J3:J12)</f>
        <v>3313.37</v>
      </c>
      <c r="K13" s="16">
        <f t="shared" ref="K13" si="2">J13/H13</f>
        <v>67.619795918367345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45977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45983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45</v>
      </c>
      <c r="E18" s="7">
        <v>3187.4</v>
      </c>
      <c r="F18" s="7">
        <v>981.52</v>
      </c>
      <c r="G18" s="7">
        <f t="shared" si="3"/>
        <v>21.811555555555554</v>
      </c>
      <c r="H18" s="11">
        <v>23</v>
      </c>
      <c r="I18" s="9">
        <v>1488.8500000000001</v>
      </c>
      <c r="J18" s="9">
        <v>914.37</v>
      </c>
      <c r="K18" s="9">
        <f t="shared" si="4"/>
        <v>39.755217391304349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27</v>
      </c>
      <c r="E21" s="27">
        <v>1818.5</v>
      </c>
      <c r="F21" s="27">
        <v>638.67999999999995</v>
      </c>
      <c r="G21" s="7">
        <f t="shared" si="3"/>
        <v>23.654814814814813</v>
      </c>
      <c r="H21" s="11">
        <v>11</v>
      </c>
      <c r="I21" s="9">
        <v>749.5</v>
      </c>
      <c r="J21" s="9">
        <v>806.15</v>
      </c>
      <c r="K21" s="9">
        <f t="shared" si="4"/>
        <v>73.286363636363632</v>
      </c>
    </row>
    <row r="22" spans="1:11" x14ac:dyDescent="0.25">
      <c r="A22" s="23"/>
      <c r="B22" s="5" t="s">
        <v>13</v>
      </c>
      <c r="C22" s="17">
        <v>35</v>
      </c>
      <c r="D22" s="10">
        <v>146</v>
      </c>
      <c r="E22" s="7">
        <v>10520</v>
      </c>
      <c r="F22" s="7">
        <v>3987.64</v>
      </c>
      <c r="G22" s="7">
        <f t="shared" si="3"/>
        <v>27.312602739726028</v>
      </c>
      <c r="H22" s="12">
        <v>30</v>
      </c>
      <c r="I22" s="9">
        <v>1895</v>
      </c>
      <c r="J22" s="9">
        <v>1970.4</v>
      </c>
      <c r="K22" s="9">
        <f t="shared" si="4"/>
        <v>65.680000000000007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28.7</v>
      </c>
      <c r="G23" s="7" t="e">
        <f t="shared" si="3"/>
        <v>#DIV/0!</v>
      </c>
      <c r="H23" s="12">
        <v>0</v>
      </c>
      <c r="I23" s="9">
        <v>0</v>
      </c>
      <c r="J23" s="9">
        <v>6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0</v>
      </c>
      <c r="G25" s="7" t="e">
        <f t="shared" si="7"/>
        <v>#DIV/0!</v>
      </c>
      <c r="H25" s="12">
        <v>0</v>
      </c>
      <c r="I25" s="9">
        <v>0</v>
      </c>
      <c r="J25" s="9">
        <v>2.35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0</v>
      </c>
      <c r="E26" s="7">
        <v>0</v>
      </c>
      <c r="F26" s="7">
        <v>18.260000000000002</v>
      </c>
      <c r="G26" s="7" t="e">
        <f t="shared" si="3"/>
        <v>#DIV/0!</v>
      </c>
      <c r="H26" s="11">
        <v>2</v>
      </c>
      <c r="I26" s="9">
        <v>90.04</v>
      </c>
      <c r="J26" s="9">
        <v>100.63</v>
      </c>
      <c r="K26" s="9">
        <f t="shared" si="4"/>
        <v>50.314999999999998</v>
      </c>
    </row>
    <row r="27" spans="1:11" x14ac:dyDescent="0.25">
      <c r="A27" s="23"/>
      <c r="B27" s="5" t="s">
        <v>14</v>
      </c>
      <c r="C27" s="5"/>
      <c r="D27" s="13">
        <f>SUM(D17:D26)</f>
        <v>218</v>
      </c>
      <c r="E27" s="14">
        <f>SUM(E17:E26)</f>
        <v>15525.9</v>
      </c>
      <c r="F27" s="14">
        <f>SUM(F17:F26)</f>
        <v>5654.8</v>
      </c>
      <c r="G27" s="14">
        <f>F27/D27</f>
        <v>25.939449541284404</v>
      </c>
      <c r="H27" s="15">
        <f>SUM(H17:H26)</f>
        <v>66</v>
      </c>
      <c r="I27" s="16">
        <f>SUM(I17:I26)</f>
        <v>4223.3900000000003</v>
      </c>
      <c r="J27" s="16">
        <f>SUM(J17:J26)</f>
        <v>3799.9</v>
      </c>
      <c r="K27" s="16">
        <f t="shared" ref="K27" si="8">J27/H27</f>
        <v>57.574242424242428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0.31111111111111112</v>
      </c>
      <c r="E32" s="21">
        <f t="shared" si="9"/>
        <v>0.31974336449770974</v>
      </c>
      <c r="F32" s="21">
        <f t="shared" si="9"/>
        <v>1.0779199608769998E-2</v>
      </c>
      <c r="G32" s="21">
        <f t="shared" si="9"/>
        <v>-0.43596567798726954</v>
      </c>
      <c r="H32" s="21">
        <f t="shared" si="9"/>
        <v>0.56521739130434778</v>
      </c>
      <c r="I32" s="21">
        <f t="shared" si="9"/>
        <v>0.57047385566040909</v>
      </c>
      <c r="J32" s="21">
        <f t="shared" si="9"/>
        <v>8.2220545293480829E-2</v>
      </c>
      <c r="K32" s="21">
        <f t="shared" si="9"/>
        <v>-1.1108927458249942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 t="e">
        <f t="shared" si="9"/>
        <v>#DIV/0!</v>
      </c>
      <c r="I33" s="21" t="e">
        <f t="shared" si="9"/>
        <v>#DIV/0!</v>
      </c>
      <c r="J33" s="21" t="e">
        <f t="shared" si="9"/>
        <v>#DIV/0!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3.7037037037037035E-2</v>
      </c>
      <c r="E35" s="21">
        <f t="shared" si="9"/>
        <v>1.6469617816882071E-2</v>
      </c>
      <c r="F35" s="21">
        <f t="shared" si="9"/>
        <v>0.17318531972192633</v>
      </c>
      <c r="G35" s="21">
        <f t="shared" si="9"/>
        <v>0.14138475509584658</v>
      </c>
      <c r="H35" s="21">
        <f t="shared" si="9"/>
        <v>-0.18181818181818182</v>
      </c>
      <c r="I35" s="21">
        <f t="shared" si="9"/>
        <v>-0.16664442961974646</v>
      </c>
      <c r="J35" s="21">
        <f t="shared" si="9"/>
        <v>5.797928425231038E-2</v>
      </c>
      <c r="K35" s="21">
        <f t="shared" si="9"/>
        <v>0.20290554821349333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0.15753424657534246</v>
      </c>
      <c r="E36" s="21">
        <f t="shared" si="9"/>
        <v>0.20152091254752852</v>
      </c>
      <c r="F36" s="21">
        <f t="shared" si="9"/>
        <v>0.23816593273214229</v>
      </c>
      <c r="G36" s="21">
        <f t="shared" si="9"/>
        <v>9.5709155925957551E-2</v>
      </c>
      <c r="H36" s="21">
        <f t="shared" si="9"/>
        <v>0.3</v>
      </c>
      <c r="I36" s="21">
        <f t="shared" si="9"/>
        <v>0.29287598944591031</v>
      </c>
      <c r="J36" s="21">
        <f t="shared" si="9"/>
        <v>0.18999187982135612</v>
      </c>
      <c r="K36" s="21">
        <f t="shared" si="9"/>
        <v>-0.15715445739806252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>
        <f t="shared" si="9"/>
        <v>-0.66027874564459932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>
        <f t="shared" si="9"/>
        <v>1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 t="e">
        <f t="shared" ref="D39:K40" si="10">(D26-D12)/D26</f>
        <v>#DIV/0!</v>
      </c>
      <c r="E39" s="21" t="e">
        <f t="shared" si="10"/>
        <v>#DIV/0!</v>
      </c>
      <c r="F39" s="21">
        <f t="shared" si="10"/>
        <v>-0.71577217962760109</v>
      </c>
      <c r="G39" s="21" t="e">
        <f t="shared" si="10"/>
        <v>#DIV/0!</v>
      </c>
      <c r="H39" s="21">
        <f t="shared" si="10"/>
        <v>-1.5</v>
      </c>
      <c r="I39" s="21">
        <f t="shared" si="10"/>
        <v>-0.94358063083074173</v>
      </c>
      <c r="J39" s="21">
        <f t="shared" si="10"/>
        <v>-0.17986683891483662</v>
      </c>
      <c r="K39" s="21">
        <f t="shared" si="10"/>
        <v>0.52805326443406531</v>
      </c>
    </row>
    <row r="40" spans="1:11" x14ac:dyDescent="0.25">
      <c r="A40" s="23"/>
      <c r="B40" s="5" t="s">
        <v>14</v>
      </c>
      <c r="C40" s="5"/>
      <c r="D40" s="22">
        <f t="shared" si="10"/>
        <v>0.16972477064220184</v>
      </c>
      <c r="E40" s="22">
        <f t="shared" si="10"/>
        <v>0.20202371521135654</v>
      </c>
      <c r="F40" s="22">
        <f t="shared" si="10"/>
        <v>0.18371825705595252</v>
      </c>
      <c r="G40" s="22">
        <f t="shared" si="10"/>
        <v>1.6854033360208017E-2</v>
      </c>
      <c r="H40" s="22">
        <f t="shared" si="10"/>
        <v>0.25757575757575757</v>
      </c>
      <c r="I40" s="22">
        <f t="shared" si="10"/>
        <v>0.28282730223824942</v>
      </c>
      <c r="J40" s="22">
        <f t="shared" si="10"/>
        <v>0.12803757993631415</v>
      </c>
      <c r="K40" s="22">
        <f t="shared" si="10"/>
        <v>-0.17447999437149517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2025-11-24T13:15:33Z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