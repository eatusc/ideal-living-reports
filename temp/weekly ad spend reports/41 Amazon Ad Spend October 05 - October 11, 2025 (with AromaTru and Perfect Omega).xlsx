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839FDB6-F0EA-4FFE-B786-A6392DD9D6EE}" xr6:coauthVersionLast="47" xr6:coauthVersionMax="47" xr10:uidLastSave="{00000000-0000-0000-0000-000000000000}"/>
  <bookViews>
    <workbookView xWindow="3510" yWindow="2190" windowWidth="2289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2" l="1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25" i="2"/>
  <c r="G25" i="2"/>
  <c r="D32" i="2"/>
  <c r="D31" i="2"/>
  <c r="J32" i="2" l="1"/>
  <c r="J38" i="2"/>
  <c r="I38" i="2"/>
  <c r="H38" i="2"/>
  <c r="F38" i="2"/>
  <c r="E38" i="2"/>
  <c r="D38" i="2"/>
  <c r="K24" i="2" l="1"/>
  <c r="K38" i="2" s="1"/>
  <c r="G24" i="2"/>
  <c r="G38" i="2" s="1"/>
  <c r="J13" i="2" l="1"/>
  <c r="I13" i="2"/>
  <c r="H13" i="2"/>
  <c r="F13" i="2"/>
  <c r="E13" i="2"/>
  <c r="D13" i="2"/>
  <c r="G26" i="2"/>
  <c r="G23" i="2"/>
  <c r="G22" i="2"/>
  <c r="G21" i="2"/>
  <c r="G19" i="2"/>
  <c r="G18" i="2"/>
  <c r="G17" i="2"/>
  <c r="K13" i="2" l="1"/>
  <c r="G13" i="2"/>
  <c r="G20" i="2"/>
  <c r="K20" i="2" l="1"/>
  <c r="J37" i="2" l="1"/>
  <c r="I37" i="2"/>
  <c r="H37" i="2"/>
  <c r="F37" i="2"/>
  <c r="E37" i="2"/>
  <c r="D37" i="2"/>
  <c r="K23" i="2"/>
  <c r="K37" i="2" s="1"/>
  <c r="G37" i="2"/>
  <c r="K26" i="2" l="1"/>
  <c r="K22" i="2"/>
  <c r="K21" i="2"/>
  <c r="K19" i="2"/>
  <c r="K18" i="2"/>
  <c r="K17" i="2"/>
  <c r="J36" i="2" l="1"/>
  <c r="I36" i="2"/>
  <c r="H36" i="2"/>
  <c r="F36" i="2"/>
  <c r="E36" i="2"/>
  <c r="D36" i="2"/>
  <c r="K36" i="2" l="1"/>
  <c r="G36" i="2"/>
  <c r="H27" i="2" l="1"/>
  <c r="J39" i="2" l="1"/>
  <c r="I39" i="2"/>
  <c r="H39" i="2"/>
  <c r="F39" i="2"/>
  <c r="E39" i="2"/>
  <c r="D39" i="2"/>
  <c r="J35" i="2"/>
  <c r="I35" i="2"/>
  <c r="H35" i="2"/>
  <c r="F35" i="2"/>
  <c r="E35" i="2"/>
  <c r="D35" i="2"/>
  <c r="J34" i="2"/>
  <c r="I34" i="2"/>
  <c r="H34" i="2"/>
  <c r="F34" i="2"/>
  <c r="E34" i="2"/>
  <c r="D34" i="2"/>
  <c r="J33" i="2"/>
  <c r="I33" i="2"/>
  <c r="H33" i="2"/>
  <c r="F33" i="2"/>
  <c r="E33" i="2"/>
  <c r="D33" i="2"/>
  <c r="I32" i="2"/>
  <c r="H32" i="2"/>
  <c r="F32" i="2"/>
  <c r="E32" i="2"/>
  <c r="J31" i="2"/>
  <c r="I31" i="2"/>
  <c r="H31" i="2"/>
  <c r="F31" i="2"/>
  <c r="E31" i="2"/>
  <c r="J27" i="2"/>
  <c r="I27" i="2"/>
  <c r="H40" i="2"/>
  <c r="F27" i="2"/>
  <c r="E27" i="2"/>
  <c r="D27" i="2"/>
  <c r="G33" i="2"/>
  <c r="G31" i="2"/>
  <c r="E40" i="2" l="1"/>
  <c r="D40" i="2"/>
  <c r="G39" i="2"/>
  <c r="G32" i="2"/>
  <c r="K31" i="2"/>
  <c r="G35" i="2"/>
  <c r="K35" i="2"/>
  <c r="K32" i="2"/>
  <c r="K39" i="2"/>
  <c r="G27" i="2"/>
  <c r="I40" i="2"/>
  <c r="K33" i="2"/>
  <c r="J40" i="2"/>
  <c r="G34" i="2"/>
  <c r="K34" i="2"/>
  <c r="K27" i="2"/>
  <c r="F40" i="2"/>
  <c r="K40" i="2" l="1"/>
  <c r="G40" i="2"/>
</calcChain>
</file>

<file path=xl/sharedStrings.xml><?xml version="1.0" encoding="utf-8"?>
<sst xmlns="http://schemas.openxmlformats.org/spreadsheetml/2006/main" count="68" uniqueCount="21">
  <si>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</si>
  <si>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</si>
  <si>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</si>
  <si>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</si>
  <si>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</si>
  <si>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</si>
  <si>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</si>
  <si>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</si>
  <si>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</si>
  <si>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</si>
  <si>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</si>
  <si>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</si>
  <si>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</si>
  <si>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</si>
  <si>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</si>
  <si>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</si>
  <si>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</si>
  <si>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</si>
  <si>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</si>
  <si>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</si>
  <si>
    <t>Perfect Omega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</si>
</sst>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40"/>
  <sheetViews>
    <sheetView tabSelected="1" topLeftCell="A7" workbookViewId="0">
      <selection activeCell="I17" sqref="I17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45928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45934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2" si="0">F3/D3</f>
        <v>#DIV/0!</v>
      </c>
      <c r="H3" s="12">
        <v>0</v>
      </c>
      <c r="I3" s="9">
        <v>0</v>
      </c>
      <c r="J3" s="9">
        <v>0</v>
      </c>
      <c r="K3" s="9" t="e">
        <f t="shared" ref="K3:K12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36</v>
      </c>
      <c r="E4" s="7">
        <v>2607.9</v>
      </c>
      <c r="F4" s="7">
        <v>779.98</v>
      </c>
      <c r="G4" s="7">
        <f t="shared" si="0"/>
        <v>21.66611111111111</v>
      </c>
      <c r="H4" s="11">
        <v>19</v>
      </c>
      <c r="I4" s="9">
        <v>1269.0500000000002</v>
      </c>
      <c r="J4" s="9">
        <v>647.7299999999999</v>
      </c>
      <c r="K4" s="9">
        <f t="shared" si="1"/>
        <v>34.09105263157894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1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34</v>
      </c>
      <c r="E7" s="27">
        <v>2265.1999999999998</v>
      </c>
      <c r="F7" s="27">
        <v>636.11</v>
      </c>
      <c r="G7" s="7">
        <f t="shared" si="0"/>
        <v>18.709117647058825</v>
      </c>
      <c r="H7" s="11">
        <v>8</v>
      </c>
      <c r="I7" s="9">
        <v>554.6</v>
      </c>
      <c r="J7" s="9">
        <v>458.91</v>
      </c>
      <c r="K7" s="9">
        <f t="shared" si="1"/>
        <v>57.363750000000003</v>
      </c>
    </row>
    <row r="8" spans="1:11" x14ac:dyDescent="0.25">
      <c r="A8" s="23"/>
      <c r="B8" s="5" t="s">
        <v>13</v>
      </c>
      <c r="C8" s="17">
        <v>35</v>
      </c>
      <c r="D8" s="10">
        <v>131</v>
      </c>
      <c r="E8" s="7">
        <v>8709</v>
      </c>
      <c r="F8" s="7">
        <v>3830.35</v>
      </c>
      <c r="G8" s="7">
        <f t="shared" si="0"/>
        <v>29.239312977099235</v>
      </c>
      <c r="H8" s="12">
        <v>27</v>
      </c>
      <c r="I8" s="9">
        <v>1689</v>
      </c>
      <c r="J8" s="9">
        <v>1539.11</v>
      </c>
      <c r="K8" s="9">
        <f t="shared" si="1"/>
        <v>57.004074074074069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0</v>
      </c>
      <c r="G9" s="7" t="e">
        <f t="shared" si="0"/>
        <v>#DIV/0!</v>
      </c>
      <c r="H9" s="11">
        <v>0</v>
      </c>
      <c r="I9" s="9">
        <v>0</v>
      </c>
      <c r="J9" s="9">
        <v>0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20</v>
      </c>
      <c r="C11" s="17">
        <v>35</v>
      </c>
      <c r="D11" s="10">
        <v>0</v>
      </c>
      <c r="E11" s="7">
        <v>0</v>
      </c>
      <c r="F11" s="7">
        <v>0</v>
      </c>
      <c r="G11" s="7" t="e">
        <f t="shared" si="0"/>
        <v>#DIV/0!</v>
      </c>
      <c r="H11" s="11">
        <v>0</v>
      </c>
      <c r="I11" s="9">
        <v>0</v>
      </c>
      <c r="J11" s="9">
        <v>0</v>
      </c>
      <c r="K11" s="9" t="e">
        <f t="shared" si="1"/>
        <v>#DIV/0!</v>
      </c>
    </row>
    <row r="12" spans="1:11" x14ac:dyDescent="0.25">
      <c r="A12" s="23"/>
      <c r="B12" s="5" t="s">
        <v>19</v>
      </c>
      <c r="C12" s="17">
        <v>35</v>
      </c>
      <c r="D12" s="10">
        <v>2</v>
      </c>
      <c r="E12" s="7">
        <v>131.97</v>
      </c>
      <c r="F12" s="7">
        <v>9.9499999999999993</v>
      </c>
      <c r="G12" s="7">
        <f t="shared" si="0"/>
        <v>4.9749999999999996</v>
      </c>
      <c r="H12" s="11">
        <v>0</v>
      </c>
      <c r="I12" s="9">
        <v>0</v>
      </c>
      <c r="J12" s="9">
        <v>233.78</v>
      </c>
      <c r="K12" s="9" t="e">
        <f t="shared" si="1"/>
        <v>#DIV/0!</v>
      </c>
    </row>
    <row r="13" spans="1:11" x14ac:dyDescent="0.25">
      <c r="A13" s="23"/>
      <c r="B13" s="5" t="s">
        <v>14</v>
      </c>
      <c r="C13" s="5"/>
      <c r="D13" s="13">
        <f>SUM(D3:D12)</f>
        <v>203</v>
      </c>
      <c r="E13" s="14">
        <f>SUM(E3:E12)</f>
        <v>13714.07</v>
      </c>
      <c r="F13" s="14">
        <f>SUM(F3:F12)</f>
        <v>5256.39</v>
      </c>
      <c r="G13" s="14">
        <f>F13/D13</f>
        <v>25.893546798029558</v>
      </c>
      <c r="H13" s="15">
        <f>SUM(H3:H12)</f>
        <v>54</v>
      </c>
      <c r="I13" s="16">
        <f>SUM(I3:I12)</f>
        <v>3512.65</v>
      </c>
      <c r="J13" s="16">
        <f>SUM(J3:J12)</f>
        <v>2879.53</v>
      </c>
      <c r="K13" s="16">
        <f t="shared" ref="K13" si="2">J13/H13</f>
        <v>53.324629629629634</v>
      </c>
    </row>
    <row r="14" spans="1:11" x14ac:dyDescent="0.25">
      <c r="A14" s="23"/>
    </row>
    <row r="15" spans="1:11" x14ac:dyDescent="0.25">
      <c r="A15" s="25"/>
      <c r="B15" s="24"/>
      <c r="C15" s="24"/>
      <c r="D15" s="1" t="s">
        <v>0</v>
      </c>
      <c r="E15" s="2"/>
      <c r="F15" s="2"/>
      <c r="G15" s="2"/>
      <c r="H15" s="3" t="s">
        <v>1</v>
      </c>
      <c r="I15" s="4"/>
      <c r="J15" s="4"/>
      <c r="K15" s="4"/>
    </row>
    <row r="16" spans="1:11" x14ac:dyDescent="0.25">
      <c r="A16" s="26">
        <v>45935</v>
      </c>
      <c r="B16" s="5" t="s">
        <v>2</v>
      </c>
      <c r="C16" s="5" t="s">
        <v>15</v>
      </c>
      <c r="D16" s="6" t="s">
        <v>3</v>
      </c>
      <c r="E16" s="7" t="s">
        <v>4</v>
      </c>
      <c r="F16" s="7" t="s">
        <v>5</v>
      </c>
      <c r="G16" s="7" t="s">
        <v>6</v>
      </c>
      <c r="H16" s="8" t="s">
        <v>7</v>
      </c>
      <c r="I16" s="9" t="s">
        <v>4</v>
      </c>
      <c r="J16" s="9" t="s">
        <v>5</v>
      </c>
      <c r="K16" s="9" t="s">
        <v>6</v>
      </c>
    </row>
    <row r="17" spans="1:11" x14ac:dyDescent="0.25">
      <c r="A17" s="26">
        <v>45941</v>
      </c>
      <c r="B17" s="5" t="s">
        <v>8</v>
      </c>
      <c r="C17" s="17">
        <v>25</v>
      </c>
      <c r="D17" s="10">
        <v>0</v>
      </c>
      <c r="E17" s="7">
        <v>0</v>
      </c>
      <c r="F17" s="7">
        <v>0</v>
      </c>
      <c r="G17" s="7" t="e">
        <f t="shared" ref="G17:G26" si="3">F17/D17</f>
        <v>#DIV/0!</v>
      </c>
      <c r="H17" s="12">
        <v>0</v>
      </c>
      <c r="I17" s="9">
        <v>0</v>
      </c>
      <c r="J17" s="9">
        <v>0</v>
      </c>
      <c r="K17" s="9" t="e">
        <f t="shared" ref="K17:K26" si="4">J17/H17</f>
        <v>#DIV/0!</v>
      </c>
    </row>
    <row r="18" spans="1:11" x14ac:dyDescent="0.25">
      <c r="A18" s="23"/>
      <c r="B18" s="5" t="s">
        <v>9</v>
      </c>
      <c r="C18" s="17">
        <v>50</v>
      </c>
      <c r="D18" s="10">
        <v>26</v>
      </c>
      <c r="E18" s="7">
        <v>1878.6</v>
      </c>
      <c r="F18" s="7">
        <v>565.59</v>
      </c>
      <c r="G18" s="7">
        <f t="shared" si="3"/>
        <v>21.75346153846154</v>
      </c>
      <c r="H18" s="11">
        <v>16</v>
      </c>
      <c r="I18" s="9">
        <v>1199.1000000000001</v>
      </c>
      <c r="J18" s="9">
        <v>793.65</v>
      </c>
      <c r="K18" s="9">
        <f t="shared" si="4"/>
        <v>49.603124999999999</v>
      </c>
    </row>
    <row r="19" spans="1:11" x14ac:dyDescent="0.25">
      <c r="A19" s="23"/>
      <c r="B19" s="5" t="s">
        <v>10</v>
      </c>
      <c r="C19" s="17">
        <v>31</v>
      </c>
      <c r="D19" s="10">
        <v>0</v>
      </c>
      <c r="E19" s="7">
        <v>0</v>
      </c>
      <c r="F19" s="7">
        <v>0</v>
      </c>
      <c r="G19" s="7" t="e">
        <f t="shared" si="3"/>
        <v>#DIV/0!</v>
      </c>
      <c r="H19" s="11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11</v>
      </c>
      <c r="C20" s="17">
        <v>15</v>
      </c>
      <c r="D20" s="10">
        <v>0</v>
      </c>
      <c r="E20" s="7">
        <v>0</v>
      </c>
      <c r="F20" s="7">
        <v>0</v>
      </c>
      <c r="G20" s="7" t="e">
        <f t="shared" si="3"/>
        <v>#DIV/0!</v>
      </c>
      <c r="H20" s="11">
        <v>0</v>
      </c>
      <c r="I20" s="9">
        <v>0</v>
      </c>
      <c r="J20" s="9">
        <v>0</v>
      </c>
      <c r="K20" s="9" t="e">
        <f t="shared" si="4"/>
        <v>#DIV/0!</v>
      </c>
    </row>
    <row r="21" spans="1:11" x14ac:dyDescent="0.25">
      <c r="A21" s="23"/>
      <c r="B21" s="5" t="s">
        <v>12</v>
      </c>
      <c r="C21" s="17">
        <v>42</v>
      </c>
      <c r="D21" s="6">
        <v>36</v>
      </c>
      <c r="E21" s="27">
        <v>2927.7</v>
      </c>
      <c r="F21" s="27">
        <v>830.63</v>
      </c>
      <c r="G21" s="7">
        <f t="shared" si="3"/>
        <v>23.073055555555555</v>
      </c>
      <c r="H21" s="11">
        <v>8</v>
      </c>
      <c r="I21" s="9">
        <v>539.54999999999995</v>
      </c>
      <c r="J21" s="9">
        <v>556.15</v>
      </c>
      <c r="K21" s="9">
        <f t="shared" si="4"/>
        <v>69.518749999999997</v>
      </c>
    </row>
    <row r="22" spans="1:11" x14ac:dyDescent="0.25">
      <c r="A22" s="23"/>
      <c r="B22" s="5" t="s">
        <v>13</v>
      </c>
      <c r="C22" s="17">
        <v>35</v>
      </c>
      <c r="D22" s="10">
        <v>139</v>
      </c>
      <c r="E22" s="7">
        <v>8976.75</v>
      </c>
      <c r="F22" s="7">
        <v>4796.53</v>
      </c>
      <c r="G22" s="7">
        <f t="shared" si="3"/>
        <v>34.507410071942445</v>
      </c>
      <c r="H22" s="12">
        <v>29</v>
      </c>
      <c r="I22" s="9">
        <v>1997</v>
      </c>
      <c r="J22" s="9">
        <v>1215.1600000000001</v>
      </c>
      <c r="K22" s="9">
        <f t="shared" si="4"/>
        <v>41.902068965517245</v>
      </c>
    </row>
    <row r="23" spans="1:11" x14ac:dyDescent="0.25">
      <c r="A23" s="23"/>
      <c r="B23" s="5" t="s">
        <v>17</v>
      </c>
      <c r="C23" s="17">
        <v>35</v>
      </c>
      <c r="D23" s="6">
        <v>0</v>
      </c>
      <c r="E23" s="27">
        <v>0</v>
      </c>
      <c r="F23" s="28">
        <v>0</v>
      </c>
      <c r="G23" s="7" t="e">
        <f t="shared" si="3"/>
        <v>#DIV/0!</v>
      </c>
      <c r="H23" s="11">
        <v>0</v>
      </c>
      <c r="I23" s="9">
        <v>0</v>
      </c>
      <c r="J23" s="9">
        <v>0</v>
      </c>
      <c r="K23" s="9" t="e">
        <f t="shared" ref="K23:K25" si="5">J23/H23</f>
        <v>#DIV/0!</v>
      </c>
    </row>
    <row r="24" spans="1:11" x14ac:dyDescent="0.25">
      <c r="A24" s="23"/>
      <c r="B24" s="5" t="s">
        <v>18</v>
      </c>
      <c r="C24" s="17">
        <v>35</v>
      </c>
      <c r="D24" s="10">
        <v>0</v>
      </c>
      <c r="E24" s="7">
        <v>0</v>
      </c>
      <c r="F24" s="7">
        <v>0</v>
      </c>
      <c r="G24" s="7" t="e">
        <f t="shared" ref="G24:G25" si="6">F24/D24</f>
        <v>#DIV/0!</v>
      </c>
      <c r="H24" s="11">
        <v>0</v>
      </c>
      <c r="I24" s="9">
        <v>0</v>
      </c>
      <c r="J24" s="9">
        <v>0</v>
      </c>
      <c r="K24" s="9" t="e">
        <f t="shared" si="5"/>
        <v>#DIV/0!</v>
      </c>
    </row>
    <row r="25" spans="1:11" x14ac:dyDescent="0.25">
      <c r="A25" s="23"/>
      <c r="B25" s="5" t="s">
        <v>20</v>
      </c>
      <c r="C25" s="17">
        <v>35</v>
      </c>
      <c r="D25" s="10">
        <v>2</v>
      </c>
      <c r="E25" s="7">
        <v>59.9</v>
      </c>
      <c r="F25" s="7">
        <v>3.68</v>
      </c>
      <c r="G25" s="7">
        <f t="shared" si="6"/>
        <v>1.84</v>
      </c>
      <c r="H25" s="11">
        <v>0</v>
      </c>
      <c r="I25" s="9">
        <v>0</v>
      </c>
      <c r="J25" s="9">
        <v>4.43</v>
      </c>
      <c r="K25" s="9" t="e">
        <f t="shared" si="5"/>
        <v>#DIV/0!</v>
      </c>
    </row>
    <row r="26" spans="1:11" x14ac:dyDescent="0.25">
      <c r="A26" s="23"/>
      <c r="B26" s="5" t="s">
        <v>19</v>
      </c>
      <c r="C26" s="17">
        <v>35</v>
      </c>
      <c r="D26" s="10">
        <v>3</v>
      </c>
      <c r="E26" s="7">
        <v>95</v>
      </c>
      <c r="F26" s="7">
        <v>21.89</v>
      </c>
      <c r="G26" s="7">
        <f t="shared" si="3"/>
        <v>7.2966666666666669</v>
      </c>
      <c r="H26" s="11">
        <v>4</v>
      </c>
      <c r="I26" s="9">
        <v>283</v>
      </c>
      <c r="J26" s="9">
        <v>373.68</v>
      </c>
      <c r="K26" s="9">
        <f t="shared" si="4"/>
        <v>93.42</v>
      </c>
    </row>
    <row r="27" spans="1:11" x14ac:dyDescent="0.25">
      <c r="A27" s="23"/>
      <c r="B27" s="5" t="s">
        <v>14</v>
      </c>
      <c r="C27" s="5"/>
      <c r="D27" s="13">
        <f>SUM(D17:D26)</f>
        <v>206</v>
      </c>
      <c r="E27" s="14">
        <f>SUM(E17:E26)</f>
        <v>13937.949999999999</v>
      </c>
      <c r="F27" s="14">
        <f>SUM(F17:F26)</f>
        <v>6218.3200000000006</v>
      </c>
      <c r="G27" s="14">
        <f>F27/D27</f>
        <v>30.18601941747573</v>
      </c>
      <c r="H27" s="15">
        <f>SUM(H17:H26)</f>
        <v>57</v>
      </c>
      <c r="I27" s="16">
        <f>SUM(I17:I26)</f>
        <v>4018.65</v>
      </c>
      <c r="J27" s="16">
        <f>SUM(J17:J26)</f>
        <v>2943.0699999999997</v>
      </c>
      <c r="K27" s="16">
        <f t="shared" ref="K27" si="7">J27/H27</f>
        <v>51.632807017543854</v>
      </c>
    </row>
    <row r="28" spans="1:11" x14ac:dyDescent="0.25">
      <c r="A28" s="23"/>
      <c r="B28" s="18"/>
      <c r="C28" s="18"/>
      <c r="D28" s="19"/>
      <c r="E28" s="20"/>
      <c r="F28" s="20"/>
      <c r="G28" s="20"/>
      <c r="H28" s="19"/>
      <c r="I28" s="20"/>
      <c r="J28" s="20"/>
      <c r="K28" s="20"/>
    </row>
    <row r="29" spans="1:11" x14ac:dyDescent="0.25">
      <c r="A29" s="23"/>
      <c r="B29" s="18"/>
      <c r="D29" s="1" t="s">
        <v>0</v>
      </c>
      <c r="E29" s="2"/>
      <c r="F29" s="2"/>
      <c r="G29" s="2"/>
      <c r="H29" s="3" t="s">
        <v>1</v>
      </c>
      <c r="I29" s="4"/>
      <c r="J29" s="4"/>
      <c r="K29" s="4"/>
    </row>
    <row r="30" spans="1:11" x14ac:dyDescent="0.25">
      <c r="A30" s="23"/>
      <c r="C30" s="5" t="s">
        <v>15</v>
      </c>
      <c r="D30" s="6" t="s">
        <v>3</v>
      </c>
      <c r="E30" s="7" t="s">
        <v>4</v>
      </c>
      <c r="F30" s="7" t="s">
        <v>5</v>
      </c>
      <c r="G30" s="7" t="s">
        <v>6</v>
      </c>
      <c r="H30" s="8" t="s">
        <v>7</v>
      </c>
      <c r="I30" s="9" t="s">
        <v>4</v>
      </c>
      <c r="J30" s="9" t="s">
        <v>5</v>
      </c>
      <c r="K30" s="9" t="s">
        <v>6</v>
      </c>
    </row>
    <row r="31" spans="1:11" x14ac:dyDescent="0.25">
      <c r="A31" s="23" t="s">
        <v>16</v>
      </c>
      <c r="B31" s="5" t="s">
        <v>8</v>
      </c>
      <c r="C31" s="17">
        <v>25</v>
      </c>
      <c r="D31" s="21" t="e">
        <f>(D17-D3)/D17</f>
        <v>#DIV/0!</v>
      </c>
      <c r="E31" s="21" t="e">
        <f>(E17-E3)/E17</f>
        <v>#DIV/0!</v>
      </c>
      <c r="F31" s="21" t="e">
        <f>(F17-F3)/F17</f>
        <v>#DIV/0!</v>
      </c>
      <c r="G31" s="21" t="e">
        <f>(G17-G3)/G17</f>
        <v>#DIV/0!</v>
      </c>
      <c r="H31" s="21" t="e">
        <f>(H17-H3)/H17</f>
        <v>#DIV/0!</v>
      </c>
      <c r="I31" s="21" t="e">
        <f>(I17-I3)/I17</f>
        <v>#DIV/0!</v>
      </c>
      <c r="J31" s="21" t="e">
        <f>(J17-J3)/J17</f>
        <v>#DIV/0!</v>
      </c>
      <c r="K31" s="21" t="e">
        <f>(K17-K3)/K17</f>
        <v>#DIV/0!</v>
      </c>
    </row>
    <row r="32" spans="1:11" x14ac:dyDescent="0.25">
      <c r="A32" s="23"/>
      <c r="B32" s="5" t="s">
        <v>9</v>
      </c>
      <c r="C32" s="17">
        <v>50</v>
      </c>
      <c r="D32" s="21">
        <f>(D18-D4)/D18</f>
        <v>-0.38461538461538464</v>
      </c>
      <c r="E32" s="21">
        <f>(E18-E4)/E18</f>
        <v>-0.38821462791440448</v>
      </c>
      <c r="F32" s="21">
        <f>(F18-F4)/F18</f>
        <v>-0.37905549956682399</v>
      </c>
      <c r="G32" s="21">
        <f>(G18-G4)/G18</f>
        <v>4.015472535071638E-3</v>
      </c>
      <c r="H32" s="21">
        <f>(H18-H4)/H18</f>
        <v>-0.1875</v>
      </c>
      <c r="I32" s="21">
        <f>(I18-I4)/I18</f>
        <v>-5.8335418230339456E-2</v>
      </c>
      <c r="J32" s="21">
        <f>(J18-J4)/J18</f>
        <v>0.18385938385938397</v>
      </c>
      <c r="K32" s="21">
        <f>(K18-K4)/K18</f>
        <v>0.31272369167106023</v>
      </c>
    </row>
    <row r="33" spans="1:11" x14ac:dyDescent="0.25">
      <c r="A33" s="23"/>
      <c r="B33" s="5" t="s">
        <v>10</v>
      </c>
      <c r="C33" s="17">
        <v>31</v>
      </c>
      <c r="D33" s="21" t="e">
        <f>(D19-D5)/D19</f>
        <v>#DIV/0!</v>
      </c>
      <c r="E33" s="21" t="e">
        <f>(E19-E5)/E19</f>
        <v>#DIV/0!</v>
      </c>
      <c r="F33" s="21" t="e">
        <f>(F19-F5)/F19</f>
        <v>#DIV/0!</v>
      </c>
      <c r="G33" s="21" t="e">
        <f>(G19-G5)/G19</f>
        <v>#DIV/0!</v>
      </c>
      <c r="H33" s="21" t="e">
        <f>(H19-H5)/H19</f>
        <v>#DIV/0!</v>
      </c>
      <c r="I33" s="21" t="e">
        <f>(I19-I5)/I19</f>
        <v>#DIV/0!</v>
      </c>
      <c r="J33" s="21" t="e">
        <f>(J19-J5)/J19</f>
        <v>#DIV/0!</v>
      </c>
      <c r="K33" s="21" t="e">
        <f>(K19-K5)/K19</f>
        <v>#DIV/0!</v>
      </c>
    </row>
    <row r="34" spans="1:11" x14ac:dyDescent="0.25">
      <c r="A34" s="23"/>
      <c r="B34" s="5" t="s">
        <v>11</v>
      </c>
      <c r="C34" s="17">
        <v>15</v>
      </c>
      <c r="D34" s="21" t="e">
        <f>(D20-D6)/D20</f>
        <v>#DIV/0!</v>
      </c>
      <c r="E34" s="21" t="e">
        <f>(E20-E6)/E20</f>
        <v>#DIV/0!</v>
      </c>
      <c r="F34" s="21" t="e">
        <f>(F20-F6)/F20</f>
        <v>#DIV/0!</v>
      </c>
      <c r="G34" s="21" t="e">
        <f>(G20-G6)/G20</f>
        <v>#DIV/0!</v>
      </c>
      <c r="H34" s="21" t="e">
        <f>(H20-H6)/H20</f>
        <v>#DIV/0!</v>
      </c>
      <c r="I34" s="21" t="e">
        <f>(I20-I6)/I20</f>
        <v>#DIV/0!</v>
      </c>
      <c r="J34" s="21" t="e">
        <f>(J20-J6)/J20</f>
        <v>#DIV/0!</v>
      </c>
      <c r="K34" s="21" t="e">
        <f>(K20-K6)/K20</f>
        <v>#DIV/0!</v>
      </c>
    </row>
    <row r="35" spans="1:11" x14ac:dyDescent="0.25">
      <c r="A35" s="23"/>
      <c r="B35" s="5" t="s">
        <v>12</v>
      </c>
      <c r="C35" s="17">
        <v>42</v>
      </c>
      <c r="D35" s="21">
        <f>(D21-D7)/D21</f>
        <v>5.5555555555555552E-2</v>
      </c>
      <c r="E35" s="21">
        <f>(E21-E7)/E21</f>
        <v>0.22628684632988355</v>
      </c>
      <c r="F35" s="21">
        <f>(F21-F7)/F21</f>
        <v>0.23418369189651225</v>
      </c>
      <c r="G35" s="21">
        <f>(G21-G7)/G21</f>
        <v>0.18913567377277765</v>
      </c>
      <c r="H35" s="21">
        <f>(H21-H7)/H21</f>
        <v>0</v>
      </c>
      <c r="I35" s="21">
        <f>(I21-I7)/I21</f>
        <v>-2.789361504957848E-2</v>
      </c>
      <c r="J35" s="21">
        <f>(J21-J7)/J21</f>
        <v>0.17484491593994417</v>
      </c>
      <c r="K35" s="21">
        <f>(K21-K7)/K21</f>
        <v>0.17484491593994417</v>
      </c>
    </row>
    <row r="36" spans="1:11" x14ac:dyDescent="0.25">
      <c r="A36" s="23"/>
      <c r="B36" s="5" t="s">
        <v>13</v>
      </c>
      <c r="C36" s="17">
        <v>35</v>
      </c>
      <c r="D36" s="21">
        <f>(D22-D8)/D22</f>
        <v>5.7553956834532377E-2</v>
      </c>
      <c r="E36" s="21">
        <f>(E22-E8)/E22</f>
        <v>2.9827053220820451E-2</v>
      </c>
      <c r="F36" s="21">
        <f>(F22-F8)/F22</f>
        <v>0.20143311935920341</v>
      </c>
      <c r="G36" s="21">
        <f>(G22-G8)/G22</f>
        <v>0.15266567626663571</v>
      </c>
      <c r="H36" s="21">
        <f>(H22-H8)/H22</f>
        <v>6.8965517241379309E-2</v>
      </c>
      <c r="I36" s="21">
        <f>(I22-I8)/I22</f>
        <v>0.15423134702053079</v>
      </c>
      <c r="J36" s="21">
        <f>(J22-J8)/J22</f>
        <v>-0.26659040784752608</v>
      </c>
      <c r="K36" s="21">
        <f>(K22-K8)/K22</f>
        <v>-0.36041191953993534</v>
      </c>
    </row>
    <row r="37" spans="1:11" x14ac:dyDescent="0.25">
      <c r="A37" s="23"/>
      <c r="B37" s="5" t="s">
        <v>17</v>
      </c>
      <c r="C37" s="17">
        <v>35</v>
      </c>
      <c r="D37" s="21" t="e">
        <f>(D23-D9)/D23</f>
        <v>#DIV/0!</v>
      </c>
      <c r="E37" s="21" t="e">
        <f>(E23-E9)/E23</f>
        <v>#DIV/0!</v>
      </c>
      <c r="F37" s="21" t="e">
        <f>(F23-F9)/F23</f>
        <v>#DIV/0!</v>
      </c>
      <c r="G37" s="21" t="e">
        <f>(G23-G9)/G23</f>
        <v>#DIV/0!</v>
      </c>
      <c r="H37" s="21" t="e">
        <f>(H23-H9)/H23</f>
        <v>#DIV/0!</v>
      </c>
      <c r="I37" s="21" t="e">
        <f>(I23-I9)/I23</f>
        <v>#DIV/0!</v>
      </c>
      <c r="J37" s="21" t="e">
        <f>(J23-J9)/J23</f>
        <v>#DIV/0!</v>
      </c>
      <c r="K37" s="21" t="e">
        <f>(K23-K9)/K23</f>
        <v>#DIV/0!</v>
      </c>
    </row>
    <row r="38" spans="1:11" x14ac:dyDescent="0.25">
      <c r="A38" s="23"/>
      <c r="B38" s="5" t="s">
        <v>18</v>
      </c>
      <c r="C38" s="17">
        <v>35</v>
      </c>
      <c r="D38" s="21" t="e">
        <f>(D24-D10)/D24</f>
        <v>#DIV/0!</v>
      </c>
      <c r="E38" s="21" t="e">
        <f>(E24-E10)/E24</f>
        <v>#DIV/0!</v>
      </c>
      <c r="F38" s="21" t="e">
        <f>(F24-F10)/F24</f>
        <v>#DIV/0!</v>
      </c>
      <c r="G38" s="21" t="e">
        <f>(G24-G10)/G24</f>
        <v>#DIV/0!</v>
      </c>
      <c r="H38" s="21" t="e">
        <f>(H24-H10)/H24</f>
        <v>#DIV/0!</v>
      </c>
      <c r="I38" s="21" t="e">
        <f>(I24-I10)/I24</f>
        <v>#DIV/0!</v>
      </c>
      <c r="J38" s="21" t="e">
        <f>(J24-J10)/J24</f>
        <v>#DIV/0!</v>
      </c>
      <c r="K38" s="21" t="e">
        <f>(K24-K10)/K24</f>
        <v>#DIV/0!</v>
      </c>
    </row>
    <row r="39" spans="1:11" x14ac:dyDescent="0.25">
      <c r="A39" s="23"/>
      <c r="B39" s="5" t="s">
        <v>19</v>
      </c>
      <c r="C39" s="17">
        <v>35</v>
      </c>
      <c r="D39" s="21">
        <f>(D26-D12)/D26</f>
        <v>0.33333333333333331</v>
      </c>
      <c r="E39" s="21">
        <f>(E26-E12)/E26</f>
        <v>-0.38915789473684209</v>
      </c>
      <c r="F39" s="21">
        <f>(F26-F12)/F26</f>
        <v>0.54545454545454553</v>
      </c>
      <c r="G39" s="21">
        <f>(G26-G12)/G26</f>
        <v>0.31818181818181823</v>
      </c>
      <c r="H39" s="21">
        <f>(H26-H12)/H26</f>
        <v>1</v>
      </c>
      <c r="I39" s="21">
        <f>(I26-I12)/I26</f>
        <v>1</v>
      </c>
      <c r="J39" s="21">
        <f>(J26-J12)/J26</f>
        <v>0.37438450010704349</v>
      </c>
      <c r="K39" s="21" t="e">
        <f>(K26-K12)/K26</f>
        <v>#DIV/0!</v>
      </c>
    </row>
    <row r="40" spans="1:11" x14ac:dyDescent="0.25">
      <c r="A40" s="23"/>
      <c r="B40" s="5" t="s">
        <v>14</v>
      </c>
      <c r="C40" s="5"/>
      <c r="D40" s="22">
        <f>(D27-D13)/D27</f>
        <v>1.4563106796116505E-2</v>
      </c>
      <c r="E40" s="22">
        <f>(E27-E13)/E27</f>
        <v>1.6062620399700044E-2</v>
      </c>
      <c r="F40" s="22">
        <f>(F27-F13)/F27</f>
        <v>0.15469290740907515</v>
      </c>
      <c r="G40" s="22">
        <f>(G27-G13)/G27</f>
        <v>0.1422006843658595</v>
      </c>
      <c r="H40" s="22">
        <f>(H27-H13)/H27</f>
        <v>5.2631578947368418E-2</v>
      </c>
      <c r="I40" s="22">
        <f>(I27-I13)/I27</f>
        <v>0.12591293095940179</v>
      </c>
      <c r="J40" s="22">
        <f>(J27-J13)/J27</f>
        <v>2.158970055078524E-2</v>
      </c>
      <c r="K40" s="22">
        <f>(K27-K13)/K27</f>
        <v>-3.2766427196393375E-2</v>
      </c>
    </row>
  </sheetData>
  <conditionalFormatting sqref="D31:K40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31:G40 J31:K4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2025-10-13T13:44:03Z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