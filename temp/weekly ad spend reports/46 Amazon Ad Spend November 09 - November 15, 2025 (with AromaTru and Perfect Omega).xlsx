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23C6C62-1503-41E1-9DF4-52F9017E2400}" xr6:coauthVersionLast="47" xr6:coauthVersionMax="47" xr10:uidLastSave="{00000000-0000-0000-0000-000000000000}"/>
  <bookViews>
    <workbookView xWindow="390" yWindow="390" windowWidth="2293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13" i="2"/>
  <c r="E13" i="2"/>
  <c r="F13" i="2"/>
  <c r="G13" i="2" s="1"/>
  <c r="H13" i="2"/>
  <c r="I13" i="2"/>
  <c r="J13" i="2"/>
  <c r="G25" i="2"/>
  <c r="G24" i="2"/>
  <c r="G19" i="2"/>
  <c r="K13" i="2" l="1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G26" i="2" l="1"/>
  <c r="G23" i="2"/>
  <c r="G22" i="2"/>
  <c r="G21" i="2"/>
  <c r="G18" i="2"/>
  <c r="G17" i="2"/>
  <c r="G20" i="2" l="1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<sst xmlns="http://schemas.openxmlformats.org/spreadsheetml/2006/main" count="68" uniqueCount="21">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</sst>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workbookViewId="0">
      <selection activeCell="A20" sqref="A20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45963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45969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42</v>
      </c>
      <c r="E4" s="7">
        <v>2957.6</v>
      </c>
      <c r="F4" s="7">
        <v>1128.33</v>
      </c>
      <c r="G4" s="7">
        <f t="shared" si="0"/>
        <v>26.864999999999998</v>
      </c>
      <c r="H4" s="11">
        <v>14</v>
      </c>
      <c r="I4" s="9">
        <v>949.25</v>
      </c>
      <c r="J4" s="9">
        <v>922.31000000000006</v>
      </c>
      <c r="K4" s="9">
        <f t="shared" si="1"/>
        <v>65.879285714285714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37</v>
      </c>
      <c r="E7" s="27">
        <v>2313.15</v>
      </c>
      <c r="F7" s="27">
        <v>690.59</v>
      </c>
      <c r="G7" s="7">
        <f t="shared" si="0"/>
        <v>18.664594594594597</v>
      </c>
      <c r="H7" s="11">
        <v>9</v>
      </c>
      <c r="I7" s="9">
        <v>539.70000000000005</v>
      </c>
      <c r="J7" s="9">
        <v>581.89</v>
      </c>
      <c r="K7" s="9">
        <f t="shared" si="1"/>
        <v>64.654444444444437</v>
      </c>
    </row>
    <row r="8" spans="1:11" x14ac:dyDescent="0.25">
      <c r="A8" s="23"/>
      <c r="B8" s="5" t="s">
        <v>13</v>
      </c>
      <c r="C8" s="17">
        <v>35</v>
      </c>
      <c r="D8" s="10">
        <v>106</v>
      </c>
      <c r="E8" s="7">
        <v>6629.95</v>
      </c>
      <c r="F8" s="7">
        <v>2757.73</v>
      </c>
      <c r="G8" s="7">
        <f t="shared" si="0"/>
        <v>26.016320754716983</v>
      </c>
      <c r="H8" s="12">
        <v>28</v>
      </c>
      <c r="I8" s="9">
        <v>1670</v>
      </c>
      <c r="J8" s="9">
        <v>1583</v>
      </c>
      <c r="K8" s="9">
        <f t="shared" si="1"/>
        <v>56.535714285714285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24.23</v>
      </c>
      <c r="G9" s="7" t="e">
        <f t="shared" si="0"/>
        <v>#DIV/0!</v>
      </c>
      <c r="H9" s="12">
        <v>0</v>
      </c>
      <c r="I9" s="9">
        <v>0</v>
      </c>
      <c r="J9" s="9">
        <v>4.13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8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2</v>
      </c>
      <c r="E12" s="7">
        <v>125</v>
      </c>
      <c r="F12" s="7">
        <v>19.43</v>
      </c>
      <c r="G12" s="7">
        <f t="shared" si="0"/>
        <v>9.7149999999999999</v>
      </c>
      <c r="H12" s="11">
        <v>2</v>
      </c>
      <c r="I12" s="9">
        <v>65</v>
      </c>
      <c r="J12" s="9">
        <v>92.09</v>
      </c>
      <c r="K12" s="9">
        <f t="shared" si="1"/>
        <v>46.045000000000002</v>
      </c>
    </row>
    <row r="13" spans="1:11" x14ac:dyDescent="0.25">
      <c r="A13" s="23"/>
      <c r="B13" s="5" t="s">
        <v>14</v>
      </c>
      <c r="C13" s="5"/>
      <c r="D13" s="13">
        <f>SUM(D3:D12)</f>
        <v>187</v>
      </c>
      <c r="E13" s="14">
        <f>SUM(E3:E12)</f>
        <v>12025.7</v>
      </c>
      <c r="F13" s="14">
        <f>SUM(F3:F12)</f>
        <v>4620.3099999999995</v>
      </c>
      <c r="G13" s="14">
        <f>F13/D13</f>
        <v>24.707540106951868</v>
      </c>
      <c r="H13" s="15">
        <f>SUM(H3:H12)</f>
        <v>53</v>
      </c>
      <c r="I13" s="16">
        <f>SUM(I3:I12)</f>
        <v>3223.95</v>
      </c>
      <c r="J13" s="16">
        <f>SUM(J3:J12)</f>
        <v>3191.42</v>
      </c>
      <c r="K13" s="16">
        <f t="shared" ref="K13" si="2">J13/H13</f>
        <v>60.215471698113205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45970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45976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31</v>
      </c>
      <c r="E18" s="7">
        <v>2168.25</v>
      </c>
      <c r="F18" s="7">
        <v>970.94</v>
      </c>
      <c r="G18" s="7">
        <f t="shared" si="3"/>
        <v>31.320645161290326</v>
      </c>
      <c r="H18" s="11">
        <v>10</v>
      </c>
      <c r="I18" s="9">
        <v>639.5</v>
      </c>
      <c r="J18" s="9">
        <v>839.18999999999994</v>
      </c>
      <c r="K18" s="9">
        <f t="shared" si="4"/>
        <v>83.918999999999997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26</v>
      </c>
      <c r="E21" s="27">
        <v>1788.55</v>
      </c>
      <c r="F21" s="27">
        <v>528.07000000000005</v>
      </c>
      <c r="G21" s="7">
        <f t="shared" si="3"/>
        <v>20.310384615384617</v>
      </c>
      <c r="H21" s="11">
        <v>13</v>
      </c>
      <c r="I21" s="9">
        <v>874.4</v>
      </c>
      <c r="J21" s="9">
        <v>759.41</v>
      </c>
      <c r="K21" s="9">
        <f t="shared" si="4"/>
        <v>58.416153846153847</v>
      </c>
    </row>
    <row r="22" spans="1:11" x14ac:dyDescent="0.25">
      <c r="A22" s="23"/>
      <c r="B22" s="5" t="s">
        <v>13</v>
      </c>
      <c r="C22" s="17">
        <v>35</v>
      </c>
      <c r="D22" s="10">
        <v>123</v>
      </c>
      <c r="E22" s="7">
        <v>8400</v>
      </c>
      <c r="F22" s="7">
        <v>3037.92</v>
      </c>
      <c r="G22" s="7">
        <f t="shared" si="3"/>
        <v>24.698536585365854</v>
      </c>
      <c r="H22" s="12">
        <v>21</v>
      </c>
      <c r="I22" s="9">
        <v>1340</v>
      </c>
      <c r="J22" s="9">
        <v>1596.04</v>
      </c>
      <c r="K22" s="9">
        <f t="shared" si="4"/>
        <v>76.001904761904754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47.65</v>
      </c>
      <c r="G23" s="7" t="e">
        <f t="shared" si="3"/>
        <v>#DIV/0!</v>
      </c>
      <c r="H23" s="12">
        <v>0</v>
      </c>
      <c r="I23" s="9">
        <v>0</v>
      </c>
      <c r="J23" s="9">
        <v>0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</v>
      </c>
      <c r="G25" s="7" t="e">
        <f t="shared" si="7"/>
        <v>#DIV/0!</v>
      </c>
      <c r="H25" s="12">
        <v>0</v>
      </c>
      <c r="I25" s="9">
        <v>0</v>
      </c>
      <c r="J25" s="9">
        <v>0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1</v>
      </c>
      <c r="E26" s="7">
        <v>32.5</v>
      </c>
      <c r="F26" s="7">
        <v>31.33</v>
      </c>
      <c r="G26" s="7">
        <f t="shared" si="3"/>
        <v>31.33</v>
      </c>
      <c r="H26" s="11">
        <v>5</v>
      </c>
      <c r="I26" s="9">
        <v>175</v>
      </c>
      <c r="J26" s="9">
        <v>118.73</v>
      </c>
      <c r="K26" s="9">
        <f t="shared" si="4"/>
        <v>23.746000000000002</v>
      </c>
    </row>
    <row r="27" spans="1:11" x14ac:dyDescent="0.25">
      <c r="A27" s="23"/>
      <c r="B27" s="5" t="s">
        <v>14</v>
      </c>
      <c r="C27" s="5"/>
      <c r="D27" s="13">
        <f>SUM(D17:D26)</f>
        <v>181</v>
      </c>
      <c r="E27" s="14">
        <f>SUM(E17:E26)</f>
        <v>12389.3</v>
      </c>
      <c r="F27" s="14">
        <f>SUM(F17:F26)</f>
        <v>4615.91</v>
      </c>
      <c r="G27" s="14">
        <f>F27/D27</f>
        <v>25.502265193370164</v>
      </c>
      <c r="H27" s="15">
        <f>SUM(H17:H26)</f>
        <v>49</v>
      </c>
      <c r="I27" s="16">
        <f>SUM(I17:I26)</f>
        <v>3028.9</v>
      </c>
      <c r="J27" s="16">
        <f>SUM(J17:J26)</f>
        <v>3313.37</v>
      </c>
      <c r="K27" s="16">
        <f t="shared" ref="K27" si="8">J27/H27</f>
        <v>67.619795918367345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-0.35483870967741937</v>
      </c>
      <c r="E32" s="21">
        <f t="shared" si="9"/>
        <v>-0.36404934855298049</v>
      </c>
      <c r="F32" s="21">
        <f t="shared" si="9"/>
        <v>-0.16210064473602886</v>
      </c>
      <c r="G32" s="21">
        <f t="shared" si="9"/>
        <v>0.14225904793293112</v>
      </c>
      <c r="H32" s="21">
        <f t="shared" si="9"/>
        <v>-0.4</v>
      </c>
      <c r="I32" s="21">
        <f t="shared" si="9"/>
        <v>-0.48436278342455041</v>
      </c>
      <c r="J32" s="21">
        <f t="shared" si="9"/>
        <v>-9.9047891419106665E-2</v>
      </c>
      <c r="K32" s="21">
        <f t="shared" si="9"/>
        <v>0.21496579184349532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-0.42307692307692307</v>
      </c>
      <c r="E35" s="21">
        <f t="shared" si="9"/>
        <v>-0.293310223365296</v>
      </c>
      <c r="F35" s="21">
        <f t="shared" si="9"/>
        <v>-0.30776222849243468</v>
      </c>
      <c r="G35" s="21">
        <f t="shared" si="9"/>
        <v>8.1031947545856658E-2</v>
      </c>
      <c r="H35" s="21">
        <f t="shared" si="9"/>
        <v>0.30769230769230771</v>
      </c>
      <c r="I35" s="21">
        <f t="shared" si="9"/>
        <v>0.38277676120768522</v>
      </c>
      <c r="J35" s="21">
        <f t="shared" si="9"/>
        <v>0.23376041927285654</v>
      </c>
      <c r="K35" s="21">
        <f t="shared" si="9"/>
        <v>-0.1067905054947626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0.13821138211382114</v>
      </c>
      <c r="E36" s="21">
        <f t="shared" si="9"/>
        <v>0.21072023809523813</v>
      </c>
      <c r="F36" s="21">
        <f t="shared" si="9"/>
        <v>9.2230868488966153E-2</v>
      </c>
      <c r="G36" s="21">
        <f t="shared" si="9"/>
        <v>-5.335474694204876E-2</v>
      </c>
      <c r="H36" s="21">
        <f t="shared" si="9"/>
        <v>-0.33333333333333331</v>
      </c>
      <c r="I36" s="21">
        <f t="shared" si="9"/>
        <v>-0.2462686567164179</v>
      </c>
      <c r="J36" s="21">
        <f t="shared" si="9"/>
        <v>8.1702212977118136E-3</v>
      </c>
      <c r="K36" s="21">
        <f t="shared" si="9"/>
        <v>0.25612766597328379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>
        <f t="shared" si="9"/>
        <v>0.49150052465897165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 t="e">
        <f t="shared" si="9"/>
        <v>#DIV/0!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>
        <f t="shared" ref="D39:K40" si="10">(D26-D12)/D26</f>
        <v>-1</v>
      </c>
      <c r="E39" s="21">
        <f t="shared" si="10"/>
        <v>-2.8461538461538463</v>
      </c>
      <c r="F39" s="21">
        <f t="shared" si="10"/>
        <v>0.3798276412384296</v>
      </c>
      <c r="G39" s="21">
        <f t="shared" si="10"/>
        <v>0.6899138206192148</v>
      </c>
      <c r="H39" s="21">
        <f t="shared" si="10"/>
        <v>0.6</v>
      </c>
      <c r="I39" s="21">
        <f t="shared" si="10"/>
        <v>0.62857142857142856</v>
      </c>
      <c r="J39" s="21">
        <f t="shared" si="10"/>
        <v>0.22437463151688705</v>
      </c>
      <c r="K39" s="21">
        <f t="shared" si="10"/>
        <v>-0.9390634212077823</v>
      </c>
    </row>
    <row r="40" spans="1:11" x14ac:dyDescent="0.25">
      <c r="A40" s="23"/>
      <c r="B40" s="5" t="s">
        <v>14</v>
      </c>
      <c r="C40" s="5"/>
      <c r="D40" s="22">
        <f t="shared" si="10"/>
        <v>-3.3149171270718231E-2</v>
      </c>
      <c r="E40" s="22">
        <f t="shared" si="10"/>
        <v>2.9347905047096976E-2</v>
      </c>
      <c r="F40" s="22">
        <f t="shared" si="10"/>
        <v>-9.5322482457405717E-4</v>
      </c>
      <c r="G40" s="22">
        <f t="shared" si="10"/>
        <v>3.1162921426481804E-2</v>
      </c>
      <c r="H40" s="22">
        <f t="shared" si="10"/>
        <v>-8.1632653061224483E-2</v>
      </c>
      <c r="I40" s="22">
        <f t="shared" si="10"/>
        <v>-6.4396315494073667E-2</v>
      </c>
      <c r="J40" s="22">
        <f t="shared" si="10"/>
        <v>3.6805427706534381E-2</v>
      </c>
      <c r="K40" s="22">
        <f t="shared" si="10"/>
        <v>0.10949935769094693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2025-11-17T12:51:09Z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