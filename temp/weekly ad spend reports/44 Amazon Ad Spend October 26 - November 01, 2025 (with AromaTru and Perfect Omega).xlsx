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6C655E7-60D8-4C6B-8D43-6F2F5811C1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2" l="1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5" i="2"/>
  <c r="G24" i="2"/>
  <c r="G19" i="2"/>
  <c r="K25" i="2" l="1"/>
  <c r="D32" i="2"/>
  <c r="D31" i="2"/>
  <c r="J32" i="2" l="1"/>
  <c r="J38" i="2"/>
  <c r="I38" i="2"/>
  <c r="H38" i="2"/>
  <c r="F38" i="2"/>
  <c r="E38" i="2"/>
  <c r="D38" i="2"/>
  <c r="K24" i="2" l="1"/>
  <c r="K38" i="2" s="1"/>
  <c r="G38" i="2"/>
  <c r="J13" i="2" l="1"/>
  <c r="I13" i="2"/>
  <c r="H13" i="2"/>
  <c r="F13" i="2"/>
  <c r="E13" i="2"/>
  <c r="D13" i="2"/>
  <c r="G26" i="2"/>
  <c r="G23" i="2"/>
  <c r="G22" i="2"/>
  <c r="G21" i="2"/>
  <c r="G18" i="2"/>
  <c r="G17" i="2"/>
  <c r="K13" i="2" l="1"/>
  <c r="G13" i="2"/>
  <c r="G20" i="2"/>
  <c r="K20" i="2" l="1"/>
  <c r="J37" i="2" l="1"/>
  <c r="I37" i="2"/>
  <c r="H37" i="2"/>
  <c r="F37" i="2"/>
  <c r="E37" i="2"/>
  <c r="D37" i="2"/>
  <c r="K23" i="2"/>
  <c r="K37" i="2" s="1"/>
  <c r="G37" i="2"/>
  <c r="K26" i="2" l="1"/>
  <c r="K22" i="2"/>
  <c r="K21" i="2"/>
  <c r="K19" i="2"/>
  <c r="K18" i="2"/>
  <c r="K17" i="2"/>
  <c r="J36" i="2" l="1"/>
  <c r="I36" i="2"/>
  <c r="H36" i="2"/>
  <c r="F36" i="2"/>
  <c r="E36" i="2"/>
  <c r="D36" i="2"/>
  <c r="K36" i="2" l="1"/>
  <c r="G36" i="2"/>
  <c r="H27" i="2" l="1"/>
  <c r="J39" i="2" l="1"/>
  <c r="I39" i="2"/>
  <c r="H39" i="2"/>
  <c r="F39" i="2"/>
  <c r="E39" i="2"/>
  <c r="D39" i="2"/>
  <c r="J35" i="2"/>
  <c r="I35" i="2"/>
  <c r="H35" i="2"/>
  <c r="F35" i="2"/>
  <c r="E35" i="2"/>
  <c r="D35" i="2"/>
  <c r="J34" i="2"/>
  <c r="I34" i="2"/>
  <c r="H34" i="2"/>
  <c r="F34" i="2"/>
  <c r="E34" i="2"/>
  <c r="D34" i="2"/>
  <c r="J33" i="2"/>
  <c r="I33" i="2"/>
  <c r="H33" i="2"/>
  <c r="F33" i="2"/>
  <c r="E33" i="2"/>
  <c r="D33" i="2"/>
  <c r="I32" i="2"/>
  <c r="H32" i="2"/>
  <c r="F32" i="2"/>
  <c r="E32" i="2"/>
  <c r="J31" i="2"/>
  <c r="I31" i="2"/>
  <c r="H31" i="2"/>
  <c r="F31" i="2"/>
  <c r="E31" i="2"/>
  <c r="J27" i="2"/>
  <c r="I27" i="2"/>
  <c r="H40" i="2"/>
  <c r="F27" i="2"/>
  <c r="E27" i="2"/>
  <c r="D27" i="2"/>
  <c r="G33" i="2"/>
  <c r="G31" i="2"/>
  <c r="E40" i="2" l="1"/>
  <c r="D40" i="2"/>
  <c r="G39" i="2"/>
  <c r="G32" i="2"/>
  <c r="K31" i="2"/>
  <c r="G35" i="2"/>
  <c r="K35" i="2"/>
  <c r="K32" i="2"/>
  <c r="K39" i="2"/>
  <c r="G27" i="2"/>
  <c r="I40" i="2"/>
  <c r="K33" i="2"/>
  <c r="J40" i="2"/>
  <c r="G34" i="2"/>
  <c r="K34" i="2"/>
  <c r="K27" i="2"/>
  <c r="F40" i="2"/>
  <c r="K40" i="2" l="1"/>
  <c r="G40" i="2"/>
</calcChain>
</file>

<file path=xl/sharedStrings.xml><?xml version="1.0" encoding="utf-8"?>
<sst xmlns="http://schemas.openxmlformats.org/spreadsheetml/2006/main" count="68" uniqueCount="21">
  <si>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</si>
  <si>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</si>
  <si>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</si>
  <si>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</si>
  <si>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</si>
  <si>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</si>
  <si>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</si>
  <si>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</si>
  <si>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</si>
  <si>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</si>
  <si>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</si>
  <si>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</si>
  <si>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</si>
  <si>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</si>
  <si>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</si>
  <si>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</si>
  <si>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</si>
  <si>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</si>
  <si>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</si>
  <si>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</si>
  <si>
    <t>Perfect Omega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</si>
</sst>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40"/>
  <sheetViews>
    <sheetView tabSelected="1" workbookViewId="0">
      <selection activeCell="H26" sqref="H26:J26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45949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45955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2" si="0">F3/D3</f>
        <v>#DIV/0!</v>
      </c>
      <c r="H3" s="12">
        <v>0</v>
      </c>
      <c r="I3" s="9">
        <v>0</v>
      </c>
      <c r="J3" s="9">
        <v>0</v>
      </c>
      <c r="K3" s="9" t="e">
        <f t="shared" ref="K3:K12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29</v>
      </c>
      <c r="E4" s="7">
        <v>1878.45</v>
      </c>
      <c r="F4" s="7">
        <v>678.97</v>
      </c>
      <c r="G4" s="7">
        <f t="shared" si="0"/>
        <v>23.412758620689655</v>
      </c>
      <c r="H4" s="11">
        <v>15</v>
      </c>
      <c r="I4" s="9">
        <v>979.25</v>
      </c>
      <c r="J4" s="9">
        <v>930.5</v>
      </c>
      <c r="K4" s="9">
        <f t="shared" si="1"/>
        <v>62.033333333333331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2">
        <v>2</v>
      </c>
      <c r="I5" s="9">
        <v>44.9</v>
      </c>
      <c r="J5" s="9">
        <v>2.11</v>
      </c>
      <c r="K5" s="9">
        <f t="shared" si="1"/>
        <v>1.0549999999999999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39</v>
      </c>
      <c r="E7" s="27">
        <v>2418.0500000000002</v>
      </c>
      <c r="F7" s="27">
        <v>563.67999999999995</v>
      </c>
      <c r="G7" s="7">
        <f t="shared" si="0"/>
        <v>14.453333333333331</v>
      </c>
      <c r="H7" s="11">
        <v>9</v>
      </c>
      <c r="I7" s="9">
        <v>739.4</v>
      </c>
      <c r="J7" s="9">
        <v>639.84</v>
      </c>
      <c r="K7" s="9">
        <f t="shared" si="1"/>
        <v>71.093333333333334</v>
      </c>
    </row>
    <row r="8" spans="1:11" x14ac:dyDescent="0.25">
      <c r="A8" s="23"/>
      <c r="B8" s="5" t="s">
        <v>13</v>
      </c>
      <c r="C8" s="17">
        <v>35</v>
      </c>
      <c r="D8" s="10">
        <v>137</v>
      </c>
      <c r="E8" s="7">
        <v>9289.9</v>
      </c>
      <c r="F8" s="7">
        <v>2752.6800000000003</v>
      </c>
      <c r="G8" s="7">
        <f t="shared" si="0"/>
        <v>20.09255474452555</v>
      </c>
      <c r="H8" s="12">
        <v>19</v>
      </c>
      <c r="I8" s="9">
        <v>1090</v>
      </c>
      <c r="J8" s="9">
        <v>1294.3</v>
      </c>
      <c r="K8" s="9">
        <f t="shared" si="1"/>
        <v>68.121052631578948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0.52</v>
      </c>
      <c r="G9" s="7" t="e">
        <f t="shared" si="0"/>
        <v>#DIV/0!</v>
      </c>
      <c r="H9" s="12">
        <v>0</v>
      </c>
      <c r="I9" s="9">
        <v>0</v>
      </c>
      <c r="J9" s="9">
        <v>8.26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2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20</v>
      </c>
      <c r="C11" s="17">
        <v>35</v>
      </c>
      <c r="D11" s="10">
        <v>0</v>
      </c>
      <c r="E11" s="7">
        <v>0</v>
      </c>
      <c r="F11" s="7">
        <v>0</v>
      </c>
      <c r="G11" s="7" t="e">
        <f t="shared" si="0"/>
        <v>#DIV/0!</v>
      </c>
      <c r="H11" s="12">
        <v>0</v>
      </c>
      <c r="I11" s="9">
        <v>0</v>
      </c>
      <c r="J11" s="9">
        <v>0</v>
      </c>
      <c r="K11" s="9" t="e">
        <f t="shared" si="1"/>
        <v>#DIV/0!</v>
      </c>
    </row>
    <row r="12" spans="1:11" x14ac:dyDescent="0.25">
      <c r="A12" s="23"/>
      <c r="B12" s="5" t="s">
        <v>19</v>
      </c>
      <c r="C12" s="17">
        <v>35</v>
      </c>
      <c r="D12" s="10">
        <v>6</v>
      </c>
      <c r="E12" s="7">
        <v>192.9</v>
      </c>
      <c r="F12" s="7">
        <v>10.96</v>
      </c>
      <c r="G12" s="7">
        <f t="shared" si="0"/>
        <v>1.8266666666666669</v>
      </c>
      <c r="H12" s="11">
        <v>0</v>
      </c>
      <c r="I12" s="9">
        <v>0</v>
      </c>
      <c r="J12" s="9">
        <v>67.14</v>
      </c>
      <c r="K12" s="9" t="e">
        <f t="shared" si="1"/>
        <v>#DIV/0!</v>
      </c>
    </row>
    <row r="13" spans="1:11" x14ac:dyDescent="0.25">
      <c r="A13" s="23"/>
      <c r="B13" s="5" t="s">
        <v>14</v>
      </c>
      <c r="C13" s="5"/>
      <c r="D13" s="13">
        <f>SUM(D3:D12)</f>
        <v>211</v>
      </c>
      <c r="E13" s="14">
        <f>SUM(E3:E12)</f>
        <v>13779.3</v>
      </c>
      <c r="F13" s="14">
        <f>SUM(F3:F12)</f>
        <v>4006.8100000000004</v>
      </c>
      <c r="G13" s="14">
        <f>F13/D13</f>
        <v>18.98962085308057</v>
      </c>
      <c r="H13" s="15">
        <f>SUM(H3:H12)</f>
        <v>45</v>
      </c>
      <c r="I13" s="16">
        <f>SUM(I3:I12)</f>
        <v>2853.55</v>
      </c>
      <c r="J13" s="16">
        <f>SUM(J3:J12)</f>
        <v>2942.15</v>
      </c>
      <c r="K13" s="16">
        <f t="shared" ref="K13" si="2">J13/H13</f>
        <v>65.38111111111111</v>
      </c>
    </row>
    <row r="14" spans="1:11" x14ac:dyDescent="0.25">
      <c r="A14" s="23"/>
    </row>
    <row r="15" spans="1:11" x14ac:dyDescent="0.25">
      <c r="A15" s="25"/>
      <c r="B15" s="24"/>
      <c r="C15" s="24"/>
      <c r="D15" s="1" t="s">
        <v>0</v>
      </c>
      <c r="E15" s="2"/>
      <c r="F15" s="2"/>
      <c r="G15" s="2"/>
      <c r="H15" s="3" t="s">
        <v>1</v>
      </c>
      <c r="I15" s="4"/>
      <c r="J15" s="4"/>
      <c r="K15" s="4"/>
    </row>
    <row r="16" spans="1:11" x14ac:dyDescent="0.25">
      <c r="A16" s="26">
        <v>45956</v>
      </c>
      <c r="B16" s="5" t="s">
        <v>2</v>
      </c>
      <c r="C16" s="5" t="s">
        <v>15</v>
      </c>
      <c r="D16" s="6" t="s">
        <v>3</v>
      </c>
      <c r="E16" s="7" t="s">
        <v>4</v>
      </c>
      <c r="F16" s="7" t="s">
        <v>5</v>
      </c>
      <c r="G16" s="7" t="s">
        <v>6</v>
      </c>
      <c r="H16" s="8" t="s">
        <v>7</v>
      </c>
      <c r="I16" s="9" t="s">
        <v>4</v>
      </c>
      <c r="J16" s="9" t="s">
        <v>5</v>
      </c>
      <c r="K16" s="9" t="s">
        <v>6</v>
      </c>
    </row>
    <row r="17" spans="1:11" x14ac:dyDescent="0.25">
      <c r="A17" s="26">
        <v>45962</v>
      </c>
      <c r="B17" s="5" t="s">
        <v>8</v>
      </c>
      <c r="C17" s="17">
        <v>25</v>
      </c>
      <c r="D17" s="10">
        <v>0</v>
      </c>
      <c r="E17" s="7">
        <v>0</v>
      </c>
      <c r="F17" s="7">
        <v>0</v>
      </c>
      <c r="G17" s="7" t="e">
        <f t="shared" ref="G17:G26" si="3">F17/D17</f>
        <v>#DIV/0!</v>
      </c>
      <c r="H17" s="12">
        <v>0</v>
      </c>
      <c r="I17" s="9">
        <v>0</v>
      </c>
      <c r="J17" s="9">
        <v>0</v>
      </c>
      <c r="K17" s="9" t="e">
        <f t="shared" ref="K17:K26" si="4">J17/H17</f>
        <v>#DIV/0!</v>
      </c>
    </row>
    <row r="18" spans="1:11" x14ac:dyDescent="0.25">
      <c r="A18" s="23"/>
      <c r="B18" s="5" t="s">
        <v>9</v>
      </c>
      <c r="C18" s="17">
        <v>50</v>
      </c>
      <c r="D18" s="10">
        <v>30</v>
      </c>
      <c r="E18" s="7">
        <v>2158.25</v>
      </c>
      <c r="F18" s="7">
        <v>668.71</v>
      </c>
      <c r="G18" s="7">
        <f t="shared" si="3"/>
        <v>22.290333333333333</v>
      </c>
      <c r="H18" s="11">
        <v>10</v>
      </c>
      <c r="I18" s="9">
        <v>769.40000000000009</v>
      </c>
      <c r="J18" s="9">
        <v>838.32</v>
      </c>
      <c r="K18" s="9">
        <f t="shared" si="4"/>
        <v>83.832000000000008</v>
      </c>
    </row>
    <row r="19" spans="1:11" x14ac:dyDescent="0.25">
      <c r="A19" s="23"/>
      <c r="B19" s="5" t="s">
        <v>10</v>
      </c>
      <c r="C19" s="17">
        <v>31</v>
      </c>
      <c r="D19" s="10">
        <v>0</v>
      </c>
      <c r="E19" s="7">
        <v>0</v>
      </c>
      <c r="F19" s="7">
        <v>0</v>
      </c>
      <c r="G19" s="7" t="e">
        <f t="shared" ref="G19" si="5">F19/D19</f>
        <v>#DIV/0!</v>
      </c>
      <c r="H19" s="12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11</v>
      </c>
      <c r="C20" s="17">
        <v>15</v>
      </c>
      <c r="D20" s="10">
        <v>0</v>
      </c>
      <c r="E20" s="7">
        <v>0</v>
      </c>
      <c r="F20" s="7">
        <v>0</v>
      </c>
      <c r="G20" s="7" t="e">
        <f t="shared" si="3"/>
        <v>#DIV/0!</v>
      </c>
      <c r="H20" s="11">
        <v>0</v>
      </c>
      <c r="I20" s="9">
        <v>0</v>
      </c>
      <c r="J20" s="9">
        <v>0</v>
      </c>
      <c r="K20" s="9" t="e">
        <f t="shared" si="4"/>
        <v>#DIV/0!</v>
      </c>
    </row>
    <row r="21" spans="1:11" x14ac:dyDescent="0.25">
      <c r="A21" s="23"/>
      <c r="B21" s="5" t="s">
        <v>12</v>
      </c>
      <c r="C21" s="17">
        <v>42</v>
      </c>
      <c r="D21" s="6">
        <v>30</v>
      </c>
      <c r="E21" s="27">
        <v>2318.15</v>
      </c>
      <c r="F21" s="27">
        <v>572.64</v>
      </c>
      <c r="G21" s="7">
        <f t="shared" si="3"/>
        <v>19.088000000000001</v>
      </c>
      <c r="H21" s="11">
        <v>3</v>
      </c>
      <c r="I21" s="9">
        <v>259.89999999999998</v>
      </c>
      <c r="J21" s="9">
        <v>554.5</v>
      </c>
      <c r="K21" s="9">
        <f t="shared" si="4"/>
        <v>184.83333333333334</v>
      </c>
    </row>
    <row r="22" spans="1:11" x14ac:dyDescent="0.25">
      <c r="A22" s="23"/>
      <c r="B22" s="5" t="s">
        <v>13</v>
      </c>
      <c r="C22" s="17">
        <v>35</v>
      </c>
      <c r="D22" s="10">
        <v>101</v>
      </c>
      <c r="E22" s="7">
        <v>6444.9</v>
      </c>
      <c r="F22" s="7">
        <v>3011.23</v>
      </c>
      <c r="G22" s="7">
        <f t="shared" si="3"/>
        <v>29.814158415841586</v>
      </c>
      <c r="H22" s="12">
        <v>28</v>
      </c>
      <c r="I22" s="9">
        <v>1720</v>
      </c>
      <c r="J22" s="9">
        <v>1612.08</v>
      </c>
      <c r="K22" s="9">
        <f t="shared" si="4"/>
        <v>57.574285714285715</v>
      </c>
    </row>
    <row r="23" spans="1:11" x14ac:dyDescent="0.25">
      <c r="A23" s="23"/>
      <c r="B23" s="5" t="s">
        <v>17</v>
      </c>
      <c r="C23" s="17">
        <v>35</v>
      </c>
      <c r="D23" s="6">
        <v>0</v>
      </c>
      <c r="E23" s="27">
        <v>0</v>
      </c>
      <c r="F23" s="28">
        <v>5.85</v>
      </c>
      <c r="G23" s="7" t="e">
        <f t="shared" si="3"/>
        <v>#DIV/0!</v>
      </c>
      <c r="H23" s="12">
        <v>0</v>
      </c>
      <c r="I23" s="9">
        <v>0</v>
      </c>
      <c r="J23" s="9">
        <v>0</v>
      </c>
      <c r="K23" s="9" t="e">
        <f t="shared" ref="K23:K25" si="6">J23/H23</f>
        <v>#DIV/0!</v>
      </c>
    </row>
    <row r="24" spans="1:11" x14ac:dyDescent="0.25">
      <c r="A24" s="23"/>
      <c r="B24" s="5" t="s">
        <v>18</v>
      </c>
      <c r="C24" s="17">
        <v>35</v>
      </c>
      <c r="D24" s="10">
        <v>0</v>
      </c>
      <c r="E24" s="7">
        <v>0</v>
      </c>
      <c r="F24" s="7">
        <v>0</v>
      </c>
      <c r="G24" s="7" t="e">
        <f t="shared" ref="G24:G25" si="7">F24/D24</f>
        <v>#DIV/0!</v>
      </c>
      <c r="H24" s="12">
        <v>0</v>
      </c>
      <c r="I24" s="9">
        <v>0</v>
      </c>
      <c r="J24" s="9">
        <v>0</v>
      </c>
      <c r="K24" s="9" t="e">
        <f t="shared" si="6"/>
        <v>#DIV/0!</v>
      </c>
    </row>
    <row r="25" spans="1:11" x14ac:dyDescent="0.25">
      <c r="A25" s="23"/>
      <c r="B25" s="5" t="s">
        <v>20</v>
      </c>
      <c r="C25" s="17">
        <v>35</v>
      </c>
      <c r="D25" s="10">
        <v>0</v>
      </c>
      <c r="E25" s="7">
        <v>0</v>
      </c>
      <c r="F25" s="7">
        <v>0</v>
      </c>
      <c r="G25" s="7" t="e">
        <f t="shared" si="7"/>
        <v>#DIV/0!</v>
      </c>
      <c r="H25" s="12">
        <v>0</v>
      </c>
      <c r="I25" s="9">
        <v>0</v>
      </c>
      <c r="J25" s="9">
        <v>3.83</v>
      </c>
      <c r="K25" s="9" t="e">
        <f t="shared" si="6"/>
        <v>#DIV/0!</v>
      </c>
    </row>
    <row r="26" spans="1:11" x14ac:dyDescent="0.25">
      <c r="A26" s="23"/>
      <c r="B26" s="5" t="s">
        <v>19</v>
      </c>
      <c r="C26" s="17">
        <v>35</v>
      </c>
      <c r="D26" s="10">
        <v>1</v>
      </c>
      <c r="E26" s="7">
        <v>20</v>
      </c>
      <c r="F26" s="7">
        <v>14.38</v>
      </c>
      <c r="G26" s="7">
        <f t="shared" si="3"/>
        <v>14.38</v>
      </c>
      <c r="H26" s="11">
        <v>1</v>
      </c>
      <c r="I26" s="9">
        <v>30</v>
      </c>
      <c r="J26" s="9">
        <v>51.05</v>
      </c>
      <c r="K26" s="9">
        <f t="shared" si="4"/>
        <v>51.05</v>
      </c>
    </row>
    <row r="27" spans="1:11" x14ac:dyDescent="0.25">
      <c r="A27" s="23"/>
      <c r="B27" s="5" t="s">
        <v>14</v>
      </c>
      <c r="C27" s="5"/>
      <c r="D27" s="13">
        <f>SUM(D17:D26)</f>
        <v>162</v>
      </c>
      <c r="E27" s="14">
        <f>SUM(E17:E26)</f>
        <v>10941.3</v>
      </c>
      <c r="F27" s="14">
        <f>SUM(F17:F26)</f>
        <v>4272.8100000000004</v>
      </c>
      <c r="G27" s="14">
        <f>F27/D27</f>
        <v>26.375370370370373</v>
      </c>
      <c r="H27" s="15">
        <f>SUM(H17:H26)</f>
        <v>42</v>
      </c>
      <c r="I27" s="16">
        <f>SUM(I17:I26)</f>
        <v>2779.3</v>
      </c>
      <c r="J27" s="16">
        <f>SUM(J17:J26)</f>
        <v>3059.78</v>
      </c>
      <c r="K27" s="16">
        <f t="shared" ref="K27" si="8">J27/H27</f>
        <v>72.851904761904763</v>
      </c>
    </row>
    <row r="28" spans="1:11" x14ac:dyDescent="0.25">
      <c r="A28" s="23"/>
      <c r="B28" s="18"/>
      <c r="C28" s="18"/>
      <c r="D28" s="19"/>
      <c r="E28" s="20"/>
      <c r="F28" s="20"/>
      <c r="G28" s="20"/>
      <c r="H28" s="19"/>
      <c r="I28" s="20"/>
      <c r="J28" s="20"/>
      <c r="K28" s="20"/>
    </row>
    <row r="29" spans="1:11" x14ac:dyDescent="0.25">
      <c r="A29" s="23"/>
      <c r="B29" s="18"/>
      <c r="D29" s="1" t="s">
        <v>0</v>
      </c>
      <c r="E29" s="2"/>
      <c r="F29" s="2"/>
      <c r="G29" s="2"/>
      <c r="H29" s="3" t="s">
        <v>1</v>
      </c>
      <c r="I29" s="4"/>
      <c r="J29" s="4"/>
      <c r="K29" s="4"/>
    </row>
    <row r="30" spans="1:11" x14ac:dyDescent="0.25">
      <c r="A30" s="23"/>
      <c r="C30" s="5" t="s">
        <v>15</v>
      </c>
      <c r="D30" s="6" t="s">
        <v>3</v>
      </c>
      <c r="E30" s="7" t="s">
        <v>4</v>
      </c>
      <c r="F30" s="7" t="s">
        <v>5</v>
      </c>
      <c r="G30" s="7" t="s">
        <v>6</v>
      </c>
      <c r="H30" s="8" t="s">
        <v>7</v>
      </c>
      <c r="I30" s="9" t="s">
        <v>4</v>
      </c>
      <c r="J30" s="9" t="s">
        <v>5</v>
      </c>
      <c r="K30" s="9" t="s">
        <v>6</v>
      </c>
    </row>
    <row r="31" spans="1:11" x14ac:dyDescent="0.25">
      <c r="A31" s="23" t="s">
        <v>16</v>
      </c>
      <c r="B31" s="5" t="s">
        <v>8</v>
      </c>
      <c r="C31" s="17">
        <v>25</v>
      </c>
      <c r="D31" s="21" t="e">
        <f t="shared" ref="D31:K38" si="9">(D17-D3)/D17</f>
        <v>#DIV/0!</v>
      </c>
      <c r="E31" s="21" t="e">
        <f t="shared" si="9"/>
        <v>#DIV/0!</v>
      </c>
      <c r="F31" s="21" t="e">
        <f t="shared" si="9"/>
        <v>#DIV/0!</v>
      </c>
      <c r="G31" s="21" t="e">
        <f t="shared" si="9"/>
        <v>#DIV/0!</v>
      </c>
      <c r="H31" s="21" t="e">
        <f t="shared" si="9"/>
        <v>#DIV/0!</v>
      </c>
      <c r="I31" s="21" t="e">
        <f t="shared" si="9"/>
        <v>#DIV/0!</v>
      </c>
      <c r="J31" s="21" t="e">
        <f t="shared" si="9"/>
        <v>#DIV/0!</v>
      </c>
      <c r="K31" s="21" t="e">
        <f t="shared" si="9"/>
        <v>#DIV/0!</v>
      </c>
    </row>
    <row r="32" spans="1:11" x14ac:dyDescent="0.25">
      <c r="A32" s="23"/>
      <c r="B32" s="5" t="s">
        <v>9</v>
      </c>
      <c r="C32" s="17">
        <v>50</v>
      </c>
      <c r="D32" s="21">
        <f t="shared" si="9"/>
        <v>3.3333333333333333E-2</v>
      </c>
      <c r="E32" s="21">
        <f t="shared" si="9"/>
        <v>0.12964207112243714</v>
      </c>
      <c r="F32" s="21">
        <f t="shared" si="9"/>
        <v>-1.5342973785347894E-2</v>
      </c>
      <c r="G32" s="21">
        <f t="shared" si="9"/>
        <v>-5.0354800467601275E-2</v>
      </c>
      <c r="H32" s="21">
        <f t="shared" si="9"/>
        <v>-0.5</v>
      </c>
      <c r="I32" s="21">
        <f t="shared" si="9"/>
        <v>-0.27274499610085767</v>
      </c>
      <c r="J32" s="21">
        <f t="shared" si="9"/>
        <v>-0.10995801126061641</v>
      </c>
      <c r="K32" s="21">
        <f t="shared" si="9"/>
        <v>0.26002799249292247</v>
      </c>
    </row>
    <row r="33" spans="1:11" x14ac:dyDescent="0.25">
      <c r="A33" s="23"/>
      <c r="B33" s="5" t="s">
        <v>10</v>
      </c>
      <c r="C33" s="17">
        <v>31</v>
      </c>
      <c r="D33" s="21" t="e">
        <f t="shared" si="9"/>
        <v>#DIV/0!</v>
      </c>
      <c r="E33" s="21" t="e">
        <f t="shared" si="9"/>
        <v>#DIV/0!</v>
      </c>
      <c r="F33" s="21" t="e">
        <f t="shared" si="9"/>
        <v>#DIV/0!</v>
      </c>
      <c r="G33" s="21" t="e">
        <f t="shared" si="9"/>
        <v>#DIV/0!</v>
      </c>
      <c r="H33" s="21" t="e">
        <f t="shared" si="9"/>
        <v>#DIV/0!</v>
      </c>
      <c r="I33" s="21" t="e">
        <f t="shared" si="9"/>
        <v>#DIV/0!</v>
      </c>
      <c r="J33" s="21" t="e">
        <f t="shared" si="9"/>
        <v>#DIV/0!</v>
      </c>
      <c r="K33" s="21" t="e">
        <f t="shared" si="9"/>
        <v>#DIV/0!</v>
      </c>
    </row>
    <row r="34" spans="1:11" x14ac:dyDescent="0.25">
      <c r="A34" s="23"/>
      <c r="B34" s="5" t="s">
        <v>11</v>
      </c>
      <c r="C34" s="17">
        <v>15</v>
      </c>
      <c r="D34" s="21" t="e">
        <f t="shared" si="9"/>
        <v>#DIV/0!</v>
      </c>
      <c r="E34" s="21" t="e">
        <f t="shared" si="9"/>
        <v>#DIV/0!</v>
      </c>
      <c r="F34" s="21" t="e">
        <f t="shared" si="9"/>
        <v>#DIV/0!</v>
      </c>
      <c r="G34" s="21" t="e">
        <f t="shared" si="9"/>
        <v>#DIV/0!</v>
      </c>
      <c r="H34" s="21" t="e">
        <f t="shared" si="9"/>
        <v>#DIV/0!</v>
      </c>
      <c r="I34" s="21" t="e">
        <f t="shared" si="9"/>
        <v>#DIV/0!</v>
      </c>
      <c r="J34" s="21" t="e">
        <f t="shared" si="9"/>
        <v>#DIV/0!</v>
      </c>
      <c r="K34" s="21" t="e">
        <f t="shared" si="9"/>
        <v>#DIV/0!</v>
      </c>
    </row>
    <row r="35" spans="1:11" x14ac:dyDescent="0.25">
      <c r="A35" s="23"/>
      <c r="B35" s="5" t="s">
        <v>12</v>
      </c>
      <c r="C35" s="17">
        <v>42</v>
      </c>
      <c r="D35" s="21">
        <f t="shared" si="9"/>
        <v>-0.3</v>
      </c>
      <c r="E35" s="21">
        <f t="shared" si="9"/>
        <v>-4.3094709143066706E-2</v>
      </c>
      <c r="F35" s="21">
        <f t="shared" si="9"/>
        <v>1.5646828723107076E-2</v>
      </c>
      <c r="G35" s="21">
        <f t="shared" si="9"/>
        <v>0.24280525286392862</v>
      </c>
      <c r="H35" s="21">
        <f t="shared" si="9"/>
        <v>-2</v>
      </c>
      <c r="I35" s="21">
        <f t="shared" si="9"/>
        <v>-1.8449403616775684</v>
      </c>
      <c r="J35" s="21">
        <f t="shared" si="9"/>
        <v>-0.15390441839495048</v>
      </c>
      <c r="K35" s="21">
        <f t="shared" si="9"/>
        <v>0.61536519386834987</v>
      </c>
    </row>
    <row r="36" spans="1:11" x14ac:dyDescent="0.25">
      <c r="A36" s="23"/>
      <c r="B36" s="5" t="s">
        <v>13</v>
      </c>
      <c r="C36" s="17">
        <v>35</v>
      </c>
      <c r="D36" s="21">
        <f t="shared" si="9"/>
        <v>-0.35643564356435642</v>
      </c>
      <c r="E36" s="21">
        <f t="shared" si="9"/>
        <v>-0.44143431240205439</v>
      </c>
      <c r="F36" s="21">
        <f t="shared" si="9"/>
        <v>8.5861923532908391E-2</v>
      </c>
      <c r="G36" s="21">
        <f t="shared" si="9"/>
        <v>0.32607338888192516</v>
      </c>
      <c r="H36" s="21">
        <f t="shared" si="9"/>
        <v>0.32142857142857145</v>
      </c>
      <c r="I36" s="21">
        <f t="shared" si="9"/>
        <v>0.36627906976744184</v>
      </c>
      <c r="J36" s="21">
        <f t="shared" si="9"/>
        <v>0.1971242121979058</v>
      </c>
      <c r="K36" s="21">
        <f t="shared" si="9"/>
        <v>-0.18318537149782302</v>
      </c>
    </row>
    <row r="37" spans="1:11" x14ac:dyDescent="0.25">
      <c r="A37" s="23"/>
      <c r="B37" s="5" t="s">
        <v>17</v>
      </c>
      <c r="C37" s="17">
        <v>35</v>
      </c>
      <c r="D37" s="21" t="e">
        <f t="shared" si="9"/>
        <v>#DIV/0!</v>
      </c>
      <c r="E37" s="21" t="e">
        <f t="shared" si="9"/>
        <v>#DIV/0!</v>
      </c>
      <c r="F37" s="21">
        <f t="shared" si="9"/>
        <v>0.9111111111111112</v>
      </c>
      <c r="G37" s="21" t="e">
        <f t="shared" si="9"/>
        <v>#DIV/0!</v>
      </c>
      <c r="H37" s="21" t="e">
        <f t="shared" si="9"/>
        <v>#DIV/0!</v>
      </c>
      <c r="I37" s="21" t="e">
        <f t="shared" si="9"/>
        <v>#DIV/0!</v>
      </c>
      <c r="J37" s="21" t="e">
        <f t="shared" si="9"/>
        <v>#DIV/0!</v>
      </c>
      <c r="K37" s="21" t="e">
        <f t="shared" si="9"/>
        <v>#DIV/0!</v>
      </c>
    </row>
    <row r="38" spans="1:11" x14ac:dyDescent="0.25">
      <c r="A38" s="23"/>
      <c r="B38" s="5" t="s">
        <v>18</v>
      </c>
      <c r="C38" s="17">
        <v>35</v>
      </c>
      <c r="D38" s="21" t="e">
        <f t="shared" si="9"/>
        <v>#DIV/0!</v>
      </c>
      <c r="E38" s="21" t="e">
        <f t="shared" si="9"/>
        <v>#DIV/0!</v>
      </c>
      <c r="F38" s="21" t="e">
        <f t="shared" si="9"/>
        <v>#DIV/0!</v>
      </c>
      <c r="G38" s="21" t="e">
        <f t="shared" si="9"/>
        <v>#DIV/0!</v>
      </c>
      <c r="H38" s="21" t="e">
        <f t="shared" si="9"/>
        <v>#DIV/0!</v>
      </c>
      <c r="I38" s="21" t="e">
        <f t="shared" si="9"/>
        <v>#DIV/0!</v>
      </c>
      <c r="J38" s="21" t="e">
        <f t="shared" si="9"/>
        <v>#DIV/0!</v>
      </c>
      <c r="K38" s="21" t="e">
        <f t="shared" si="9"/>
        <v>#DIV/0!</v>
      </c>
    </row>
    <row r="39" spans="1:11" x14ac:dyDescent="0.25">
      <c r="A39" s="23"/>
      <c r="B39" s="5" t="s">
        <v>19</v>
      </c>
      <c r="C39" s="17">
        <v>35</v>
      </c>
      <c r="D39" s="21">
        <f t="shared" ref="D39:K40" si="10">(D26-D12)/D26</f>
        <v>-5</v>
      </c>
      <c r="E39" s="21">
        <f t="shared" si="10"/>
        <v>-8.6449999999999996</v>
      </c>
      <c r="F39" s="21">
        <f t="shared" si="10"/>
        <v>0.23783031988873435</v>
      </c>
      <c r="G39" s="21">
        <f t="shared" si="10"/>
        <v>0.87297171998145573</v>
      </c>
      <c r="H39" s="21">
        <f t="shared" si="10"/>
        <v>1</v>
      </c>
      <c r="I39" s="21">
        <f t="shared" si="10"/>
        <v>1</v>
      </c>
      <c r="J39" s="21">
        <f t="shared" si="10"/>
        <v>-0.31518119490695407</v>
      </c>
      <c r="K39" s="21" t="e">
        <f t="shared" si="10"/>
        <v>#DIV/0!</v>
      </c>
    </row>
    <row r="40" spans="1:11" x14ac:dyDescent="0.25">
      <c r="A40" s="23"/>
      <c r="B40" s="5" t="s">
        <v>14</v>
      </c>
      <c r="C40" s="5"/>
      <c r="D40" s="22">
        <f t="shared" si="10"/>
        <v>-0.30246913580246915</v>
      </c>
      <c r="E40" s="22">
        <f t="shared" si="10"/>
        <v>-0.25938416824326177</v>
      </c>
      <c r="F40" s="22">
        <f t="shared" si="10"/>
        <v>6.225411380332848E-2</v>
      </c>
      <c r="G40" s="22">
        <f t="shared" si="10"/>
        <v>0.28002448547933279</v>
      </c>
      <c r="H40" s="22">
        <f t="shared" si="10"/>
        <v>-7.1428571428571425E-2</v>
      </c>
      <c r="I40" s="22">
        <f t="shared" si="10"/>
        <v>-2.6715359982729461E-2</v>
      </c>
      <c r="J40" s="22">
        <f t="shared" si="10"/>
        <v>3.8443940414016727E-2</v>
      </c>
      <c r="K40" s="22">
        <f t="shared" si="10"/>
        <v>0.10254767771974893</v>
      </c>
    </row>
  </sheetData>
  <conditionalFormatting sqref="D31:K40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31:G40 J31:K40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2025-11-03T14:25:28Z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