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D1AB5C3-EC70-47AD-BBE7-CAEBE36A2DEB}" xr6:coauthVersionLast="47" xr6:coauthVersionMax="47" xr10:uidLastSave="{00000000-0000-0000-0000-000000000000}"/>
  <bookViews>
    <workbookView xWindow="1080" yWindow="117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E11" i="2"/>
  <c r="D11" i="2"/>
  <c r="G22" i="2"/>
  <c r="G21" i="2"/>
  <c r="G20" i="2"/>
  <c r="G19" i="2"/>
  <c r="G17" i="2"/>
  <c r="G16" i="2"/>
  <c r="G15" i="2"/>
  <c r="G11" i="2" l="1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<sst xmlns="http://schemas.openxmlformats.org/spreadsheetml/2006/main" count="63" uniqueCount="19">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</sst>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45690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45696</v>
      </c>
      <c r="B3" s="5" t="s">
        <v>8</v>
      </c>
      <c r="C3" s="17">
        <v>25</v>
      </c>
      <c r="D3" s="10">
        <v>1</v>
      </c>
      <c r="E3" s="7">
        <v>139.9</v>
      </c>
      <c r="F3" s="7">
        <v>29.98</v>
      </c>
      <c r="G3" s="7">
        <f t="shared" ref="G3:G10" si="0">F3/D3</f>
        <v>29.98</v>
      </c>
      <c r="H3" s="12">
        <v>0</v>
      </c>
      <c r="I3" s="9">
        <v>0</v>
      </c>
      <c r="J3" s="9">
        <v>2.62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34</v>
      </c>
      <c r="E4" s="7">
        <v>3157.6</v>
      </c>
      <c r="F4" s="7">
        <v>564.70000000000005</v>
      </c>
      <c r="G4" s="7">
        <f t="shared" si="0"/>
        <v>16.608823529411765</v>
      </c>
      <c r="H4" s="11">
        <v>22</v>
      </c>
      <c r="I4" s="9">
        <v>1658.8</v>
      </c>
      <c r="J4" s="9">
        <v>1309.67</v>
      </c>
      <c r="K4" s="9">
        <f t="shared" si="1"/>
        <v>59.530454545454546</v>
      </c>
    </row>
    <row r="5" spans="1:11" x14ac:dyDescent="0.25">
      <c r="A5" s="23"/>
      <c r="B5" s="5" t="s">
        <v>10</v>
      </c>
      <c r="C5" s="17">
        <v>31</v>
      </c>
      <c r="D5" s="10">
        <v>8</v>
      </c>
      <c r="E5" s="7">
        <v>279.60000000000002</v>
      </c>
      <c r="F5" s="7">
        <v>34.65</v>
      </c>
      <c r="G5" s="7">
        <f t="shared" si="0"/>
        <v>4.3312499999999998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35</v>
      </c>
      <c r="E7" s="7">
        <v>2524.96</v>
      </c>
      <c r="F7" s="7">
        <v>613.55999999999995</v>
      </c>
      <c r="G7" s="7">
        <f t="shared" si="0"/>
        <v>17.530285714285714</v>
      </c>
      <c r="H7" s="11">
        <v>4</v>
      </c>
      <c r="I7" s="9">
        <v>377.74</v>
      </c>
      <c r="J7" s="9">
        <v>696.51</v>
      </c>
      <c r="K7" s="9">
        <f t="shared" si="1"/>
        <v>174.1275</v>
      </c>
    </row>
    <row r="8" spans="1:11" x14ac:dyDescent="0.25">
      <c r="A8" s="23"/>
      <c r="B8" s="5" t="s">
        <v>13</v>
      </c>
      <c r="C8" s="17">
        <v>35</v>
      </c>
      <c r="D8" s="10">
        <v>151</v>
      </c>
      <c r="E8" s="7">
        <v>9670</v>
      </c>
      <c r="F8" s="7">
        <v>3253.78</v>
      </c>
      <c r="G8" s="7">
        <f t="shared" si="0"/>
        <v>21.548211920529802</v>
      </c>
      <c r="H8" s="12">
        <v>37</v>
      </c>
      <c r="I8" s="9">
        <v>2265</v>
      </c>
      <c r="J8" s="9">
        <v>1880.6</v>
      </c>
      <c r="K8" s="9">
        <f t="shared" si="1"/>
        <v>50.827027027027022</v>
      </c>
    </row>
    <row r="9" spans="1:11" x14ac:dyDescent="0.25">
      <c r="A9" s="23"/>
      <c r="B9" s="5" t="s">
        <v>17</v>
      </c>
      <c r="C9" s="17">
        <v>35</v>
      </c>
      <c r="D9" s="6">
        <v>8</v>
      </c>
      <c r="E9" s="27">
        <v>417</v>
      </c>
      <c r="F9" s="28">
        <v>342.94</v>
      </c>
      <c r="G9" s="7">
        <f t="shared" si="0"/>
        <v>42.8675</v>
      </c>
      <c r="H9" s="11">
        <v>9</v>
      </c>
      <c r="I9" s="9">
        <v>414</v>
      </c>
      <c r="J9" s="9">
        <v>326.56</v>
      </c>
      <c r="K9" s="9">
        <f t="shared" si="1"/>
        <v>36.284444444444446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109.9</v>
      </c>
      <c r="F10" s="7">
        <v>8.0500000000000007</v>
      </c>
      <c r="G10" s="7">
        <f t="shared" si="0"/>
        <v>4.0250000000000004</v>
      </c>
      <c r="H10" s="11">
        <v>6</v>
      </c>
      <c r="I10" s="9">
        <v>384.65</v>
      </c>
      <c r="J10" s="9">
        <v>287.72000000000003</v>
      </c>
      <c r="K10" s="9">
        <f t="shared" si="1"/>
        <v>47.95333333333334</v>
      </c>
    </row>
    <row r="11" spans="1:11" x14ac:dyDescent="0.25">
      <c r="A11" s="23"/>
      <c r="B11" s="5" t="s">
        <v>14</v>
      </c>
      <c r="C11" s="5"/>
      <c r="D11" s="13">
        <f>SUM(D3:D10)</f>
        <v>239</v>
      </c>
      <c r="E11" s="14">
        <f>SUM(E3:E10)</f>
        <v>16298.96</v>
      </c>
      <c r="F11" s="14">
        <f>SUM(F3:F10)</f>
        <v>4847.66</v>
      </c>
      <c r="G11" s="14">
        <f>F11/D11</f>
        <v>20.283096234309621</v>
      </c>
      <c r="H11" s="15">
        <f>SUM(H3:H10)</f>
        <v>78</v>
      </c>
      <c r="I11" s="16">
        <f>SUM(I3:I10)</f>
        <v>5100.1899999999996</v>
      </c>
      <c r="J11" s="16">
        <f>SUM(J3:J10)</f>
        <v>4503.68</v>
      </c>
      <c r="K11" s="16">
        <f t="shared" ref="K3:K11" si="2">J11/H11</f>
        <v>57.739487179487185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45697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45703</v>
      </c>
      <c r="B15" s="5" t="s">
        <v>8</v>
      </c>
      <c r="C15" s="17">
        <v>25</v>
      </c>
      <c r="D15" s="10">
        <v>0</v>
      </c>
      <c r="E15" s="7">
        <v>0</v>
      </c>
      <c r="F15" s="7">
        <v>45.9</v>
      </c>
      <c r="G15" s="7" t="e">
        <f t="shared" ref="G15:G22" si="3">F15/D15</f>
        <v>#DIV/0!</v>
      </c>
      <c r="H15" s="12">
        <v>0</v>
      </c>
      <c r="I15" s="9">
        <v>0</v>
      </c>
      <c r="J15" s="9">
        <v>7.2799999999999994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34</v>
      </c>
      <c r="E16" s="7">
        <v>2258.15</v>
      </c>
      <c r="F16" s="7">
        <v>501.89</v>
      </c>
      <c r="G16" s="7">
        <f t="shared" si="3"/>
        <v>14.761470588235294</v>
      </c>
      <c r="H16" s="11">
        <v>23</v>
      </c>
      <c r="I16" s="9">
        <v>1628.8</v>
      </c>
      <c r="J16" s="9">
        <v>1345.15</v>
      </c>
      <c r="K16" s="9">
        <f t="shared" si="4"/>
        <v>58.484782608695653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36.4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28</v>
      </c>
      <c r="E19" s="7">
        <v>2328.16</v>
      </c>
      <c r="F19" s="7">
        <v>646.12</v>
      </c>
      <c r="G19" s="7">
        <f t="shared" si="3"/>
        <v>23.075714285714287</v>
      </c>
      <c r="H19" s="11">
        <v>4</v>
      </c>
      <c r="I19" s="9">
        <v>355.72</v>
      </c>
      <c r="J19" s="9">
        <v>841.09</v>
      </c>
      <c r="K19" s="9">
        <f t="shared" si="4"/>
        <v>210.27250000000001</v>
      </c>
    </row>
    <row r="20" spans="1:11" x14ac:dyDescent="0.25">
      <c r="A20" s="23"/>
      <c r="B20" s="5" t="s">
        <v>13</v>
      </c>
      <c r="C20" s="17">
        <v>35</v>
      </c>
      <c r="D20" s="10">
        <v>145</v>
      </c>
      <c r="E20" s="7">
        <v>9557.9500000000007</v>
      </c>
      <c r="F20" s="7">
        <v>2298.38</v>
      </c>
      <c r="G20" s="7">
        <f t="shared" si="3"/>
        <v>15.850896551724139</v>
      </c>
      <c r="H20" s="12">
        <v>29</v>
      </c>
      <c r="I20" s="9">
        <v>1861</v>
      </c>
      <c r="J20" s="9">
        <v>1605.49</v>
      </c>
      <c r="K20" s="9">
        <f t="shared" si="4"/>
        <v>55.361724137931034</v>
      </c>
    </row>
    <row r="21" spans="1:11" x14ac:dyDescent="0.25">
      <c r="A21" s="23"/>
      <c r="B21" s="5" t="s">
        <v>17</v>
      </c>
      <c r="C21" s="17">
        <v>35</v>
      </c>
      <c r="D21" s="6">
        <v>3</v>
      </c>
      <c r="E21" s="27">
        <v>108</v>
      </c>
      <c r="F21" s="28">
        <v>237.07</v>
      </c>
      <c r="G21" s="7">
        <f t="shared" si="3"/>
        <v>79.023333333333326</v>
      </c>
      <c r="H21" s="11">
        <v>5</v>
      </c>
      <c r="I21" s="9">
        <v>231</v>
      </c>
      <c r="J21" s="9">
        <v>252.29</v>
      </c>
      <c r="K21" s="9">
        <f t="shared" ref="K21" si="5">J21/H21</f>
        <v>50.457999999999998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164.85000000000002</v>
      </c>
      <c r="F22" s="7">
        <v>1.76</v>
      </c>
      <c r="G22" s="7">
        <f t="shared" si="3"/>
        <v>0.88</v>
      </c>
      <c r="H22" s="11">
        <v>3</v>
      </c>
      <c r="I22" s="9">
        <v>164.85000000000002</v>
      </c>
      <c r="J22" s="9">
        <v>406.03000000000003</v>
      </c>
      <c r="K22" s="9">
        <f t="shared" si="4"/>
        <v>135.34333333333333</v>
      </c>
    </row>
    <row r="23" spans="1:11" x14ac:dyDescent="0.25">
      <c r="A23" s="23"/>
      <c r="B23" s="5" t="s">
        <v>14</v>
      </c>
      <c r="C23" s="5"/>
      <c r="D23" s="13">
        <f>SUM(D15:D22)</f>
        <v>212</v>
      </c>
      <c r="E23" s="14">
        <f>SUM(E15:E22)</f>
        <v>14417.11</v>
      </c>
      <c r="F23" s="14">
        <f>SUM(F15:F22)</f>
        <v>3767.5200000000004</v>
      </c>
      <c r="G23" s="14">
        <f>F23/D23</f>
        <v>17.771320754716982</v>
      </c>
      <c r="H23" s="15">
        <f>SUM(H15:H22)</f>
        <v>64</v>
      </c>
      <c r="I23" s="16">
        <f>SUM(I15:I22)</f>
        <v>4241.37</v>
      </c>
      <c r="J23" s="16">
        <f>SUM(J15:J22)</f>
        <v>4457.33</v>
      </c>
      <c r="K23" s="16">
        <f t="shared" ref="K23" si="6">J23/H23</f>
        <v>69.645781249999999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0.34684095860566444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0.64010989010989006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</v>
      </c>
      <c r="E28" s="21">
        <f t="shared" si="7"/>
        <v>-0.39831277815911242</v>
      </c>
      <c r="F28" s="21">
        <f t="shared" si="7"/>
        <v>-0.12514694454960262</v>
      </c>
      <c r="G28" s="21">
        <f t="shared" si="7"/>
        <v>-0.12514694454960251</v>
      </c>
      <c r="H28" s="21">
        <f t="shared" si="7"/>
        <v>4.3478260869565216E-2</v>
      </c>
      <c r="I28" s="21">
        <f t="shared" si="7"/>
        <v>-1.8418467583497054E-2</v>
      </c>
      <c r="J28" s="21">
        <f t="shared" si="7"/>
        <v>2.6376240567966409E-2</v>
      </c>
      <c r="K28" s="21">
        <f t="shared" si="7"/>
        <v>-1.78793848607624E-2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4.807692307692308E-2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-0.25</v>
      </c>
      <c r="E31" s="21">
        <f t="shared" si="7"/>
        <v>-8.4530272833482314E-2</v>
      </c>
      <c r="F31" s="21">
        <f t="shared" si="7"/>
        <v>5.0393115829876892E-2</v>
      </c>
      <c r="G31" s="21">
        <f t="shared" si="7"/>
        <v>0.24031449266390151</v>
      </c>
      <c r="H31" s="21">
        <f t="shared" si="7"/>
        <v>0</v>
      </c>
      <c r="I31" s="21">
        <f t="shared" si="7"/>
        <v>-6.1902620038232263E-2</v>
      </c>
      <c r="J31" s="21">
        <f t="shared" si="7"/>
        <v>0.1718959921054822</v>
      </c>
      <c r="K31" s="21">
        <f t="shared" si="7"/>
        <v>0.1718959921054822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-4.1379310344827586E-2</v>
      </c>
      <c r="E32" s="21">
        <f t="shared" si="7"/>
        <v>-1.1723225168576866E-2</v>
      </c>
      <c r="F32" s="21">
        <f t="shared" si="7"/>
        <v>-0.41568409053333222</v>
      </c>
      <c r="G32" s="21">
        <f t="shared" si="7"/>
        <v>-0.35943174256512023</v>
      </c>
      <c r="H32" s="21">
        <f t="shared" si="7"/>
        <v>-0.27586206896551724</v>
      </c>
      <c r="I32" s="21">
        <f t="shared" si="7"/>
        <v>-0.21708758731864589</v>
      </c>
      <c r="J32" s="21">
        <f t="shared" si="7"/>
        <v>-0.17135578546113642</v>
      </c>
      <c r="K32" s="21">
        <f t="shared" si="7"/>
        <v>8.1910330314244481E-2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-1.6666666666666667</v>
      </c>
      <c r="E33" s="21">
        <f t="shared" si="7"/>
        <v>-2.8611111111111112</v>
      </c>
      <c r="F33" s="21">
        <f t="shared" si="7"/>
        <v>-0.44657696039144562</v>
      </c>
      <c r="G33" s="21">
        <f t="shared" si="7"/>
        <v>0.45753363985320789</v>
      </c>
      <c r="H33" s="21">
        <f t="shared" si="7"/>
        <v>-0.8</v>
      </c>
      <c r="I33" s="21">
        <f t="shared" si="7"/>
        <v>-0.79220779220779225</v>
      </c>
      <c r="J33" s="21">
        <f t="shared" si="7"/>
        <v>-0.29438344761980267</v>
      </c>
      <c r="K33" s="21">
        <f t="shared" si="7"/>
        <v>0.28089808465566518</v>
      </c>
    </row>
    <row r="34" spans="1:11" x14ac:dyDescent="0.25">
      <c r="A34" s="23"/>
      <c r="B34" s="5" t="s">
        <v>18</v>
      </c>
      <c r="C34" s="17">
        <v>35</v>
      </c>
      <c r="D34" s="21">
        <f t="shared" si="7"/>
        <v>0</v>
      </c>
      <c r="E34" s="21">
        <f t="shared" si="7"/>
        <v>0.33333333333333337</v>
      </c>
      <c r="F34" s="21">
        <f t="shared" si="7"/>
        <v>-3.5738636363636367</v>
      </c>
      <c r="G34" s="21">
        <f t="shared" si="7"/>
        <v>-3.5738636363636367</v>
      </c>
      <c r="H34" s="21">
        <f t="shared" si="7"/>
        <v>-1</v>
      </c>
      <c r="I34" s="21">
        <f t="shared" si="7"/>
        <v>-1.3333333333333328</v>
      </c>
      <c r="J34" s="21">
        <f t="shared" si="7"/>
        <v>0.29138241016673644</v>
      </c>
      <c r="K34" s="21">
        <f t="shared" si="7"/>
        <v>0.64569120508336808</v>
      </c>
    </row>
    <row r="35" spans="1:11" x14ac:dyDescent="0.25">
      <c r="A35" s="23"/>
      <c r="B35" s="5" t="s">
        <v>14</v>
      </c>
      <c r="C35" s="5"/>
      <c r="D35" s="22">
        <f t="shared" si="7"/>
        <v>-0.12735849056603774</v>
      </c>
      <c r="E35" s="22">
        <f t="shared" si="7"/>
        <v>-0.13052893402353166</v>
      </c>
      <c r="F35" s="22">
        <f t="shared" si="7"/>
        <v>-0.28669788083407632</v>
      </c>
      <c r="G35" s="22">
        <f t="shared" si="7"/>
        <v>-0.14133870601181667</v>
      </c>
      <c r="H35" s="22">
        <f t="shared" si="7"/>
        <v>-0.21875</v>
      </c>
      <c r="I35" s="22">
        <f t="shared" si="7"/>
        <v>-0.20248646074263735</v>
      </c>
      <c r="J35" s="22">
        <f t="shared" si="7"/>
        <v>-1.0398601853576101E-2</v>
      </c>
      <c r="K35" s="22">
        <f t="shared" si="7"/>
        <v>0.17095499335091188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2025-02-17T13:53:18Z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