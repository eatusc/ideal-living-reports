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0E37BF8-1822-4BCD-90E3-EB3A0FB0192F}" xr6:coauthVersionLast="47" xr6:coauthVersionMax="47" xr10:uidLastSave="{00000000-0000-0000-0000-000000000000}"/>
  <bookViews>
    <workbookView xWindow="1560" yWindow="1560" windowWidth="20100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2" l="1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K23" i="2"/>
  <c r="G23" i="2"/>
  <c r="J12" i="2" l="1"/>
  <c r="I12" i="2"/>
  <c r="H12" i="2"/>
  <c r="F12" i="2"/>
  <c r="E12" i="2"/>
  <c r="D12" i="2"/>
  <c r="G24" i="2"/>
  <c r="G22" i="2"/>
  <c r="G21" i="2"/>
  <c r="G20" i="2"/>
  <c r="G18" i="2"/>
  <c r="G17" i="2"/>
  <c r="G16" i="2"/>
  <c r="K12" i="2" l="1"/>
  <c r="G12" i="2"/>
  <c r="G19" i="2"/>
  <c r="K19" i="2" l="1"/>
  <c r="J35" i="2" l="1"/>
  <c r="I35" i="2"/>
  <c r="H35" i="2"/>
  <c r="F35" i="2"/>
  <c r="E35" i="2"/>
  <c r="D35" i="2"/>
  <c r="K22" i="2"/>
  <c r="K35" i="2" s="1"/>
  <c r="G35" i="2"/>
  <c r="K24" i="2" l="1"/>
  <c r="K21" i="2"/>
  <c r="K20" i="2"/>
  <c r="K18" i="2"/>
  <c r="K17" i="2"/>
  <c r="K16" i="2"/>
  <c r="J34" i="2" l="1"/>
  <c r="I34" i="2"/>
  <c r="H34" i="2"/>
  <c r="F34" i="2"/>
  <c r="E34" i="2"/>
  <c r="D34" i="2"/>
  <c r="K34" i="2" l="1"/>
  <c r="G34" i="2"/>
  <c r="H25" i="2" l="1"/>
  <c r="J36" i="2" l="1"/>
  <c r="I36" i="2"/>
  <c r="H36" i="2"/>
  <c r="F36" i="2"/>
  <c r="E36" i="2"/>
  <c r="D36" i="2"/>
  <c r="J33" i="2"/>
  <c r="I33" i="2"/>
  <c r="H33" i="2"/>
  <c r="F33" i="2"/>
  <c r="E33" i="2"/>
  <c r="D33" i="2"/>
  <c r="J32" i="2"/>
  <c r="I32" i="2"/>
  <c r="H32" i="2"/>
  <c r="F32" i="2"/>
  <c r="E32" i="2"/>
  <c r="D32" i="2"/>
  <c r="J31" i="2"/>
  <c r="I31" i="2"/>
  <c r="H31" i="2"/>
  <c r="F31" i="2"/>
  <c r="E31" i="2"/>
  <c r="D31" i="2"/>
  <c r="J30" i="2"/>
  <c r="I30" i="2"/>
  <c r="H30" i="2"/>
  <c r="F30" i="2"/>
  <c r="E30" i="2"/>
  <c r="D30" i="2"/>
  <c r="J29" i="2"/>
  <c r="I29" i="2"/>
  <c r="H29" i="2"/>
  <c r="F29" i="2"/>
  <c r="E29" i="2"/>
  <c r="D29" i="2"/>
  <c r="J25" i="2"/>
  <c r="I25" i="2"/>
  <c r="H37" i="2"/>
  <c r="F25" i="2"/>
  <c r="E25" i="2"/>
  <c r="D25" i="2"/>
  <c r="G31" i="2"/>
  <c r="G29" i="2"/>
  <c r="E37" i="2" l="1"/>
  <c r="D37" i="2"/>
  <c r="G36" i="2"/>
  <c r="G30" i="2"/>
  <c r="K29" i="2"/>
  <c r="G33" i="2"/>
  <c r="K33" i="2"/>
  <c r="K30" i="2"/>
  <c r="K36" i="2"/>
  <c r="G25" i="2"/>
  <c r="I37" i="2"/>
  <c r="K31" i="2"/>
  <c r="J37" i="2"/>
  <c r="G32" i="2"/>
  <c r="K32" i="2"/>
  <c r="K25" i="2"/>
  <c r="F37" i="2"/>
  <c r="K37" i="2" l="1"/>
  <c r="G37" i="2"/>
</calcChain>
</file>

<file path=xl/sharedStrings.xml><?xml version="1.0" encoding="utf-8"?>
<sst xmlns="http://schemas.openxmlformats.org/spreadsheetml/2006/main" count="65" uniqueCount="20">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</sst>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7"/>
  <sheetViews>
    <sheetView tabSelected="1" workbookViewId="0">
      <selection activeCell="G11" sqref="G11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45781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45787</v>
      </c>
      <c r="B3" s="5" t="s">
        <v>8</v>
      </c>
      <c r="C3" s="17">
        <v>25</v>
      </c>
      <c r="D3" s="10">
        <v>0</v>
      </c>
      <c r="E3" s="7">
        <v>0</v>
      </c>
      <c r="F3" s="7">
        <v>34.25</v>
      </c>
      <c r="G3" s="7" t="e">
        <f t="shared" ref="G3:G11" si="0">F3/D3</f>
        <v>#DIV/0!</v>
      </c>
      <c r="H3" s="12">
        <v>0</v>
      </c>
      <c r="I3" s="9">
        <v>0</v>
      </c>
      <c r="J3" s="9">
        <v>0</v>
      </c>
      <c r="K3" s="9" t="e">
        <f t="shared" ref="K3:K11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31</v>
      </c>
      <c r="E4" s="7">
        <v>2218.15</v>
      </c>
      <c r="F4" s="7">
        <v>464.22</v>
      </c>
      <c r="G4" s="7">
        <f t="shared" si="0"/>
        <v>14.974838709677421</v>
      </c>
      <c r="H4" s="11">
        <v>20</v>
      </c>
      <c r="I4" s="9">
        <v>1478.9</v>
      </c>
      <c r="J4" s="9">
        <v>1043.83</v>
      </c>
      <c r="K4" s="9">
        <f t="shared" si="1"/>
        <v>52.191499999999998</v>
      </c>
    </row>
    <row r="5" spans="1:11" x14ac:dyDescent="0.25">
      <c r="A5" s="23"/>
      <c r="B5" s="5" t="s">
        <v>10</v>
      </c>
      <c r="C5" s="17">
        <v>31</v>
      </c>
      <c r="D5" s="10">
        <v>2</v>
      </c>
      <c r="E5" s="7">
        <v>139.80000000000001</v>
      </c>
      <c r="F5" s="7">
        <v>13.99</v>
      </c>
      <c r="G5" s="7">
        <f t="shared" si="0"/>
        <v>6.9950000000000001</v>
      </c>
      <c r="H5" s="11">
        <v>9</v>
      </c>
      <c r="I5" s="9">
        <v>454.35</v>
      </c>
      <c r="J5" s="9">
        <v>192.18</v>
      </c>
      <c r="K5" s="9">
        <f t="shared" si="1"/>
        <v>21.353333333333335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35</v>
      </c>
      <c r="E7" s="27">
        <v>2478</v>
      </c>
      <c r="F7" s="27">
        <v>915.32</v>
      </c>
      <c r="G7" s="7">
        <f t="shared" si="0"/>
        <v>26.152000000000001</v>
      </c>
      <c r="H7" s="11">
        <v>10</v>
      </c>
      <c r="I7" s="9">
        <v>789.35</v>
      </c>
      <c r="J7" s="9">
        <v>1117.1100000000001</v>
      </c>
      <c r="K7" s="9">
        <f t="shared" si="1"/>
        <v>111.71100000000001</v>
      </c>
    </row>
    <row r="8" spans="1:11" x14ac:dyDescent="0.25">
      <c r="A8" s="23"/>
      <c r="B8" s="5" t="s">
        <v>13</v>
      </c>
      <c r="C8" s="17">
        <v>35</v>
      </c>
      <c r="D8" s="10">
        <v>154</v>
      </c>
      <c r="E8" s="7">
        <v>9522</v>
      </c>
      <c r="F8" s="7">
        <v>3314.62</v>
      </c>
      <c r="G8" s="7">
        <f t="shared" si="0"/>
        <v>21.523506493506492</v>
      </c>
      <c r="H8" s="12">
        <v>34</v>
      </c>
      <c r="I8" s="9">
        <v>2286.9</v>
      </c>
      <c r="J8" s="9">
        <v>1723.98</v>
      </c>
      <c r="K8" s="9">
        <f t="shared" si="1"/>
        <v>50.705294117647057</v>
      </c>
    </row>
    <row r="9" spans="1:11" x14ac:dyDescent="0.25">
      <c r="A9" s="23"/>
      <c r="B9" s="5" t="s">
        <v>17</v>
      </c>
      <c r="C9" s="17">
        <v>35</v>
      </c>
      <c r="D9" s="6">
        <v>7</v>
      </c>
      <c r="E9" s="27">
        <v>324</v>
      </c>
      <c r="F9" s="28">
        <v>84.87</v>
      </c>
      <c r="G9" s="7">
        <f t="shared" si="0"/>
        <v>12.124285714285715</v>
      </c>
      <c r="H9" s="11">
        <v>2</v>
      </c>
      <c r="I9" s="9">
        <v>72</v>
      </c>
      <c r="J9" s="9">
        <v>68.41</v>
      </c>
      <c r="K9" s="9">
        <f t="shared" si="1"/>
        <v>34.204999999999998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1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19</v>
      </c>
      <c r="C11" s="17">
        <v>35</v>
      </c>
      <c r="D11" s="10">
        <v>1</v>
      </c>
      <c r="E11" s="7">
        <v>96</v>
      </c>
      <c r="F11" s="7">
        <v>33.729999999999997</v>
      </c>
      <c r="G11" s="7">
        <f t="shared" si="0"/>
        <v>33.729999999999997</v>
      </c>
      <c r="H11" s="11">
        <v>3</v>
      </c>
      <c r="I11" s="9">
        <v>42</v>
      </c>
      <c r="J11" s="9">
        <v>63.54</v>
      </c>
      <c r="K11" s="9">
        <f t="shared" si="1"/>
        <v>21.18</v>
      </c>
    </row>
    <row r="12" spans="1:11" x14ac:dyDescent="0.25">
      <c r="A12" s="23"/>
      <c r="B12" s="5" t="s">
        <v>14</v>
      </c>
      <c r="C12" s="5"/>
      <c r="D12" s="13">
        <f>SUM(D3:D11)</f>
        <v>230</v>
      </c>
      <c r="E12" s="14">
        <f>SUM(E3:E11)</f>
        <v>14777.95</v>
      </c>
      <c r="F12" s="14">
        <f>SUM(F3:F11)</f>
        <v>4860.9999999999991</v>
      </c>
      <c r="G12" s="14">
        <f>F12/D12</f>
        <v>21.134782608695648</v>
      </c>
      <c r="H12" s="15">
        <f>SUM(H3:H11)</f>
        <v>78</v>
      </c>
      <c r="I12" s="16">
        <f>SUM(I3:I11)</f>
        <v>5123.5</v>
      </c>
      <c r="J12" s="16">
        <f>SUM(J3:J11)</f>
        <v>4209.05</v>
      </c>
      <c r="K12" s="16">
        <f t="shared" ref="K12" si="2">J12/H12</f>
        <v>53.96217948717949</v>
      </c>
    </row>
    <row r="13" spans="1:11" x14ac:dyDescent="0.25">
      <c r="A13" s="23"/>
    </row>
    <row r="14" spans="1:11" x14ac:dyDescent="0.25">
      <c r="A14" s="25"/>
      <c r="B14" s="24"/>
      <c r="C14" s="24"/>
      <c r="D14" s="1" t="s">
        <v>0</v>
      </c>
      <c r="E14" s="2"/>
      <c r="F14" s="2"/>
      <c r="G14" s="2"/>
      <c r="H14" s="3" t="s">
        <v>1</v>
      </c>
      <c r="I14" s="4"/>
      <c r="J14" s="4"/>
      <c r="K14" s="4"/>
    </row>
    <row r="15" spans="1:11" x14ac:dyDescent="0.25">
      <c r="A15" s="26">
        <v>45788</v>
      </c>
      <c r="B15" s="5" t="s">
        <v>2</v>
      </c>
      <c r="C15" s="5" t="s">
        <v>15</v>
      </c>
      <c r="D15" s="6" t="s">
        <v>3</v>
      </c>
      <c r="E15" s="7" t="s">
        <v>4</v>
      </c>
      <c r="F15" s="7" t="s">
        <v>5</v>
      </c>
      <c r="G15" s="7" t="s">
        <v>6</v>
      </c>
      <c r="H15" s="8" t="s">
        <v>7</v>
      </c>
      <c r="I15" s="9" t="s">
        <v>4</v>
      </c>
      <c r="J15" s="9" t="s">
        <v>5</v>
      </c>
      <c r="K15" s="9" t="s">
        <v>6</v>
      </c>
    </row>
    <row r="16" spans="1:11" x14ac:dyDescent="0.25">
      <c r="A16" s="26">
        <v>45794</v>
      </c>
      <c r="B16" s="5" t="s">
        <v>8</v>
      </c>
      <c r="C16" s="17">
        <v>25</v>
      </c>
      <c r="D16" s="10">
        <v>0</v>
      </c>
      <c r="E16" s="7">
        <v>0</v>
      </c>
      <c r="F16" s="7">
        <v>6.01</v>
      </c>
      <c r="G16" s="7" t="e">
        <f t="shared" ref="G16:G24" si="3">F16/D16</f>
        <v>#DIV/0!</v>
      </c>
      <c r="H16" s="12">
        <v>0</v>
      </c>
      <c r="I16" s="9">
        <v>0</v>
      </c>
      <c r="J16" s="9">
        <v>1.84</v>
      </c>
      <c r="K16" s="9" t="e">
        <f t="shared" ref="K16:K24" si="4">J16/H16</f>
        <v>#DIV/0!</v>
      </c>
    </row>
    <row r="17" spans="1:11" x14ac:dyDescent="0.25">
      <c r="A17" s="23"/>
      <c r="B17" s="5" t="s">
        <v>9</v>
      </c>
      <c r="C17" s="17">
        <v>50</v>
      </c>
      <c r="D17" s="10">
        <v>34</v>
      </c>
      <c r="E17" s="7">
        <v>2977.8</v>
      </c>
      <c r="F17" s="7">
        <v>388.59</v>
      </c>
      <c r="G17" s="7">
        <f t="shared" si="3"/>
        <v>11.429117647058822</v>
      </c>
      <c r="H17" s="11">
        <v>19</v>
      </c>
      <c r="I17" s="9">
        <v>1279.05</v>
      </c>
      <c r="J17" s="9">
        <v>996.1</v>
      </c>
      <c r="K17" s="9">
        <f t="shared" si="4"/>
        <v>52.426315789473684</v>
      </c>
    </row>
    <row r="18" spans="1:11" x14ac:dyDescent="0.25">
      <c r="A18" s="23"/>
      <c r="B18" s="5" t="s">
        <v>10</v>
      </c>
      <c r="C18" s="17">
        <v>31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12</v>
      </c>
      <c r="I18" s="9">
        <v>509.2</v>
      </c>
      <c r="J18" s="9">
        <v>180.91</v>
      </c>
      <c r="K18" s="9">
        <f t="shared" si="4"/>
        <v>15.075833333333334</v>
      </c>
    </row>
    <row r="19" spans="1:11" x14ac:dyDescent="0.25">
      <c r="A19" s="23"/>
      <c r="B19" s="5" t="s">
        <v>11</v>
      </c>
      <c r="C19" s="17">
        <v>15</v>
      </c>
      <c r="D19" s="10">
        <v>0</v>
      </c>
      <c r="E19" s="7">
        <v>0</v>
      </c>
      <c r="F19" s="7">
        <v>0</v>
      </c>
      <c r="G19" s="7" t="e">
        <f t="shared" si="3"/>
        <v>#DIV/0!</v>
      </c>
      <c r="H19" s="11">
        <v>0</v>
      </c>
      <c r="I19" s="9">
        <v>0</v>
      </c>
      <c r="J19" s="9">
        <v>0</v>
      </c>
      <c r="K19" s="9" t="e">
        <f t="shared" si="4"/>
        <v>#DIV/0!</v>
      </c>
    </row>
    <row r="20" spans="1:11" x14ac:dyDescent="0.25">
      <c r="A20" s="23"/>
      <c r="B20" s="5" t="s">
        <v>12</v>
      </c>
      <c r="C20" s="17">
        <v>42</v>
      </c>
      <c r="D20" s="6">
        <v>58</v>
      </c>
      <c r="E20" s="27">
        <v>4371.5</v>
      </c>
      <c r="F20" s="27">
        <v>975.91</v>
      </c>
      <c r="G20" s="7">
        <f t="shared" si="3"/>
        <v>16.826034482758619</v>
      </c>
      <c r="H20" s="11">
        <v>8</v>
      </c>
      <c r="I20" s="9">
        <v>491.7</v>
      </c>
      <c r="J20" s="9">
        <v>853.38</v>
      </c>
      <c r="K20" s="9">
        <f t="shared" si="4"/>
        <v>106.6725</v>
      </c>
    </row>
    <row r="21" spans="1:11" x14ac:dyDescent="0.25">
      <c r="A21" s="23"/>
      <c r="B21" s="5" t="s">
        <v>13</v>
      </c>
      <c r="C21" s="17">
        <v>35</v>
      </c>
      <c r="D21" s="10">
        <v>128</v>
      </c>
      <c r="E21" s="7">
        <v>8795.85</v>
      </c>
      <c r="F21" s="7">
        <v>2574.39</v>
      </c>
      <c r="G21" s="7">
        <f t="shared" si="3"/>
        <v>20.112421874999999</v>
      </c>
      <c r="H21" s="12">
        <v>19</v>
      </c>
      <c r="I21" s="9">
        <v>1284.95</v>
      </c>
      <c r="J21" s="9">
        <v>1266.68</v>
      </c>
      <c r="K21" s="9">
        <f t="shared" si="4"/>
        <v>66.667368421052629</v>
      </c>
    </row>
    <row r="22" spans="1:11" x14ac:dyDescent="0.25">
      <c r="A22" s="23"/>
      <c r="B22" s="5" t="s">
        <v>17</v>
      </c>
      <c r="C22" s="17">
        <v>35</v>
      </c>
      <c r="D22" s="6">
        <v>2</v>
      </c>
      <c r="E22" s="27">
        <v>108</v>
      </c>
      <c r="F22" s="28">
        <v>15.72</v>
      </c>
      <c r="G22" s="7">
        <f t="shared" si="3"/>
        <v>7.86</v>
      </c>
      <c r="H22" s="11">
        <v>0</v>
      </c>
      <c r="I22" s="9">
        <v>0</v>
      </c>
      <c r="J22" s="9">
        <v>40.65</v>
      </c>
      <c r="K22" s="9" t="e">
        <f t="shared" ref="K22:K23" si="5">J22/H22</f>
        <v>#DIV/0!</v>
      </c>
    </row>
    <row r="23" spans="1:11" x14ac:dyDescent="0.25">
      <c r="A23" s="23"/>
      <c r="B23" s="5" t="s">
        <v>18</v>
      </c>
      <c r="C23" s="17">
        <v>35</v>
      </c>
      <c r="D23" s="10">
        <v>0</v>
      </c>
      <c r="E23" s="7">
        <v>0</v>
      </c>
      <c r="F23" s="7">
        <v>0</v>
      </c>
      <c r="G23" s="7" t="e">
        <f t="shared" ref="G23" si="6">F23/D23</f>
        <v>#DIV/0!</v>
      </c>
      <c r="H23" s="11">
        <v>0</v>
      </c>
      <c r="I23" s="9">
        <v>0</v>
      </c>
      <c r="J23" s="9">
        <v>0</v>
      </c>
      <c r="K23" s="9" t="e">
        <f t="shared" si="5"/>
        <v>#DIV/0!</v>
      </c>
    </row>
    <row r="24" spans="1:11" x14ac:dyDescent="0.25">
      <c r="A24" s="23"/>
      <c r="B24" s="5" t="s">
        <v>19</v>
      </c>
      <c r="C24" s="17">
        <v>35</v>
      </c>
      <c r="D24" s="10">
        <v>1</v>
      </c>
      <c r="E24" s="7">
        <v>96</v>
      </c>
      <c r="F24" s="7">
        <v>31.4</v>
      </c>
      <c r="G24" s="7">
        <f t="shared" si="3"/>
        <v>31.4</v>
      </c>
      <c r="H24" s="11">
        <v>2</v>
      </c>
      <c r="I24" s="9">
        <v>55.5</v>
      </c>
      <c r="J24" s="9">
        <v>172.02</v>
      </c>
      <c r="K24" s="9">
        <f t="shared" si="4"/>
        <v>86.01</v>
      </c>
    </row>
    <row r="25" spans="1:11" x14ac:dyDescent="0.25">
      <c r="A25" s="23"/>
      <c r="B25" s="5" t="s">
        <v>14</v>
      </c>
      <c r="C25" s="5"/>
      <c r="D25" s="13">
        <f>SUM(D16:D24)</f>
        <v>223</v>
      </c>
      <c r="E25" s="14">
        <f>SUM(E16:E24)</f>
        <v>16349.150000000001</v>
      </c>
      <c r="F25" s="14">
        <f>SUM(F16:F24)</f>
        <v>3992.0199999999995</v>
      </c>
      <c r="G25" s="14">
        <f>F25/D25</f>
        <v>17.901434977578472</v>
      </c>
      <c r="H25" s="15">
        <f>SUM(H16:H24)</f>
        <v>60</v>
      </c>
      <c r="I25" s="16">
        <f>SUM(I16:I24)</f>
        <v>3620.3999999999996</v>
      </c>
      <c r="J25" s="16">
        <f>SUM(J16:J24)</f>
        <v>3511.58</v>
      </c>
      <c r="K25" s="16">
        <f t="shared" ref="K25" si="7">J25/H25</f>
        <v>58.526333333333334</v>
      </c>
    </row>
    <row r="26" spans="1:11" x14ac:dyDescent="0.25">
      <c r="A26" s="23"/>
      <c r="B26" s="18"/>
      <c r="C26" s="18"/>
      <c r="D26" s="19"/>
      <c r="E26" s="20"/>
      <c r="F26" s="20"/>
      <c r="G26" s="20"/>
      <c r="H26" s="19"/>
      <c r="I26" s="20"/>
      <c r="J26" s="20"/>
      <c r="K26" s="20"/>
    </row>
    <row r="27" spans="1:11" x14ac:dyDescent="0.25">
      <c r="A27" s="23"/>
      <c r="B27" s="18"/>
      <c r="D27" s="1" t="s">
        <v>0</v>
      </c>
      <c r="E27" s="2"/>
      <c r="F27" s="2"/>
      <c r="G27" s="2"/>
      <c r="H27" s="3" t="s">
        <v>1</v>
      </c>
      <c r="I27" s="4"/>
      <c r="J27" s="4"/>
      <c r="K27" s="4"/>
    </row>
    <row r="28" spans="1:11" x14ac:dyDescent="0.25">
      <c r="A28" s="23"/>
      <c r="C28" s="5" t="s">
        <v>15</v>
      </c>
      <c r="D28" s="6" t="s">
        <v>3</v>
      </c>
      <c r="E28" s="7" t="s">
        <v>4</v>
      </c>
      <c r="F28" s="7" t="s">
        <v>5</v>
      </c>
      <c r="G28" s="7" t="s">
        <v>6</v>
      </c>
      <c r="H28" s="8" t="s">
        <v>7</v>
      </c>
      <c r="I28" s="9" t="s">
        <v>4</v>
      </c>
      <c r="J28" s="9" t="s">
        <v>5</v>
      </c>
      <c r="K28" s="9" t="s">
        <v>6</v>
      </c>
    </row>
    <row r="29" spans="1:11" x14ac:dyDescent="0.25">
      <c r="A29" s="23" t="s">
        <v>16</v>
      </c>
      <c r="B29" s="5" t="s">
        <v>8</v>
      </c>
      <c r="C29" s="17">
        <v>25</v>
      </c>
      <c r="D29" s="21" t="e">
        <f t="shared" ref="D29:K35" si="8">(D16-D3)/D16</f>
        <v>#DIV/0!</v>
      </c>
      <c r="E29" s="21" t="e">
        <f t="shared" si="8"/>
        <v>#DIV/0!</v>
      </c>
      <c r="F29" s="21">
        <f t="shared" si="8"/>
        <v>-4.6988352745424296</v>
      </c>
      <c r="G29" s="21" t="e">
        <f t="shared" si="8"/>
        <v>#DIV/0!</v>
      </c>
      <c r="H29" s="21" t="e">
        <f t="shared" si="8"/>
        <v>#DIV/0!</v>
      </c>
      <c r="I29" s="21" t="e">
        <f t="shared" si="8"/>
        <v>#DIV/0!</v>
      </c>
      <c r="J29" s="21">
        <f t="shared" si="8"/>
        <v>1</v>
      </c>
      <c r="K29" s="21" t="e">
        <f t="shared" si="8"/>
        <v>#DIV/0!</v>
      </c>
    </row>
    <row r="30" spans="1:11" x14ac:dyDescent="0.25">
      <c r="A30" s="23"/>
      <c r="B30" s="5" t="s">
        <v>9</v>
      </c>
      <c r="C30" s="17">
        <v>50</v>
      </c>
      <c r="D30" s="21">
        <f t="shared" si="8"/>
        <v>8.8235294117647065E-2</v>
      </c>
      <c r="E30" s="21">
        <f t="shared" si="8"/>
        <v>0.25510443951910811</v>
      </c>
      <c r="F30" s="21">
        <f t="shared" si="8"/>
        <v>-0.19462672739905829</v>
      </c>
      <c r="G30" s="21">
        <f t="shared" si="8"/>
        <v>-0.31023576553445115</v>
      </c>
      <c r="H30" s="21">
        <f t="shared" si="8"/>
        <v>-5.2631578947368418E-2</v>
      </c>
      <c r="I30" s="21">
        <f t="shared" si="8"/>
        <v>-0.15624877839021159</v>
      </c>
      <c r="J30" s="21">
        <f t="shared" si="8"/>
        <v>-4.7916875815681062E-2</v>
      </c>
      <c r="K30" s="21">
        <f t="shared" si="8"/>
        <v>4.4789679751029311E-3</v>
      </c>
    </row>
    <row r="31" spans="1:11" x14ac:dyDescent="0.25">
      <c r="A31" s="23"/>
      <c r="B31" s="5" t="s">
        <v>10</v>
      </c>
      <c r="C31" s="17">
        <v>31</v>
      </c>
      <c r="D31" s="21" t="e">
        <f t="shared" si="8"/>
        <v>#DIV/0!</v>
      </c>
      <c r="E31" s="21" t="e">
        <f t="shared" si="8"/>
        <v>#DIV/0!</v>
      </c>
      <c r="F31" s="21" t="e">
        <f t="shared" si="8"/>
        <v>#DIV/0!</v>
      </c>
      <c r="G31" s="21" t="e">
        <f t="shared" si="8"/>
        <v>#DIV/0!</v>
      </c>
      <c r="H31" s="21">
        <f t="shared" si="8"/>
        <v>0.25</v>
      </c>
      <c r="I31" s="21">
        <f t="shared" si="8"/>
        <v>0.10771798900235657</v>
      </c>
      <c r="J31" s="21">
        <f t="shared" si="8"/>
        <v>-6.2296169365983145E-2</v>
      </c>
      <c r="K31" s="21">
        <f t="shared" si="8"/>
        <v>-0.41639489248797756</v>
      </c>
    </row>
    <row r="32" spans="1:11" x14ac:dyDescent="0.25">
      <c r="A32" s="23"/>
      <c r="B32" s="5" t="s">
        <v>11</v>
      </c>
      <c r="C32" s="17">
        <v>15</v>
      </c>
      <c r="D32" s="21" t="e">
        <f t="shared" si="8"/>
        <v>#DIV/0!</v>
      </c>
      <c r="E32" s="21" t="e">
        <f t="shared" si="8"/>
        <v>#DIV/0!</v>
      </c>
      <c r="F32" s="21" t="e">
        <f t="shared" si="8"/>
        <v>#DIV/0!</v>
      </c>
      <c r="G32" s="21" t="e">
        <f t="shared" si="8"/>
        <v>#DIV/0!</v>
      </c>
      <c r="H32" s="21" t="e">
        <f t="shared" si="8"/>
        <v>#DIV/0!</v>
      </c>
      <c r="I32" s="21" t="e">
        <f t="shared" si="8"/>
        <v>#DIV/0!</v>
      </c>
      <c r="J32" s="21" t="e">
        <f t="shared" si="8"/>
        <v>#DIV/0!</v>
      </c>
      <c r="K32" s="21" t="e">
        <f t="shared" si="8"/>
        <v>#DIV/0!</v>
      </c>
    </row>
    <row r="33" spans="1:11" x14ac:dyDescent="0.25">
      <c r="A33" s="23"/>
      <c r="B33" s="5" t="s">
        <v>12</v>
      </c>
      <c r="C33" s="17">
        <v>42</v>
      </c>
      <c r="D33" s="21">
        <f t="shared" si="8"/>
        <v>0.39655172413793105</v>
      </c>
      <c r="E33" s="21">
        <f t="shared" si="8"/>
        <v>0.43314651721377101</v>
      </c>
      <c r="F33" s="21">
        <f t="shared" si="8"/>
        <v>6.2085643143322558E-2</v>
      </c>
      <c r="G33" s="21">
        <f t="shared" si="8"/>
        <v>-0.55425807707677988</v>
      </c>
      <c r="H33" s="21">
        <f t="shared" si="8"/>
        <v>-0.25</v>
      </c>
      <c r="I33" s="21">
        <f t="shared" si="8"/>
        <v>-0.60534878991254837</v>
      </c>
      <c r="J33" s="21">
        <f t="shared" si="8"/>
        <v>-0.30904169303241247</v>
      </c>
      <c r="K33" s="21">
        <f t="shared" si="8"/>
        <v>-4.7233354425929956E-2</v>
      </c>
    </row>
    <row r="34" spans="1:11" x14ac:dyDescent="0.25">
      <c r="A34" s="23"/>
      <c r="B34" s="5" t="s">
        <v>13</v>
      </c>
      <c r="C34" s="17">
        <v>35</v>
      </c>
      <c r="D34" s="21">
        <f t="shared" si="8"/>
        <v>-0.203125</v>
      </c>
      <c r="E34" s="21">
        <f t="shared" si="8"/>
        <v>-8.2555978103310043E-2</v>
      </c>
      <c r="F34" s="21">
        <f t="shared" si="8"/>
        <v>-0.2875360765074445</v>
      </c>
      <c r="G34" s="21">
        <f t="shared" si="8"/>
        <v>-7.0159855798395385E-2</v>
      </c>
      <c r="H34" s="21">
        <f t="shared" si="8"/>
        <v>-0.78947368421052633</v>
      </c>
      <c r="I34" s="21">
        <f t="shared" si="8"/>
        <v>-0.77975796723607926</v>
      </c>
      <c r="J34" s="21">
        <f t="shared" si="8"/>
        <v>-0.36102251555246784</v>
      </c>
      <c r="K34" s="21">
        <f t="shared" si="8"/>
        <v>0.2394285942500915</v>
      </c>
    </row>
    <row r="35" spans="1:11" x14ac:dyDescent="0.25">
      <c r="A35" s="23"/>
      <c r="B35" s="5" t="s">
        <v>17</v>
      </c>
      <c r="C35" s="17">
        <v>35</v>
      </c>
      <c r="D35" s="21">
        <f t="shared" si="8"/>
        <v>-2.5</v>
      </c>
      <c r="E35" s="21">
        <f t="shared" si="8"/>
        <v>-2</v>
      </c>
      <c r="F35" s="21">
        <f t="shared" si="8"/>
        <v>-4.3988549618320612</v>
      </c>
      <c r="G35" s="21">
        <f t="shared" si="8"/>
        <v>-0.54252998909487471</v>
      </c>
      <c r="H35" s="21" t="e">
        <f t="shared" si="8"/>
        <v>#DIV/0!</v>
      </c>
      <c r="I35" s="21" t="e">
        <f t="shared" si="8"/>
        <v>#DIV/0!</v>
      </c>
      <c r="J35" s="21">
        <f t="shared" si="8"/>
        <v>-0.68290282902829025</v>
      </c>
      <c r="K35" s="21" t="e">
        <f t="shared" si="8"/>
        <v>#DIV/0!</v>
      </c>
    </row>
    <row r="36" spans="1:11" x14ac:dyDescent="0.25">
      <c r="A36" s="23"/>
      <c r="B36" s="5" t="s">
        <v>18</v>
      </c>
      <c r="C36" s="17">
        <v>35</v>
      </c>
      <c r="D36" s="21">
        <f t="shared" ref="D36:K37" si="9">(D24-D11)/D24</f>
        <v>0</v>
      </c>
      <c r="E36" s="21">
        <f t="shared" si="9"/>
        <v>0</v>
      </c>
      <c r="F36" s="21">
        <f t="shared" si="9"/>
        <v>-7.4203821656050911E-2</v>
      </c>
      <c r="G36" s="21">
        <f t="shared" si="9"/>
        <v>-7.4203821656050911E-2</v>
      </c>
      <c r="H36" s="21">
        <f t="shared" si="9"/>
        <v>-0.5</v>
      </c>
      <c r="I36" s="21">
        <f t="shared" si="9"/>
        <v>0.24324324324324326</v>
      </c>
      <c r="J36" s="21">
        <f t="shared" si="9"/>
        <v>0.63062434600627837</v>
      </c>
      <c r="K36" s="21">
        <f t="shared" si="9"/>
        <v>0.75374956400418569</v>
      </c>
    </row>
    <row r="37" spans="1:11" x14ac:dyDescent="0.25">
      <c r="A37" s="23"/>
      <c r="B37" s="5" t="s">
        <v>14</v>
      </c>
      <c r="C37" s="5"/>
      <c r="D37" s="22">
        <f t="shared" si="9"/>
        <v>-3.1390134529147982E-2</v>
      </c>
      <c r="E37" s="22">
        <f t="shared" si="9"/>
        <v>9.6102855500133075E-2</v>
      </c>
      <c r="F37" s="22">
        <f t="shared" si="9"/>
        <v>-0.21767927014393706</v>
      </c>
      <c r="G37" s="22">
        <f t="shared" si="9"/>
        <v>-0.18061946626999126</v>
      </c>
      <c r="H37" s="22">
        <f t="shared" si="9"/>
        <v>-0.3</v>
      </c>
      <c r="I37" s="22">
        <f t="shared" si="9"/>
        <v>-0.41517511877140661</v>
      </c>
      <c r="J37" s="22">
        <f t="shared" si="9"/>
        <v>-0.19861999441846698</v>
      </c>
      <c r="K37" s="22">
        <f t="shared" si="9"/>
        <v>7.7984619678102329E-2</v>
      </c>
    </row>
  </sheetData>
  <conditionalFormatting sqref="D29:K37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9:G37 J29:K37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2025-05-19T11:52:54Z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