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433256E-5A90-4D24-A3C3-796206894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2" l="1"/>
  <c r="G24" i="2"/>
  <c r="G19" i="2"/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J13" i="2" l="1"/>
  <c r="I13" i="2"/>
  <c r="H13" i="2"/>
  <c r="F13" i="2"/>
  <c r="E13" i="2"/>
  <c r="D13" i="2"/>
  <c r="G26" i="2"/>
  <c r="G23" i="2"/>
  <c r="G22" i="2"/>
  <c r="G21" i="2"/>
  <c r="G18" i="2"/>
  <c r="G17" i="2"/>
  <c r="K13" i="2" l="1"/>
  <c r="G13" i="2"/>
  <c r="G20" i="2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<sst xmlns="http://schemas.openxmlformats.org/spreadsheetml/2006/main" count="68" uniqueCount="21">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</sst>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workbookViewId="0">
      <selection activeCell="H26" sqref="H26:J26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45935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45941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26</v>
      </c>
      <c r="E4" s="7">
        <v>1878.6</v>
      </c>
      <c r="F4" s="7">
        <v>565.59</v>
      </c>
      <c r="G4" s="7">
        <f t="shared" si="0"/>
        <v>21.75346153846154</v>
      </c>
      <c r="H4" s="11">
        <v>16</v>
      </c>
      <c r="I4" s="9">
        <v>1199.1000000000001</v>
      </c>
      <c r="J4" s="9">
        <v>793.65</v>
      </c>
      <c r="K4" s="9">
        <f t="shared" si="1"/>
        <v>49.603124999999999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36</v>
      </c>
      <c r="E7" s="27">
        <v>2927.7</v>
      </c>
      <c r="F7" s="27">
        <v>830.63</v>
      </c>
      <c r="G7" s="7">
        <f t="shared" si="0"/>
        <v>23.073055555555555</v>
      </c>
      <c r="H7" s="11">
        <v>8</v>
      </c>
      <c r="I7" s="9">
        <v>539.54999999999995</v>
      </c>
      <c r="J7" s="9">
        <v>556.15</v>
      </c>
      <c r="K7" s="9">
        <f t="shared" si="1"/>
        <v>69.518749999999997</v>
      </c>
    </row>
    <row r="8" spans="1:11" x14ac:dyDescent="0.25">
      <c r="A8" s="23"/>
      <c r="B8" s="5" t="s">
        <v>13</v>
      </c>
      <c r="C8" s="17">
        <v>35</v>
      </c>
      <c r="D8" s="10">
        <v>139</v>
      </c>
      <c r="E8" s="7">
        <v>8976.75</v>
      </c>
      <c r="F8" s="7">
        <v>4796.53</v>
      </c>
      <c r="G8" s="7">
        <f t="shared" si="0"/>
        <v>34.507410071942445</v>
      </c>
      <c r="H8" s="12">
        <v>29</v>
      </c>
      <c r="I8" s="9">
        <v>1997</v>
      </c>
      <c r="J8" s="9">
        <v>1215.1600000000001</v>
      </c>
      <c r="K8" s="9">
        <f t="shared" si="1"/>
        <v>41.902068965517245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2</v>
      </c>
      <c r="E11" s="7">
        <v>59.9</v>
      </c>
      <c r="F11" s="7">
        <v>3.68</v>
      </c>
      <c r="G11" s="7">
        <f t="shared" si="0"/>
        <v>1.84</v>
      </c>
      <c r="H11" s="11">
        <v>0</v>
      </c>
      <c r="I11" s="9">
        <v>0</v>
      </c>
      <c r="J11" s="9">
        <v>4.43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3</v>
      </c>
      <c r="E12" s="7">
        <v>95</v>
      </c>
      <c r="F12" s="7">
        <v>21.89</v>
      </c>
      <c r="G12" s="7">
        <f t="shared" si="0"/>
        <v>7.2966666666666669</v>
      </c>
      <c r="H12" s="11">
        <v>4</v>
      </c>
      <c r="I12" s="9">
        <v>283</v>
      </c>
      <c r="J12" s="9">
        <v>373.68</v>
      </c>
      <c r="K12" s="9">
        <f t="shared" si="1"/>
        <v>93.42</v>
      </c>
    </row>
    <row r="13" spans="1:11" x14ac:dyDescent="0.25">
      <c r="A13" s="23"/>
      <c r="B13" s="5" t="s">
        <v>14</v>
      </c>
      <c r="C13" s="5"/>
      <c r="D13" s="13">
        <f>SUM(D3:D12)</f>
        <v>206</v>
      </c>
      <c r="E13" s="14">
        <f>SUM(E3:E12)</f>
        <v>13937.949999999999</v>
      </c>
      <c r="F13" s="14">
        <f>SUM(F3:F12)</f>
        <v>6218.3200000000006</v>
      </c>
      <c r="G13" s="14">
        <f>F13/D13</f>
        <v>30.18601941747573</v>
      </c>
      <c r="H13" s="15">
        <f>SUM(H3:H12)</f>
        <v>57</v>
      </c>
      <c r="I13" s="16">
        <f>SUM(I3:I12)</f>
        <v>4018.65</v>
      </c>
      <c r="J13" s="16">
        <f>SUM(J3:J12)</f>
        <v>2943.0699999999997</v>
      </c>
      <c r="K13" s="16">
        <f t="shared" ref="K13" si="2">J13/H13</f>
        <v>51.632807017543854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45942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45948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33</v>
      </c>
      <c r="E18" s="7">
        <v>2343.15</v>
      </c>
      <c r="F18" s="7">
        <v>760.86</v>
      </c>
      <c r="G18" s="7">
        <f t="shared" si="3"/>
        <v>23.056363636363638</v>
      </c>
      <c r="H18" s="11">
        <v>14</v>
      </c>
      <c r="I18" s="9">
        <v>979.25</v>
      </c>
      <c r="J18" s="9">
        <v>1051.48</v>
      </c>
      <c r="K18" s="9">
        <f t="shared" si="4"/>
        <v>75.105714285714285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29</v>
      </c>
      <c r="E21" s="27">
        <v>1939.4</v>
      </c>
      <c r="F21" s="27">
        <v>474.01</v>
      </c>
      <c r="G21" s="7">
        <f t="shared" si="3"/>
        <v>16.345172413793104</v>
      </c>
      <c r="H21" s="11">
        <v>7</v>
      </c>
      <c r="I21" s="9">
        <v>439.65</v>
      </c>
      <c r="J21" s="9">
        <v>532.92999999999995</v>
      </c>
      <c r="K21" s="9">
        <f t="shared" si="4"/>
        <v>76.132857142857134</v>
      </c>
    </row>
    <row r="22" spans="1:11" x14ac:dyDescent="0.25">
      <c r="A22" s="23"/>
      <c r="B22" s="5" t="s">
        <v>13</v>
      </c>
      <c r="C22" s="17">
        <v>35</v>
      </c>
      <c r="D22" s="10">
        <v>116</v>
      </c>
      <c r="E22" s="7">
        <v>7535.95</v>
      </c>
      <c r="F22" s="7">
        <v>3219.22</v>
      </c>
      <c r="G22" s="7">
        <f t="shared" si="3"/>
        <v>27.751896551724137</v>
      </c>
      <c r="H22" s="12">
        <v>28</v>
      </c>
      <c r="I22" s="9">
        <v>1700</v>
      </c>
      <c r="J22" s="9">
        <v>1405.68</v>
      </c>
      <c r="K22" s="9">
        <f t="shared" si="4"/>
        <v>50.202857142857148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2.12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0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0</v>
      </c>
      <c r="E26" s="7">
        <v>0</v>
      </c>
      <c r="F26" s="7">
        <v>24.43</v>
      </c>
      <c r="G26" s="7" t="e">
        <f t="shared" si="3"/>
        <v>#DIV/0!</v>
      </c>
      <c r="H26" s="11">
        <v>5</v>
      </c>
      <c r="I26" s="9">
        <v>175</v>
      </c>
      <c r="J26" s="9">
        <v>133.1</v>
      </c>
      <c r="K26" s="9">
        <f t="shared" si="4"/>
        <v>26.619999999999997</v>
      </c>
    </row>
    <row r="27" spans="1:11" x14ac:dyDescent="0.25">
      <c r="A27" s="23"/>
      <c r="B27" s="5" t="s">
        <v>14</v>
      </c>
      <c r="C27" s="5"/>
      <c r="D27" s="13">
        <f>SUM(D17:D26)</f>
        <v>178</v>
      </c>
      <c r="E27" s="14">
        <f>SUM(E17:E26)</f>
        <v>11818.5</v>
      </c>
      <c r="F27" s="14">
        <f>SUM(F17:F26)</f>
        <v>4480.6400000000003</v>
      </c>
      <c r="G27" s="14">
        <f>F27/D27</f>
        <v>25.172134831460674</v>
      </c>
      <c r="H27" s="15">
        <f>SUM(H17:H26)</f>
        <v>54</v>
      </c>
      <c r="I27" s="16">
        <f>SUM(I17:I26)</f>
        <v>3293.9</v>
      </c>
      <c r="J27" s="16">
        <f>SUM(J17:J26)</f>
        <v>3123.19</v>
      </c>
      <c r="K27" s="16">
        <f t="shared" ref="K27" si="8">J27/H27</f>
        <v>57.836851851851854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0.21212121212121213</v>
      </c>
      <c r="E32" s="21">
        <f t="shared" si="9"/>
        <v>0.1982587542410858</v>
      </c>
      <c r="F32" s="21">
        <f t="shared" si="9"/>
        <v>0.25664379780774382</v>
      </c>
      <c r="G32" s="21">
        <f t="shared" si="9"/>
        <v>5.6509435679059541E-2</v>
      </c>
      <c r="H32" s="21">
        <f t="shared" si="9"/>
        <v>-0.14285714285714285</v>
      </c>
      <c r="I32" s="21">
        <f t="shared" si="9"/>
        <v>-0.22450855246362025</v>
      </c>
      <c r="J32" s="21">
        <f t="shared" si="9"/>
        <v>0.2452067561912733</v>
      </c>
      <c r="K32" s="21">
        <f t="shared" si="9"/>
        <v>0.3395559116673641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-0.2413793103448276</v>
      </c>
      <c r="E35" s="21">
        <f t="shared" si="9"/>
        <v>-0.50959059502939041</v>
      </c>
      <c r="F35" s="21">
        <f t="shared" si="9"/>
        <v>-0.75234699689879958</v>
      </c>
      <c r="G35" s="21">
        <f t="shared" si="9"/>
        <v>-0.41161285861292179</v>
      </c>
      <c r="H35" s="21">
        <f t="shared" si="9"/>
        <v>-0.14285714285714285</v>
      </c>
      <c r="I35" s="21">
        <f t="shared" si="9"/>
        <v>-0.22722620266120774</v>
      </c>
      <c r="J35" s="21">
        <f t="shared" si="9"/>
        <v>-4.3570450152928208E-2</v>
      </c>
      <c r="K35" s="21">
        <f t="shared" si="9"/>
        <v>8.6875856116187797E-2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-0.19827586206896552</v>
      </c>
      <c r="E36" s="21">
        <f t="shared" si="9"/>
        <v>-0.19119022817295764</v>
      </c>
      <c r="F36" s="21">
        <f t="shared" si="9"/>
        <v>-0.48996651362752469</v>
      </c>
      <c r="G36" s="21">
        <f t="shared" si="9"/>
        <v>-0.2434252919481501</v>
      </c>
      <c r="H36" s="21">
        <f t="shared" si="9"/>
        <v>-3.5714285714285712E-2</v>
      </c>
      <c r="I36" s="21">
        <f t="shared" si="9"/>
        <v>-0.17470588235294118</v>
      </c>
      <c r="J36" s="21">
        <f t="shared" si="9"/>
        <v>0.13553582607705877</v>
      </c>
      <c r="K36" s="21">
        <f t="shared" si="9"/>
        <v>0.16534493552267748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1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 t="e">
        <f t="shared" ref="D39:K40" si="10">(D26-D12)/D26</f>
        <v>#DIV/0!</v>
      </c>
      <c r="E39" s="21" t="e">
        <f t="shared" si="10"/>
        <v>#DIV/0!</v>
      </c>
      <c r="F39" s="21">
        <f t="shared" si="10"/>
        <v>0.10397052803929592</v>
      </c>
      <c r="G39" s="21" t="e">
        <f t="shared" si="10"/>
        <v>#DIV/0!</v>
      </c>
      <c r="H39" s="21">
        <f t="shared" si="10"/>
        <v>0.2</v>
      </c>
      <c r="I39" s="21">
        <f t="shared" si="10"/>
        <v>-0.6171428571428571</v>
      </c>
      <c r="J39" s="21">
        <f t="shared" si="10"/>
        <v>-1.8075131480090159</v>
      </c>
      <c r="K39" s="21">
        <f t="shared" si="10"/>
        <v>-2.5093914350112705</v>
      </c>
    </row>
    <row r="40" spans="1:11" x14ac:dyDescent="0.25">
      <c r="A40" s="23"/>
      <c r="B40" s="5" t="s">
        <v>14</v>
      </c>
      <c r="C40" s="5"/>
      <c r="D40" s="22">
        <f t="shared" si="10"/>
        <v>-0.15730337078651685</v>
      </c>
      <c r="E40" s="22">
        <f t="shared" si="10"/>
        <v>-0.17933324872022668</v>
      </c>
      <c r="F40" s="22">
        <f t="shared" si="10"/>
        <v>-0.38781959720039999</v>
      </c>
      <c r="G40" s="22">
        <f t="shared" si="10"/>
        <v>-0.19918392379452041</v>
      </c>
      <c r="H40" s="22">
        <f t="shared" si="10"/>
        <v>-5.5555555555555552E-2</v>
      </c>
      <c r="I40" s="22">
        <f t="shared" si="10"/>
        <v>-0.22002793041683111</v>
      </c>
      <c r="J40" s="22">
        <f t="shared" si="10"/>
        <v>5.7671803508592287E-2</v>
      </c>
      <c r="K40" s="22">
        <f t="shared" si="10"/>
        <v>0.10726802437656115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2025-10-20T15:08:23Z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