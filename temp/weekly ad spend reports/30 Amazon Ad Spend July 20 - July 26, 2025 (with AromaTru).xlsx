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E2430B1-9241-4E39-888F-7E0415E96850}" xr6:coauthVersionLast="47" xr6:coauthVersionMax="47" xr10:uidLastSave="{00000000-0000-0000-0000-000000000000}"/>
  <bookViews>
    <workbookView xWindow="2340" yWindow="2340" windowWidth="2467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<sst xmlns="http://schemas.openxmlformats.org/spreadsheetml/2006/main" count="66" uniqueCount="20">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</sst>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topLeftCell="A7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45851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45857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32</v>
      </c>
      <c r="E4" s="7">
        <v>2278.15</v>
      </c>
      <c r="F4" s="7">
        <v>476.25</v>
      </c>
      <c r="G4" s="7">
        <f t="shared" si="0"/>
        <v>14.8828125</v>
      </c>
      <c r="H4" s="11">
        <v>8</v>
      </c>
      <c r="I4" s="9">
        <v>514.65</v>
      </c>
      <c r="J4" s="9">
        <v>508.08</v>
      </c>
      <c r="K4" s="9">
        <f t="shared" si="1"/>
        <v>63.51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13</v>
      </c>
      <c r="I5" s="9">
        <v>953.6</v>
      </c>
      <c r="J5" s="9">
        <v>118.07</v>
      </c>
      <c r="K5" s="9">
        <f t="shared" si="1"/>
        <v>9.0823076923076922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49</v>
      </c>
      <c r="E7" s="27">
        <v>3167.45</v>
      </c>
      <c r="F7" s="27">
        <v>779.96</v>
      </c>
      <c r="G7" s="7">
        <f t="shared" si="0"/>
        <v>15.917551020408164</v>
      </c>
      <c r="H7" s="11">
        <v>9</v>
      </c>
      <c r="I7" s="9">
        <v>664.5</v>
      </c>
      <c r="J7" s="9">
        <v>912.76</v>
      </c>
      <c r="K7" s="9">
        <f t="shared" si="1"/>
        <v>101.41777777777777</v>
      </c>
    </row>
    <row r="8" spans="1:11" x14ac:dyDescent="0.25">
      <c r="A8" s="23"/>
      <c r="B8" s="5" t="s">
        <v>13</v>
      </c>
      <c r="C8" s="17">
        <v>35</v>
      </c>
      <c r="D8" s="10">
        <v>114</v>
      </c>
      <c r="E8" s="7">
        <v>8270.5499999999993</v>
      </c>
      <c r="F8" s="7">
        <v>2704.58</v>
      </c>
      <c r="G8" s="7">
        <f t="shared" si="0"/>
        <v>23.72438596491228</v>
      </c>
      <c r="H8" s="12">
        <v>23</v>
      </c>
      <c r="I8" s="9">
        <v>1547.95</v>
      </c>
      <c r="J8" s="9">
        <v>1254.21</v>
      </c>
      <c r="K8" s="9">
        <f t="shared" si="1"/>
        <v>54.530869565217394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1</v>
      </c>
      <c r="E10" s="7">
        <v>54.95</v>
      </c>
      <c r="F10" s="7">
        <v>7.37</v>
      </c>
      <c r="G10" s="7">
        <f t="shared" si="0"/>
        <v>7.37</v>
      </c>
      <c r="H10" s="11">
        <v>0</v>
      </c>
      <c r="I10" s="9">
        <v>0</v>
      </c>
      <c r="J10" s="9">
        <v>19.43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</v>
      </c>
      <c r="E11" s="7">
        <v>96</v>
      </c>
      <c r="F11" s="7">
        <v>22.54</v>
      </c>
      <c r="G11" s="7">
        <f t="shared" si="0"/>
        <v>22.54</v>
      </c>
      <c r="H11" s="11">
        <v>1</v>
      </c>
      <c r="I11" s="9">
        <v>30</v>
      </c>
      <c r="J11" s="9">
        <v>91.27</v>
      </c>
      <c r="K11" s="9">
        <f t="shared" si="1"/>
        <v>91.27</v>
      </c>
    </row>
    <row r="12" spans="1:11" x14ac:dyDescent="0.25">
      <c r="A12" s="23"/>
      <c r="B12" s="5" t="s">
        <v>14</v>
      </c>
      <c r="C12" s="5"/>
      <c r="D12" s="13">
        <f>SUM(D3:D11)</f>
        <v>197</v>
      </c>
      <c r="E12" s="14">
        <f>SUM(E3:E11)</f>
        <v>13867.1</v>
      </c>
      <c r="F12" s="14">
        <f>SUM(F3:F11)</f>
        <v>3990.7</v>
      </c>
      <c r="G12" s="14">
        <f>F12/D12</f>
        <v>20.257360406091369</v>
      </c>
      <c r="H12" s="15">
        <f>SUM(H3:H11)</f>
        <v>54</v>
      </c>
      <c r="I12" s="16">
        <f>SUM(I3:I11)</f>
        <v>3710.7</v>
      </c>
      <c r="J12" s="16">
        <f>SUM(J3:J11)</f>
        <v>2903.8199999999997</v>
      </c>
      <c r="K12" s="16">
        <f t="shared" ref="K12" si="2">J12/H12</f>
        <v>53.774444444444441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45858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45864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40</v>
      </c>
      <c r="E17" s="7">
        <v>2697.8</v>
      </c>
      <c r="F17" s="7">
        <v>395.4</v>
      </c>
      <c r="G17" s="7">
        <f t="shared" si="3"/>
        <v>9.8849999999999998</v>
      </c>
      <c r="H17" s="11">
        <v>8</v>
      </c>
      <c r="I17" s="9">
        <v>509.59999999999997</v>
      </c>
      <c r="J17" s="9">
        <v>517.30999999999995</v>
      </c>
      <c r="K17" s="9">
        <f t="shared" si="4"/>
        <v>64.663749999999993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5</v>
      </c>
      <c r="I18" s="9">
        <v>244.65</v>
      </c>
      <c r="J18" s="9">
        <v>44.14</v>
      </c>
      <c r="K18" s="9">
        <f t="shared" si="4"/>
        <v>8.8279999999999994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37</v>
      </c>
      <c r="E20" s="27">
        <v>3037.5</v>
      </c>
      <c r="F20" s="27">
        <v>589.14</v>
      </c>
      <c r="G20" s="7">
        <f t="shared" si="3"/>
        <v>15.922702702702702</v>
      </c>
      <c r="H20" s="11">
        <v>11</v>
      </c>
      <c r="I20" s="9">
        <v>689.45</v>
      </c>
      <c r="J20" s="9">
        <v>812.48</v>
      </c>
      <c r="K20" s="9">
        <f t="shared" si="4"/>
        <v>73.86181818181818</v>
      </c>
    </row>
    <row r="21" spans="1:11" x14ac:dyDescent="0.25">
      <c r="A21" s="23"/>
      <c r="B21" s="5" t="s">
        <v>13</v>
      </c>
      <c r="C21" s="17">
        <v>35</v>
      </c>
      <c r="D21" s="10">
        <v>123</v>
      </c>
      <c r="E21" s="7">
        <v>8654.75</v>
      </c>
      <c r="F21" s="7">
        <v>2444.36</v>
      </c>
      <c r="G21" s="7">
        <f t="shared" si="3"/>
        <v>19.872845528455287</v>
      </c>
      <c r="H21" s="12">
        <v>26</v>
      </c>
      <c r="I21" s="9">
        <v>1997.9</v>
      </c>
      <c r="J21" s="9">
        <v>1371.65</v>
      </c>
      <c r="K21" s="9">
        <f t="shared" si="4"/>
        <v>52.755769230769232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1</v>
      </c>
      <c r="E23" s="7">
        <v>54.95</v>
      </c>
      <c r="F23" s="7">
        <v>17.170000000000002</v>
      </c>
      <c r="G23" s="7">
        <f t="shared" ref="G23" si="6">F23/D23</f>
        <v>17.170000000000002</v>
      </c>
      <c r="H23" s="11">
        <v>0</v>
      </c>
      <c r="I23" s="9">
        <v>0</v>
      </c>
      <c r="J23" s="9">
        <v>82.62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8</v>
      </c>
      <c r="E24" s="7">
        <v>904.45</v>
      </c>
      <c r="F24" s="7">
        <v>36.6</v>
      </c>
      <c r="G24" s="7">
        <f t="shared" si="3"/>
        <v>4.5750000000000002</v>
      </c>
      <c r="H24" s="11">
        <v>0</v>
      </c>
      <c r="I24" s="9">
        <v>0</v>
      </c>
      <c r="J24" s="9">
        <v>110.76</v>
      </c>
      <c r="K24" s="9" t="e">
        <f t="shared" si="4"/>
        <v>#DIV/0!</v>
      </c>
    </row>
    <row r="25" spans="1:11" x14ac:dyDescent="0.25">
      <c r="A25" s="23"/>
      <c r="B25" s="5" t="s">
        <v>14</v>
      </c>
      <c r="C25" s="5"/>
      <c r="D25" s="13">
        <f>SUM(D16:D24)</f>
        <v>209</v>
      </c>
      <c r="E25" s="14">
        <f>SUM(E16:E24)</f>
        <v>15349.45</v>
      </c>
      <c r="F25" s="14">
        <f>SUM(F16:F24)</f>
        <v>3482.67</v>
      </c>
      <c r="G25" s="14">
        <f>F25/D25</f>
        <v>16.663492822966507</v>
      </c>
      <c r="H25" s="15">
        <f>SUM(H16:H24)</f>
        <v>50</v>
      </c>
      <c r="I25" s="16">
        <f>SUM(I16:I24)</f>
        <v>3441.6000000000004</v>
      </c>
      <c r="J25" s="16">
        <f>SUM(J16:J24)</f>
        <v>2938.96</v>
      </c>
      <c r="K25" s="16">
        <f t="shared" ref="K25" si="7">J25/H25</f>
        <v>58.779200000000003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0.2</v>
      </c>
      <c r="E30" s="21">
        <f t="shared" si="8"/>
        <v>0.15555267254800209</v>
      </c>
      <c r="F30" s="21">
        <f t="shared" si="8"/>
        <v>-0.20447647951441586</v>
      </c>
      <c r="G30" s="21">
        <f t="shared" si="8"/>
        <v>-0.50559559939301979</v>
      </c>
      <c r="H30" s="21">
        <f t="shared" si="8"/>
        <v>0</v>
      </c>
      <c r="I30" s="21">
        <f t="shared" si="8"/>
        <v>-9.9097331240188616E-3</v>
      </c>
      <c r="J30" s="21">
        <f>(J17-J4)/J17</f>
        <v>1.7842299588254552E-2</v>
      </c>
      <c r="K30" s="21">
        <f t="shared" si="8"/>
        <v>1.7842299588254552E-2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-1.6</v>
      </c>
      <c r="I31" s="21">
        <f t="shared" si="8"/>
        <v>-2.8978132025342327</v>
      </c>
      <c r="J31" s="21">
        <f t="shared" si="8"/>
        <v>-1.6748980516538285</v>
      </c>
      <c r="K31" s="21">
        <f t="shared" si="8"/>
        <v>-2.8806942943780337E-2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-0.32432432432432434</v>
      </c>
      <c r="E33" s="21">
        <f t="shared" si="8"/>
        <v>-4.2781893004115168E-2</v>
      </c>
      <c r="F33" s="21">
        <f t="shared" si="8"/>
        <v>-0.32389584818549083</v>
      </c>
      <c r="G33" s="21">
        <f t="shared" si="8"/>
        <v>3.2354320687431616E-4</v>
      </c>
      <c r="H33" s="21">
        <f t="shared" si="8"/>
        <v>0.18181818181818182</v>
      </c>
      <c r="I33" s="21">
        <f t="shared" si="8"/>
        <v>3.6188266009137784E-2</v>
      </c>
      <c r="J33" s="21">
        <f t="shared" si="8"/>
        <v>-0.12342457660496255</v>
      </c>
      <c r="K33" s="21">
        <f t="shared" si="8"/>
        <v>-0.37307448251717645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7.3170731707317069E-2</v>
      </c>
      <c r="E34" s="21">
        <f t="shared" si="8"/>
        <v>4.4391807966723561E-2</v>
      </c>
      <c r="F34" s="21">
        <f t="shared" si="8"/>
        <v>-0.10645731397993741</v>
      </c>
      <c r="G34" s="21">
        <f t="shared" si="8"/>
        <v>-0.19380920718887976</v>
      </c>
      <c r="H34" s="21">
        <f t="shared" si="8"/>
        <v>0.11538461538461539</v>
      </c>
      <c r="I34" s="21">
        <f t="shared" si="8"/>
        <v>0.22521147204564795</v>
      </c>
      <c r="J34" s="21">
        <f t="shared" si="8"/>
        <v>8.5619509350052886E-2</v>
      </c>
      <c r="K34" s="21">
        <f t="shared" si="8"/>
        <v>-3.3647511169505491E-2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8" si="9">(D23-D10)/D23</f>
        <v>0</v>
      </c>
      <c r="E36" s="21">
        <f t="shared" si="9"/>
        <v>0</v>
      </c>
      <c r="F36" s="21">
        <f t="shared" si="9"/>
        <v>0.570762958648806</v>
      </c>
      <c r="G36" s="21">
        <f t="shared" si="9"/>
        <v>0.570762958648806</v>
      </c>
      <c r="H36" s="21" t="e">
        <f t="shared" si="9"/>
        <v>#DIV/0!</v>
      </c>
      <c r="I36" s="21" t="e">
        <f t="shared" si="9"/>
        <v>#DIV/0!</v>
      </c>
      <c r="J36" s="21">
        <f t="shared" si="9"/>
        <v>0.76482691842168971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0.875</v>
      </c>
      <c r="E37" s="21">
        <f t="shared" si="9"/>
        <v>0.89385814583448508</v>
      </c>
      <c r="F37" s="21">
        <f t="shared" si="9"/>
        <v>0.38415300546448095</v>
      </c>
      <c r="G37" s="21">
        <f t="shared" si="9"/>
        <v>-3.9267759562841529</v>
      </c>
      <c r="H37" s="21" t="e">
        <f t="shared" si="9"/>
        <v>#DIV/0!</v>
      </c>
      <c r="I37" s="21" t="e">
        <f t="shared" si="9"/>
        <v>#DIV/0!</v>
      </c>
      <c r="J37" s="21">
        <f t="shared" si="9"/>
        <v>0.17596605272661617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5.7416267942583733E-2</v>
      </c>
      <c r="E38" s="22">
        <f t="shared" si="9"/>
        <v>9.6573492861307758E-2</v>
      </c>
      <c r="F38" s="22">
        <f t="shared" si="9"/>
        <v>-0.14587371183603376</v>
      </c>
      <c r="G38" s="22">
        <f t="shared" si="9"/>
        <v>-0.21567312575497996</v>
      </c>
      <c r="H38" s="22">
        <f t="shared" si="9"/>
        <v>-0.08</v>
      </c>
      <c r="I38" s="22">
        <f t="shared" si="9"/>
        <v>-7.819037656903749E-2</v>
      </c>
      <c r="J38" s="22">
        <f t="shared" si="9"/>
        <v>1.1956610501674172E-2</v>
      </c>
      <c r="K38" s="22">
        <f t="shared" si="9"/>
        <v>8.5145009723772383E-2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2025-07-28T12:26:06Z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