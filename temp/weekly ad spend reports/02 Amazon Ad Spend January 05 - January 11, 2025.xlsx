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2B71A99C-40B7-4B30-A9A0-0BE286A226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2" l="1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J11" i="2" l="1"/>
  <c r="K11" i="2" s="1"/>
  <c r="I11" i="2"/>
  <c r="H11" i="2"/>
  <c r="F11" i="2"/>
  <c r="G11" i="2" s="1"/>
  <c r="E11" i="2"/>
  <c r="D11" i="2"/>
  <c r="G18" i="2"/>
  <c r="K18" i="2" l="1"/>
  <c r="J33" i="2" l="1"/>
  <c r="I33" i="2"/>
  <c r="H33" i="2"/>
  <c r="F33" i="2"/>
  <c r="E33" i="2"/>
  <c r="D33" i="2"/>
  <c r="K21" i="2"/>
  <c r="K33" i="2" s="1"/>
  <c r="G21" i="2"/>
  <c r="G33" i="2" s="1"/>
  <c r="G19" i="2" l="1"/>
  <c r="G20" i="2"/>
  <c r="G22" i="2"/>
  <c r="G15" i="2" l="1"/>
  <c r="G16" i="2"/>
  <c r="G17" i="2"/>
  <c r="K22" i="2"/>
  <c r="K20" i="2"/>
  <c r="K19" i="2"/>
  <c r="K17" i="2"/>
  <c r="K16" i="2"/>
  <c r="K15" i="2"/>
  <c r="J32" i="2" l="1"/>
  <c r="I32" i="2"/>
  <c r="H32" i="2"/>
  <c r="F32" i="2"/>
  <c r="E32" i="2"/>
  <c r="D32" i="2"/>
  <c r="K32" i="2" l="1"/>
  <c r="G32" i="2"/>
  <c r="H23" i="2" l="1"/>
  <c r="J34" i="2" l="1"/>
  <c r="I34" i="2"/>
  <c r="H34" i="2"/>
  <c r="F34" i="2"/>
  <c r="E34" i="2"/>
  <c r="D34" i="2"/>
  <c r="J31" i="2"/>
  <c r="I31" i="2"/>
  <c r="H31" i="2"/>
  <c r="F31" i="2"/>
  <c r="E31" i="2"/>
  <c r="D31" i="2"/>
  <c r="J30" i="2"/>
  <c r="I30" i="2"/>
  <c r="H30" i="2"/>
  <c r="F30" i="2"/>
  <c r="E30" i="2"/>
  <c r="D30" i="2"/>
  <c r="J29" i="2"/>
  <c r="I29" i="2"/>
  <c r="H29" i="2"/>
  <c r="F29" i="2"/>
  <c r="E29" i="2"/>
  <c r="D29" i="2"/>
  <c r="J28" i="2"/>
  <c r="I28" i="2"/>
  <c r="H28" i="2"/>
  <c r="F28" i="2"/>
  <c r="E28" i="2"/>
  <c r="D28" i="2"/>
  <c r="J27" i="2"/>
  <c r="I27" i="2"/>
  <c r="H27" i="2"/>
  <c r="F27" i="2"/>
  <c r="E27" i="2"/>
  <c r="D27" i="2"/>
  <c r="J23" i="2"/>
  <c r="I23" i="2"/>
  <c r="H35" i="2"/>
  <c r="F23" i="2"/>
  <c r="E23" i="2"/>
  <c r="D23" i="2"/>
  <c r="G29" i="2"/>
  <c r="G27" i="2"/>
  <c r="E35" i="2" l="1"/>
  <c r="D35" i="2"/>
  <c r="G34" i="2"/>
  <c r="G28" i="2"/>
  <c r="K27" i="2"/>
  <c r="G31" i="2"/>
  <c r="K31" i="2"/>
  <c r="K28" i="2"/>
  <c r="K34" i="2"/>
  <c r="G23" i="2"/>
  <c r="I35" i="2"/>
  <c r="K29" i="2"/>
  <c r="J35" i="2"/>
  <c r="G30" i="2"/>
  <c r="K30" i="2"/>
  <c r="K23" i="2"/>
  <c r="F35" i="2"/>
  <c r="K35" i="2" l="1"/>
  <c r="G35" i="2"/>
</calcChain>
</file>

<file path=xl/sharedStrings.xml><?xml version="1.0" encoding="utf-8"?>
<sst xmlns="http://schemas.openxmlformats.org/spreadsheetml/2006/main" count="63" uniqueCount="19">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</sst>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&quot;$&quot;#,##0"/>
    <numFmt numFmtId="166" formatCode="m/d/yy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7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35"/>
  <sheetViews>
    <sheetView tabSelected="1" workbookViewId="0">
      <selection activeCell="P9" sqref="P9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45655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45661</v>
      </c>
      <c r="B3" s="5" t="s">
        <v>8</v>
      </c>
      <c r="C3" s="17">
        <v>25</v>
      </c>
      <c r="D3" s="10">
        <v>0</v>
      </c>
      <c r="E3" s="7">
        <v>0</v>
      </c>
      <c r="F3" s="7">
        <v>18.2</v>
      </c>
      <c r="G3" s="7" t="e">
        <f t="shared" ref="G3:G10" si="0">F3/D3</f>
        <v>#DIV/0!</v>
      </c>
      <c r="H3" s="12">
        <v>0</v>
      </c>
      <c r="I3" s="9">
        <v>0</v>
      </c>
      <c r="J3" s="9">
        <v>9.0500000000000007</v>
      </c>
      <c r="K3" s="9" t="e">
        <f t="shared" ref="K3:K10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42</v>
      </c>
      <c r="E4" s="7">
        <v>3207.5</v>
      </c>
      <c r="F4" s="7">
        <v>524.80999999999995</v>
      </c>
      <c r="G4" s="7">
        <f t="shared" si="0"/>
        <v>12.49547619047619</v>
      </c>
      <c r="H4" s="11">
        <v>26</v>
      </c>
      <c r="I4" s="9">
        <v>1848.7</v>
      </c>
      <c r="J4" s="9">
        <v>1388.02</v>
      </c>
      <c r="K4" s="9">
        <f t="shared" si="1"/>
        <v>53.385384615384616</v>
      </c>
    </row>
    <row r="5" spans="1:11" x14ac:dyDescent="0.25">
      <c r="A5" s="23"/>
      <c r="B5" s="5" t="s">
        <v>10</v>
      </c>
      <c r="C5" s="17">
        <v>31</v>
      </c>
      <c r="D5" s="10">
        <v>13</v>
      </c>
      <c r="E5" s="7">
        <v>794.25</v>
      </c>
      <c r="F5" s="7">
        <v>208.35</v>
      </c>
      <c r="G5" s="7">
        <f t="shared" si="0"/>
        <v>16.026923076923076</v>
      </c>
      <c r="H5" s="11">
        <v>4</v>
      </c>
      <c r="I5" s="9">
        <v>234.75</v>
      </c>
      <c r="J5" s="9">
        <v>212.77</v>
      </c>
      <c r="K5" s="9">
        <f t="shared" si="1"/>
        <v>53.192500000000003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10">
        <v>45</v>
      </c>
      <c r="E7" s="7">
        <v>3479.46</v>
      </c>
      <c r="F7" s="7">
        <v>923.45</v>
      </c>
      <c r="G7" s="7">
        <f t="shared" si="0"/>
        <v>20.521111111111111</v>
      </c>
      <c r="H7" s="11">
        <v>4</v>
      </c>
      <c r="I7" s="9">
        <v>411.76</v>
      </c>
      <c r="J7" s="9">
        <v>651.27</v>
      </c>
      <c r="K7" s="9">
        <f t="shared" si="1"/>
        <v>162.8175</v>
      </c>
    </row>
    <row r="8" spans="1:11" x14ac:dyDescent="0.25">
      <c r="A8" s="23"/>
      <c r="B8" s="5" t="s">
        <v>13</v>
      </c>
      <c r="C8" s="17">
        <v>35</v>
      </c>
      <c r="D8" s="10">
        <v>173</v>
      </c>
      <c r="E8" s="7">
        <v>11081</v>
      </c>
      <c r="F8" s="7">
        <v>3122.32</v>
      </c>
      <c r="G8" s="7">
        <f t="shared" si="0"/>
        <v>18.048092485549134</v>
      </c>
      <c r="H8" s="12">
        <v>48</v>
      </c>
      <c r="I8" s="9">
        <v>2851</v>
      </c>
      <c r="J8" s="9">
        <v>1537.58</v>
      </c>
      <c r="K8" s="9">
        <f t="shared" si="1"/>
        <v>32.032916666666665</v>
      </c>
    </row>
    <row r="9" spans="1:11" x14ac:dyDescent="0.25">
      <c r="A9" s="23"/>
      <c r="B9" s="5" t="s">
        <v>17</v>
      </c>
      <c r="C9" s="17">
        <v>35</v>
      </c>
      <c r="D9" s="10">
        <v>12</v>
      </c>
      <c r="E9" s="7">
        <v>483</v>
      </c>
      <c r="F9" s="7">
        <v>45.04</v>
      </c>
      <c r="G9" s="7">
        <f t="shared" si="0"/>
        <v>3.7533333333333334</v>
      </c>
      <c r="H9" s="11">
        <v>11</v>
      </c>
      <c r="I9" s="9">
        <v>423</v>
      </c>
      <c r="J9" s="9">
        <v>301.33</v>
      </c>
      <c r="K9" s="9">
        <f t="shared" si="1"/>
        <v>27.393636363636361</v>
      </c>
    </row>
    <row r="10" spans="1:11" x14ac:dyDescent="0.25">
      <c r="A10" s="23"/>
      <c r="B10" s="5" t="s">
        <v>18</v>
      </c>
      <c r="C10" s="17">
        <v>35</v>
      </c>
      <c r="D10" s="10">
        <v>2</v>
      </c>
      <c r="E10" s="7">
        <v>164.85</v>
      </c>
      <c r="F10" s="7">
        <v>2.4</v>
      </c>
      <c r="G10" s="7">
        <f t="shared" si="0"/>
        <v>1.2</v>
      </c>
      <c r="H10" s="11">
        <v>1</v>
      </c>
      <c r="I10" s="9">
        <v>54.95</v>
      </c>
      <c r="J10" s="9">
        <v>277.44</v>
      </c>
      <c r="K10" s="9">
        <f t="shared" si="1"/>
        <v>277.44</v>
      </c>
    </row>
    <row r="11" spans="1:11" x14ac:dyDescent="0.25">
      <c r="A11" s="23"/>
      <c r="B11" s="5" t="s">
        <v>14</v>
      </c>
      <c r="C11" s="5"/>
      <c r="D11" s="13">
        <f>SUM(D3:D10)</f>
        <v>287</v>
      </c>
      <c r="E11" s="14">
        <f>SUM(E3:E10)</f>
        <v>19210.059999999998</v>
      </c>
      <c r="F11" s="14">
        <f>SUM(F3:F10)</f>
        <v>4844.57</v>
      </c>
      <c r="G11" s="14">
        <f>F11/D11</f>
        <v>16.880034843205575</v>
      </c>
      <c r="H11" s="15">
        <f>SUM(H3:H10)</f>
        <v>94</v>
      </c>
      <c r="I11" s="16">
        <f>SUM(I3:I10)</f>
        <v>5824.16</v>
      </c>
      <c r="J11" s="16">
        <f>SUM(J3:J10)</f>
        <v>4377.4599999999991</v>
      </c>
      <c r="K11" s="16">
        <f t="shared" ref="K11" si="2">J11/H11</f>
        <v>46.568723404255309</v>
      </c>
    </row>
    <row r="12" spans="1:11" x14ac:dyDescent="0.25">
      <c r="A12" s="23"/>
    </row>
    <row r="13" spans="1:11" x14ac:dyDescent="0.25">
      <c r="A13" s="25"/>
      <c r="B13" s="24"/>
      <c r="C13" s="24"/>
      <c r="D13" s="1" t="s">
        <v>0</v>
      </c>
      <c r="E13" s="2"/>
      <c r="F13" s="2"/>
      <c r="G13" s="2"/>
      <c r="H13" s="3" t="s">
        <v>1</v>
      </c>
      <c r="I13" s="4"/>
      <c r="J13" s="4"/>
      <c r="K13" s="4"/>
    </row>
    <row r="14" spans="1:11" x14ac:dyDescent="0.25">
      <c r="A14" s="26">
        <v>45662</v>
      </c>
      <c r="B14" s="5" t="s">
        <v>2</v>
      </c>
      <c r="C14" s="5" t="s">
        <v>15</v>
      </c>
      <c r="D14" s="6" t="s">
        <v>3</v>
      </c>
      <c r="E14" s="7" t="s">
        <v>4</v>
      </c>
      <c r="F14" s="7" t="s">
        <v>5</v>
      </c>
      <c r="G14" s="7" t="s">
        <v>6</v>
      </c>
      <c r="H14" s="8" t="s">
        <v>7</v>
      </c>
      <c r="I14" s="9" t="s">
        <v>4</v>
      </c>
      <c r="J14" s="9" t="s">
        <v>5</v>
      </c>
      <c r="K14" s="9" t="s">
        <v>6</v>
      </c>
    </row>
    <row r="15" spans="1:11" x14ac:dyDescent="0.25">
      <c r="A15" s="26">
        <v>45668</v>
      </c>
      <c r="B15" s="5" t="s">
        <v>8</v>
      </c>
      <c r="C15" s="17">
        <v>25</v>
      </c>
      <c r="D15" s="10">
        <v>0</v>
      </c>
      <c r="E15" s="7">
        <v>0</v>
      </c>
      <c r="F15" s="7">
        <v>14.16</v>
      </c>
      <c r="G15" s="7" t="e">
        <f t="shared" ref="G15:G18" si="3">F15/D15</f>
        <v>#DIV/0!</v>
      </c>
      <c r="H15" s="12">
        <v>0</v>
      </c>
      <c r="I15" s="9">
        <v>0</v>
      </c>
      <c r="J15" s="9">
        <v>5.04</v>
      </c>
      <c r="K15" s="9" t="e">
        <f t="shared" ref="K15:K22" si="4">J15/H15</f>
        <v>#DIV/0!</v>
      </c>
    </row>
    <row r="16" spans="1:11" x14ac:dyDescent="0.25">
      <c r="A16" s="23"/>
      <c r="B16" s="5" t="s">
        <v>9</v>
      </c>
      <c r="C16" s="17">
        <v>50</v>
      </c>
      <c r="D16" s="10">
        <v>43</v>
      </c>
      <c r="E16" s="7">
        <v>3254.45</v>
      </c>
      <c r="F16" s="7">
        <v>522.84</v>
      </c>
      <c r="G16" s="7">
        <f t="shared" si="3"/>
        <v>12.159069767441862</v>
      </c>
      <c r="H16" s="11">
        <v>19</v>
      </c>
      <c r="I16" s="9">
        <v>1369</v>
      </c>
      <c r="J16" s="9">
        <v>1405.92</v>
      </c>
      <c r="K16" s="9">
        <f t="shared" si="4"/>
        <v>73.995789473684212</v>
      </c>
    </row>
    <row r="17" spans="1:11" x14ac:dyDescent="0.25">
      <c r="A17" s="23"/>
      <c r="B17" s="5" t="s">
        <v>10</v>
      </c>
      <c r="C17" s="17">
        <v>31</v>
      </c>
      <c r="D17" s="10">
        <v>6</v>
      </c>
      <c r="E17" s="7">
        <v>304.64999999999998</v>
      </c>
      <c r="F17" s="7">
        <v>116.85</v>
      </c>
      <c r="G17" s="7">
        <f t="shared" si="3"/>
        <v>19.474999999999998</v>
      </c>
      <c r="H17" s="11">
        <v>3</v>
      </c>
      <c r="I17" s="9">
        <v>194.85</v>
      </c>
      <c r="J17" s="9">
        <v>140.35</v>
      </c>
      <c r="K17" s="9">
        <f t="shared" si="4"/>
        <v>46.783333333333331</v>
      </c>
    </row>
    <row r="18" spans="1:11" x14ac:dyDescent="0.25">
      <c r="A18" s="23"/>
      <c r="B18" s="5" t="s">
        <v>11</v>
      </c>
      <c r="C18" s="17">
        <v>15</v>
      </c>
      <c r="D18" s="10">
        <v>0</v>
      </c>
      <c r="E18" s="7">
        <v>0</v>
      </c>
      <c r="F18" s="7">
        <v>0</v>
      </c>
      <c r="G18" s="7" t="e">
        <f t="shared" si="3"/>
        <v>#DIV/0!</v>
      </c>
      <c r="H18" s="11">
        <v>0</v>
      </c>
      <c r="I18" s="9">
        <v>0</v>
      </c>
      <c r="J18" s="9">
        <v>0</v>
      </c>
      <c r="K18" s="9" t="e">
        <f t="shared" si="4"/>
        <v>#DIV/0!</v>
      </c>
    </row>
    <row r="19" spans="1:11" x14ac:dyDescent="0.25">
      <c r="A19" s="23"/>
      <c r="B19" s="5" t="s">
        <v>12</v>
      </c>
      <c r="C19" s="17">
        <v>42</v>
      </c>
      <c r="D19" s="10">
        <v>56</v>
      </c>
      <c r="E19" s="7">
        <v>4582.53</v>
      </c>
      <c r="F19" s="7">
        <v>952.53</v>
      </c>
      <c r="G19" s="7">
        <f t="shared" ref="G19:G22" si="5">F19/D19</f>
        <v>17.009464285714284</v>
      </c>
      <c r="H19" s="11">
        <v>11</v>
      </c>
      <c r="I19" s="9">
        <v>1143.17</v>
      </c>
      <c r="J19" s="9">
        <v>961.24</v>
      </c>
      <c r="K19" s="9">
        <f t="shared" si="4"/>
        <v>87.38545454545455</v>
      </c>
    </row>
    <row r="20" spans="1:11" x14ac:dyDescent="0.25">
      <c r="A20" s="23"/>
      <c r="B20" s="5" t="s">
        <v>13</v>
      </c>
      <c r="C20" s="17">
        <v>35</v>
      </c>
      <c r="D20" s="10">
        <v>170</v>
      </c>
      <c r="E20" s="7">
        <v>10743.95</v>
      </c>
      <c r="F20" s="7">
        <v>2756.59</v>
      </c>
      <c r="G20" s="7">
        <f t="shared" si="5"/>
        <v>16.215235294117647</v>
      </c>
      <c r="H20" s="12">
        <v>22</v>
      </c>
      <c r="I20" s="9">
        <v>1514</v>
      </c>
      <c r="J20" s="9">
        <v>1354.83</v>
      </c>
      <c r="K20" s="9">
        <f t="shared" si="4"/>
        <v>61.583181818181814</v>
      </c>
    </row>
    <row r="21" spans="1:11" x14ac:dyDescent="0.25">
      <c r="A21" s="23"/>
      <c r="B21" s="5" t="s">
        <v>17</v>
      </c>
      <c r="C21" s="17">
        <v>35</v>
      </c>
      <c r="D21" s="10">
        <v>5</v>
      </c>
      <c r="E21" s="7">
        <v>186</v>
      </c>
      <c r="F21" s="7">
        <v>57.68</v>
      </c>
      <c r="G21" s="7">
        <f t="shared" ref="G21" si="6">F21/D21</f>
        <v>11.536</v>
      </c>
      <c r="H21" s="11">
        <v>11</v>
      </c>
      <c r="I21" s="9">
        <v>417</v>
      </c>
      <c r="J21" s="9">
        <v>295.07</v>
      </c>
      <c r="K21" s="9">
        <f t="shared" ref="K21" si="7">J21/H21</f>
        <v>26.824545454545454</v>
      </c>
    </row>
    <row r="22" spans="1:11" x14ac:dyDescent="0.25">
      <c r="A22" s="23"/>
      <c r="B22" s="5" t="s">
        <v>18</v>
      </c>
      <c r="C22" s="17">
        <v>35</v>
      </c>
      <c r="D22" s="10">
        <v>2</v>
      </c>
      <c r="E22" s="7">
        <v>109.9</v>
      </c>
      <c r="F22" s="7">
        <v>5.78</v>
      </c>
      <c r="G22" s="7">
        <f t="shared" si="5"/>
        <v>2.89</v>
      </c>
      <c r="H22" s="11">
        <v>1</v>
      </c>
      <c r="I22" s="9">
        <v>54.95</v>
      </c>
      <c r="J22" s="9">
        <v>207.28</v>
      </c>
      <c r="K22" s="9">
        <f t="shared" si="4"/>
        <v>207.28</v>
      </c>
    </row>
    <row r="23" spans="1:11" x14ac:dyDescent="0.25">
      <c r="A23" s="23"/>
      <c r="B23" s="5" t="s">
        <v>14</v>
      </c>
      <c r="C23" s="5"/>
      <c r="D23" s="13">
        <f>SUM(D15:D22)</f>
        <v>282</v>
      </c>
      <c r="E23" s="14">
        <f>SUM(E15:E22)</f>
        <v>19181.480000000003</v>
      </c>
      <c r="F23" s="14">
        <f>SUM(F15:F22)</f>
        <v>4426.43</v>
      </c>
      <c r="G23" s="14">
        <f>F23/D23</f>
        <v>15.696560283687944</v>
      </c>
      <c r="H23" s="15">
        <f>SUM(H15:H22)</f>
        <v>67</v>
      </c>
      <c r="I23" s="16">
        <f>SUM(I15:I22)</f>
        <v>4692.97</v>
      </c>
      <c r="J23" s="16">
        <f>SUM(J15:J22)</f>
        <v>4369.7299999999996</v>
      </c>
      <c r="K23" s="16">
        <f t="shared" ref="K23" si="8">J23/H23</f>
        <v>65.219850746268648</v>
      </c>
    </row>
    <row r="24" spans="1:11" x14ac:dyDescent="0.25">
      <c r="A24" s="23"/>
      <c r="B24" s="18"/>
      <c r="C24" s="18"/>
      <c r="D24" s="19"/>
      <c r="E24" s="20"/>
      <c r="F24" s="20"/>
      <c r="G24" s="20"/>
      <c r="H24" s="19"/>
      <c r="I24" s="20"/>
      <c r="J24" s="20"/>
      <c r="K24" s="20"/>
    </row>
    <row r="25" spans="1:11" x14ac:dyDescent="0.25">
      <c r="A25" s="23"/>
      <c r="B25" s="18"/>
      <c r="D25" s="1" t="s">
        <v>0</v>
      </c>
      <c r="E25" s="2"/>
      <c r="F25" s="2"/>
      <c r="G25" s="2"/>
      <c r="H25" s="3" t="s">
        <v>1</v>
      </c>
      <c r="I25" s="4"/>
      <c r="J25" s="4"/>
      <c r="K25" s="4"/>
    </row>
    <row r="26" spans="1:11" x14ac:dyDescent="0.25">
      <c r="A26" s="23"/>
      <c r="C26" s="5" t="s">
        <v>15</v>
      </c>
      <c r="D26" s="6" t="s">
        <v>3</v>
      </c>
      <c r="E26" s="7" t="s">
        <v>4</v>
      </c>
      <c r="F26" s="7" t="s">
        <v>5</v>
      </c>
      <c r="G26" s="7" t="s">
        <v>6</v>
      </c>
      <c r="H26" s="8" t="s">
        <v>7</v>
      </c>
      <c r="I26" s="9" t="s">
        <v>4</v>
      </c>
      <c r="J26" s="9" t="s">
        <v>5</v>
      </c>
      <c r="K26" s="9" t="s">
        <v>6</v>
      </c>
    </row>
    <row r="27" spans="1:11" x14ac:dyDescent="0.25">
      <c r="A27" s="23" t="s">
        <v>16</v>
      </c>
      <c r="B27" s="5" t="s">
        <v>8</v>
      </c>
      <c r="C27" s="17">
        <v>25</v>
      </c>
      <c r="D27" s="21" t="e">
        <f t="shared" ref="D27:K35" si="9">(D15-D3)/D15</f>
        <v>#DIV/0!</v>
      </c>
      <c r="E27" s="21" t="e">
        <f t="shared" si="9"/>
        <v>#DIV/0!</v>
      </c>
      <c r="F27" s="21">
        <f t="shared" si="9"/>
        <v>-0.28531073446327676</v>
      </c>
      <c r="G27" s="21" t="e">
        <f t="shared" si="9"/>
        <v>#DIV/0!</v>
      </c>
      <c r="H27" s="21" t="e">
        <f t="shared" si="9"/>
        <v>#DIV/0!</v>
      </c>
      <c r="I27" s="21" t="e">
        <f t="shared" si="9"/>
        <v>#DIV/0!</v>
      </c>
      <c r="J27" s="21">
        <f t="shared" si="9"/>
        <v>-0.79563492063492081</v>
      </c>
      <c r="K27" s="21" t="e">
        <f t="shared" si="9"/>
        <v>#DIV/0!</v>
      </c>
    </row>
    <row r="28" spans="1:11" x14ac:dyDescent="0.25">
      <c r="A28" s="23"/>
      <c r="B28" s="5" t="s">
        <v>9</v>
      </c>
      <c r="C28" s="17">
        <v>50</v>
      </c>
      <c r="D28" s="21">
        <f t="shared" si="9"/>
        <v>2.3255813953488372E-2</v>
      </c>
      <c r="E28" s="21">
        <f t="shared" si="9"/>
        <v>1.4426400774324331E-2</v>
      </c>
      <c r="F28" s="21">
        <f t="shared" si="9"/>
        <v>-3.7678830999921839E-3</v>
      </c>
      <c r="G28" s="21">
        <f t="shared" si="9"/>
        <v>-2.7667118411896743E-2</v>
      </c>
      <c r="H28" s="21">
        <f t="shared" si="9"/>
        <v>-0.36842105263157893</v>
      </c>
      <c r="I28" s="21">
        <f t="shared" si="9"/>
        <v>-0.35040175310445582</v>
      </c>
      <c r="J28" s="21">
        <f t="shared" si="9"/>
        <v>1.2731876635939519E-2</v>
      </c>
      <c r="K28" s="21">
        <f t="shared" si="9"/>
        <v>0.27853483292626346</v>
      </c>
    </row>
    <row r="29" spans="1:11" x14ac:dyDescent="0.25">
      <c r="A29" s="23"/>
      <c r="B29" s="5" t="s">
        <v>10</v>
      </c>
      <c r="C29" s="17">
        <v>31</v>
      </c>
      <c r="D29" s="21">
        <f t="shared" si="9"/>
        <v>-1.1666666666666667</v>
      </c>
      <c r="E29" s="21">
        <f t="shared" si="9"/>
        <v>-1.6070901033973415</v>
      </c>
      <c r="F29" s="21">
        <f t="shared" si="9"/>
        <v>-0.78305519897304243</v>
      </c>
      <c r="G29" s="21">
        <f t="shared" si="9"/>
        <v>0.17705144662782657</v>
      </c>
      <c r="H29" s="21">
        <f t="shared" si="9"/>
        <v>-0.33333333333333331</v>
      </c>
      <c r="I29" s="21">
        <f t="shared" si="9"/>
        <v>-0.20477290223248656</v>
      </c>
      <c r="J29" s="21">
        <f t="shared" si="9"/>
        <v>-0.51599572497328117</v>
      </c>
      <c r="K29" s="21">
        <f t="shared" si="9"/>
        <v>-0.1369967937299609</v>
      </c>
    </row>
    <row r="30" spans="1:11" x14ac:dyDescent="0.25">
      <c r="A30" s="23"/>
      <c r="B30" s="5" t="s">
        <v>11</v>
      </c>
      <c r="C30" s="17">
        <v>15</v>
      </c>
      <c r="D30" s="21" t="e">
        <f t="shared" si="9"/>
        <v>#DIV/0!</v>
      </c>
      <c r="E30" s="21" t="e">
        <f t="shared" si="9"/>
        <v>#DIV/0!</v>
      </c>
      <c r="F30" s="21" t="e">
        <f t="shared" si="9"/>
        <v>#DIV/0!</v>
      </c>
      <c r="G30" s="21" t="e">
        <f t="shared" si="9"/>
        <v>#DIV/0!</v>
      </c>
      <c r="H30" s="21" t="e">
        <f t="shared" si="9"/>
        <v>#DIV/0!</v>
      </c>
      <c r="I30" s="21" t="e">
        <f t="shared" si="9"/>
        <v>#DIV/0!</v>
      </c>
      <c r="J30" s="21" t="e">
        <f t="shared" si="9"/>
        <v>#DIV/0!</v>
      </c>
      <c r="K30" s="21" t="e">
        <f t="shared" si="9"/>
        <v>#DIV/0!</v>
      </c>
    </row>
    <row r="31" spans="1:11" x14ac:dyDescent="0.25">
      <c r="A31" s="23"/>
      <c r="B31" s="5" t="s">
        <v>12</v>
      </c>
      <c r="C31" s="17">
        <v>42</v>
      </c>
      <c r="D31" s="21">
        <f t="shared" si="9"/>
        <v>0.19642857142857142</v>
      </c>
      <c r="E31" s="21">
        <f t="shared" si="9"/>
        <v>0.24071200843202331</v>
      </c>
      <c r="F31" s="21">
        <f t="shared" si="9"/>
        <v>3.0529222176729265E-2</v>
      </c>
      <c r="G31" s="21">
        <f t="shared" si="9"/>
        <v>-0.20645252351340362</v>
      </c>
      <c r="H31" s="21">
        <f t="shared" si="9"/>
        <v>0.63636363636363635</v>
      </c>
      <c r="I31" s="21">
        <f t="shared" si="9"/>
        <v>0.63980860239509441</v>
      </c>
      <c r="J31" s="21">
        <f t="shared" si="9"/>
        <v>0.32246889434480464</v>
      </c>
      <c r="K31" s="21">
        <f t="shared" si="9"/>
        <v>-0.86321054055178714</v>
      </c>
    </row>
    <row r="32" spans="1:11" x14ac:dyDescent="0.25">
      <c r="A32" s="23"/>
      <c r="B32" s="5" t="s">
        <v>13</v>
      </c>
      <c r="C32" s="17">
        <v>35</v>
      </c>
      <c r="D32" s="21">
        <f t="shared" si="9"/>
        <v>-1.7647058823529412E-2</v>
      </c>
      <c r="E32" s="21">
        <f t="shared" si="9"/>
        <v>-3.1371143759976475E-2</v>
      </c>
      <c r="F32" s="21">
        <f t="shared" si="9"/>
        <v>-0.13267479022995804</v>
      </c>
      <c r="G32" s="21">
        <f t="shared" si="9"/>
        <v>-0.11303303086180849</v>
      </c>
      <c r="H32" s="21">
        <f t="shared" si="9"/>
        <v>-1.1818181818181819</v>
      </c>
      <c r="I32" s="21">
        <f t="shared" si="9"/>
        <v>-0.88309114927344778</v>
      </c>
      <c r="J32" s="21">
        <f t="shared" si="9"/>
        <v>-0.13488777189758125</v>
      </c>
      <c r="K32" s="21">
        <f t="shared" si="9"/>
        <v>0.4798431045469419</v>
      </c>
    </row>
    <row r="33" spans="1:11" x14ac:dyDescent="0.25">
      <c r="A33" s="23"/>
      <c r="B33" s="5" t="s">
        <v>17</v>
      </c>
      <c r="C33" s="17">
        <v>35</v>
      </c>
      <c r="D33" s="21">
        <f t="shared" si="9"/>
        <v>-1.4</v>
      </c>
      <c r="E33" s="21">
        <f t="shared" si="9"/>
        <v>-1.596774193548387</v>
      </c>
      <c r="F33" s="21">
        <f t="shared" si="9"/>
        <v>0.21914008321775313</v>
      </c>
      <c r="G33" s="21">
        <f t="shared" si="9"/>
        <v>0.67464170134073043</v>
      </c>
      <c r="H33" s="21">
        <f t="shared" si="9"/>
        <v>0</v>
      </c>
      <c r="I33" s="21">
        <f t="shared" si="9"/>
        <v>-1.4388489208633094E-2</v>
      </c>
      <c r="J33" s="21">
        <f t="shared" si="9"/>
        <v>-2.12153048429186E-2</v>
      </c>
      <c r="K33" s="21">
        <f t="shared" si="9"/>
        <v>-2.1215304842918538E-2</v>
      </c>
    </row>
    <row r="34" spans="1:11" x14ac:dyDescent="0.25">
      <c r="A34" s="23"/>
      <c r="B34" s="5" t="s">
        <v>18</v>
      </c>
      <c r="C34" s="17">
        <v>35</v>
      </c>
      <c r="D34" s="21">
        <f t="shared" si="9"/>
        <v>0</v>
      </c>
      <c r="E34" s="21">
        <f t="shared" si="9"/>
        <v>-0.49999999999999989</v>
      </c>
      <c r="F34" s="21">
        <f t="shared" si="9"/>
        <v>0.58477508650519039</v>
      </c>
      <c r="G34" s="21">
        <f t="shared" si="9"/>
        <v>0.58477508650519039</v>
      </c>
      <c r="H34" s="21">
        <f t="shared" si="9"/>
        <v>0</v>
      </c>
      <c r="I34" s="21">
        <f t="shared" si="9"/>
        <v>0</v>
      </c>
      <c r="J34" s="21">
        <f t="shared" si="9"/>
        <v>-0.33847935160169818</v>
      </c>
      <c r="K34" s="21">
        <f t="shared" si="9"/>
        <v>-0.33847935160169818</v>
      </c>
    </row>
    <row r="35" spans="1:11" x14ac:dyDescent="0.25">
      <c r="A35" s="23"/>
      <c r="B35" s="5" t="s">
        <v>14</v>
      </c>
      <c r="C35" s="5"/>
      <c r="D35" s="22">
        <f t="shared" si="9"/>
        <v>-1.7730496453900711E-2</v>
      </c>
      <c r="E35" s="22">
        <f t="shared" si="9"/>
        <v>-1.4899788754566626E-3</v>
      </c>
      <c r="F35" s="22">
        <f t="shared" si="9"/>
        <v>-9.4464387779768205E-2</v>
      </c>
      <c r="G35" s="22">
        <f t="shared" si="9"/>
        <v>-7.5397063950852466E-2</v>
      </c>
      <c r="H35" s="22">
        <f t="shared" si="9"/>
        <v>-0.40298507462686567</v>
      </c>
      <c r="I35" s="22">
        <f t="shared" si="9"/>
        <v>-0.24103925659017628</v>
      </c>
      <c r="J35" s="22">
        <f t="shared" si="9"/>
        <v>-1.7689880152777322E-3</v>
      </c>
      <c r="K35" s="22">
        <f t="shared" si="9"/>
        <v>0.28597316811677009</v>
      </c>
    </row>
  </sheetData>
  <conditionalFormatting sqref="D27:K35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27:G35 J27:K35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customXml/itemProps2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2025-01-13T13:30:36Z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