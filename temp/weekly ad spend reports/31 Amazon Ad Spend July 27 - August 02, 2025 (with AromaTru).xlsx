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F8C630E-E0B5-4FC4-B2A3-E37302BA3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<sst xmlns="http://schemas.openxmlformats.org/spreadsheetml/2006/main" count="66" uniqueCount="20">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</sst>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K13" sqref="K13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45858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45864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40</v>
      </c>
      <c r="E4" s="7">
        <v>2697.8</v>
      </c>
      <c r="F4" s="7">
        <v>395.4</v>
      </c>
      <c r="G4" s="7">
        <f t="shared" si="0"/>
        <v>9.8849999999999998</v>
      </c>
      <c r="H4" s="11">
        <v>8</v>
      </c>
      <c r="I4" s="9">
        <v>509.59999999999997</v>
      </c>
      <c r="J4" s="9">
        <v>517.30999999999995</v>
      </c>
      <c r="K4" s="9">
        <f t="shared" si="1"/>
        <v>64.663749999999993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5</v>
      </c>
      <c r="I5" s="9">
        <v>244.65</v>
      </c>
      <c r="J5" s="9">
        <v>44.14</v>
      </c>
      <c r="K5" s="9">
        <f t="shared" si="1"/>
        <v>8.8279999999999994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37</v>
      </c>
      <c r="E7" s="27">
        <v>3037.5</v>
      </c>
      <c r="F7" s="27">
        <v>589.14</v>
      </c>
      <c r="G7" s="7">
        <f t="shared" si="0"/>
        <v>15.922702702702702</v>
      </c>
      <c r="H7" s="11">
        <v>11</v>
      </c>
      <c r="I7" s="9">
        <v>689.45</v>
      </c>
      <c r="J7" s="9">
        <v>812.48</v>
      </c>
      <c r="K7" s="9">
        <f t="shared" si="1"/>
        <v>73.86181818181818</v>
      </c>
    </row>
    <row r="8" spans="1:11" x14ac:dyDescent="0.25">
      <c r="A8" s="23"/>
      <c r="B8" s="5" t="s">
        <v>13</v>
      </c>
      <c r="C8" s="17">
        <v>35</v>
      </c>
      <c r="D8" s="10">
        <v>123</v>
      </c>
      <c r="E8" s="7">
        <v>8654.75</v>
      </c>
      <c r="F8" s="7">
        <v>2444.36</v>
      </c>
      <c r="G8" s="7">
        <f t="shared" si="0"/>
        <v>19.872845528455287</v>
      </c>
      <c r="H8" s="12">
        <v>26</v>
      </c>
      <c r="I8" s="9">
        <v>1997.9</v>
      </c>
      <c r="J8" s="9">
        <v>1371.65</v>
      </c>
      <c r="K8" s="9">
        <f t="shared" si="1"/>
        <v>52.755769230769232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17.170000000000002</v>
      </c>
      <c r="G10" s="7">
        <f t="shared" si="0"/>
        <v>17.170000000000002</v>
      </c>
      <c r="H10" s="11">
        <v>0</v>
      </c>
      <c r="I10" s="9">
        <v>0</v>
      </c>
      <c r="J10" s="9">
        <v>82.62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8</v>
      </c>
      <c r="E11" s="7">
        <v>904.45</v>
      </c>
      <c r="F11" s="7">
        <v>36.6</v>
      </c>
      <c r="G11" s="7">
        <f t="shared" si="0"/>
        <v>4.5750000000000002</v>
      </c>
      <c r="H11" s="11">
        <v>0</v>
      </c>
      <c r="I11" s="9">
        <v>0</v>
      </c>
      <c r="J11" s="9">
        <v>110.76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209</v>
      </c>
      <c r="E12" s="14">
        <f>SUM(E3:E11)</f>
        <v>15349.45</v>
      </c>
      <c r="F12" s="14">
        <f>SUM(F3:F11)</f>
        <v>3482.67</v>
      </c>
      <c r="G12" s="14">
        <f>F12/D12</f>
        <v>16.663492822966507</v>
      </c>
      <c r="H12" s="15">
        <f>SUM(H3:H11)</f>
        <v>50</v>
      </c>
      <c r="I12" s="16">
        <f>SUM(I3:I11)</f>
        <v>3441.6000000000004</v>
      </c>
      <c r="J12" s="16">
        <f>SUM(J3:J11)</f>
        <v>2938.96</v>
      </c>
      <c r="K12" s="16">
        <f t="shared" ref="K12" si="2">J12/H12</f>
        <v>58.779200000000003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45865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45871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27</v>
      </c>
      <c r="E17" s="7">
        <v>1878.45</v>
      </c>
      <c r="F17" s="7">
        <v>393.6</v>
      </c>
      <c r="G17" s="7">
        <f t="shared" si="3"/>
        <v>14.577777777777779</v>
      </c>
      <c r="H17" s="11">
        <v>4</v>
      </c>
      <c r="I17" s="9">
        <v>339.75</v>
      </c>
      <c r="J17" s="9">
        <v>412.72</v>
      </c>
      <c r="K17" s="9">
        <f t="shared" si="4"/>
        <v>103.18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36</v>
      </c>
      <c r="E20" s="27">
        <v>2607.85</v>
      </c>
      <c r="F20" s="27">
        <v>619.37</v>
      </c>
      <c r="G20" s="7">
        <f t="shared" si="3"/>
        <v>17.204722222222223</v>
      </c>
      <c r="H20" s="11">
        <v>7</v>
      </c>
      <c r="I20" s="9">
        <v>429.65</v>
      </c>
      <c r="J20" s="9">
        <v>827.1</v>
      </c>
      <c r="K20" s="9">
        <f t="shared" si="4"/>
        <v>118.15714285714286</v>
      </c>
    </row>
    <row r="21" spans="1:11" x14ac:dyDescent="0.25">
      <c r="A21" s="23"/>
      <c r="B21" s="5" t="s">
        <v>13</v>
      </c>
      <c r="C21" s="17">
        <v>35</v>
      </c>
      <c r="D21" s="10">
        <v>109</v>
      </c>
      <c r="E21" s="7">
        <v>7811.4</v>
      </c>
      <c r="F21" s="7">
        <v>2615.0499999999997</v>
      </c>
      <c r="G21" s="7">
        <f t="shared" si="3"/>
        <v>23.991284403669724</v>
      </c>
      <c r="H21" s="12">
        <v>18</v>
      </c>
      <c r="I21" s="9">
        <v>1319.9</v>
      </c>
      <c r="J21" s="9">
        <v>1194.01</v>
      </c>
      <c r="K21" s="9">
        <f t="shared" si="4"/>
        <v>66.333888888888893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1</v>
      </c>
      <c r="E23" s="7">
        <v>54.95</v>
      </c>
      <c r="F23" s="7">
        <v>13.61</v>
      </c>
      <c r="G23" s="7">
        <f t="shared" ref="G23" si="6">F23/D23</f>
        <v>13.61</v>
      </c>
      <c r="H23" s="11">
        <v>0</v>
      </c>
      <c r="I23" s="9">
        <v>0</v>
      </c>
      <c r="J23" s="9">
        <v>82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2</v>
      </c>
      <c r="E24" s="7">
        <v>65</v>
      </c>
      <c r="F24" s="7">
        <v>25.68</v>
      </c>
      <c r="G24" s="7">
        <f t="shared" si="3"/>
        <v>12.84</v>
      </c>
      <c r="H24" s="11">
        <v>1</v>
      </c>
      <c r="I24" s="9">
        <v>192</v>
      </c>
      <c r="J24" s="9">
        <v>41.04</v>
      </c>
      <c r="K24" s="9">
        <f t="shared" si="4"/>
        <v>41.04</v>
      </c>
    </row>
    <row r="25" spans="1:11" x14ac:dyDescent="0.25">
      <c r="A25" s="23"/>
      <c r="B25" s="5" t="s">
        <v>14</v>
      </c>
      <c r="C25" s="5"/>
      <c r="D25" s="13">
        <f>SUM(D16:D24)</f>
        <v>175</v>
      </c>
      <c r="E25" s="14">
        <f>SUM(E16:E24)</f>
        <v>12417.650000000001</v>
      </c>
      <c r="F25" s="14">
        <f>SUM(F16:F24)</f>
        <v>3667.3099999999995</v>
      </c>
      <c r="G25" s="14">
        <f>F25/D25</f>
        <v>20.956057142857141</v>
      </c>
      <c r="H25" s="15">
        <f>SUM(H16:H24)</f>
        <v>30</v>
      </c>
      <c r="I25" s="16">
        <f>SUM(I16:I24)</f>
        <v>2281.3000000000002</v>
      </c>
      <c r="J25" s="16">
        <f>SUM(J16:J24)</f>
        <v>2556.87</v>
      </c>
      <c r="K25" s="16">
        <f t="shared" ref="K25" si="7">J25/H25</f>
        <v>85.228999999999999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-0.48148148148148145</v>
      </c>
      <c r="E30" s="21">
        <f t="shared" si="8"/>
        <v>-0.4361840879448482</v>
      </c>
      <c r="F30" s="21">
        <f t="shared" si="8"/>
        <v>-4.5731707317072014E-3</v>
      </c>
      <c r="G30" s="21">
        <f t="shared" si="8"/>
        <v>0.32191310975609766</v>
      </c>
      <c r="H30" s="21">
        <f t="shared" si="8"/>
        <v>-1</v>
      </c>
      <c r="I30" s="21">
        <f t="shared" si="8"/>
        <v>-0.49992641648270775</v>
      </c>
      <c r="J30" s="21">
        <f>(J17-J4)/J17</f>
        <v>-0.25341635975964311</v>
      </c>
      <c r="K30" s="21">
        <f t="shared" si="8"/>
        <v>0.37329182012017842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-2.7777777777777776E-2</v>
      </c>
      <c r="E33" s="21">
        <f t="shared" si="8"/>
        <v>-0.16475257395939188</v>
      </c>
      <c r="F33" s="21">
        <f t="shared" si="8"/>
        <v>4.8807659395837734E-2</v>
      </c>
      <c r="G33" s="21">
        <f t="shared" si="8"/>
        <v>7.4515560493247562E-2</v>
      </c>
      <c r="H33" s="21">
        <f t="shared" si="8"/>
        <v>-0.5714285714285714</v>
      </c>
      <c r="I33" s="21">
        <f t="shared" si="8"/>
        <v>-0.60467822646340064</v>
      </c>
      <c r="J33" s="21">
        <f t="shared" si="8"/>
        <v>1.7676218111473831E-2</v>
      </c>
      <c r="K33" s="21">
        <f t="shared" si="8"/>
        <v>0.37488486607093791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-0.12844036697247707</v>
      </c>
      <c r="E34" s="21">
        <f t="shared" si="8"/>
        <v>-0.1079640013313875</v>
      </c>
      <c r="F34" s="21">
        <f t="shared" si="8"/>
        <v>6.5272174528211546E-2</v>
      </c>
      <c r="G34" s="21">
        <f t="shared" si="8"/>
        <v>0.17166395954126065</v>
      </c>
      <c r="H34" s="21">
        <f t="shared" si="8"/>
        <v>-0.44444444444444442</v>
      </c>
      <c r="I34" s="21">
        <f t="shared" si="8"/>
        <v>-0.51367527843018412</v>
      </c>
      <c r="J34" s="21">
        <f t="shared" si="8"/>
        <v>-0.14877597340055787</v>
      </c>
      <c r="K34" s="21">
        <f t="shared" si="8"/>
        <v>0.20469355687653695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8" si="9">(D23-D10)/D23</f>
        <v>0</v>
      </c>
      <c r="E36" s="21">
        <f t="shared" si="9"/>
        <v>0</v>
      </c>
      <c r="F36" s="21">
        <f t="shared" si="9"/>
        <v>-0.26157237325495974</v>
      </c>
      <c r="G36" s="21">
        <f t="shared" si="9"/>
        <v>-0.26157237325495974</v>
      </c>
      <c r="H36" s="21" t="e">
        <f t="shared" si="9"/>
        <v>#DIV/0!</v>
      </c>
      <c r="I36" s="21" t="e">
        <f t="shared" si="9"/>
        <v>#DIV/0!</v>
      </c>
      <c r="J36" s="21">
        <f t="shared" si="9"/>
        <v>-7.5609756097561528E-3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-3</v>
      </c>
      <c r="E37" s="21">
        <f t="shared" si="9"/>
        <v>-12.914615384615386</v>
      </c>
      <c r="F37" s="21">
        <f t="shared" si="9"/>
        <v>-0.42523364485981313</v>
      </c>
      <c r="G37" s="21">
        <f t="shared" si="9"/>
        <v>0.64369158878504673</v>
      </c>
      <c r="H37" s="21">
        <f t="shared" si="9"/>
        <v>1</v>
      </c>
      <c r="I37" s="21">
        <f t="shared" si="9"/>
        <v>1</v>
      </c>
      <c r="J37" s="21">
        <f t="shared" si="9"/>
        <v>-1.6988304093567252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-0.19428571428571428</v>
      </c>
      <c r="E38" s="22">
        <f t="shared" si="9"/>
        <v>-0.23609942299871545</v>
      </c>
      <c r="F38" s="22">
        <f t="shared" si="9"/>
        <v>5.0347529933384261E-2</v>
      </c>
      <c r="G38" s="22">
        <f t="shared" si="9"/>
        <v>0.20483644850881463</v>
      </c>
      <c r="H38" s="22">
        <f t="shared" si="9"/>
        <v>-0.66666666666666663</v>
      </c>
      <c r="I38" s="22">
        <f t="shared" si="9"/>
        <v>-0.50861350984088027</v>
      </c>
      <c r="J38" s="22">
        <f t="shared" si="9"/>
        <v>-0.14943661586236304</v>
      </c>
      <c r="K38" s="22">
        <f t="shared" si="9"/>
        <v>0.31033803048258218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2025-08-04T13:25:04Z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