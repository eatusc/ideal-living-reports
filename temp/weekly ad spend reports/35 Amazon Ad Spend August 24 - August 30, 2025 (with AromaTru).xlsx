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6322210-9AF8-4E19-AEC4-A254A8727388}" xr6:coauthVersionLast="47" xr6:coauthVersionMax="47" xr10:uidLastSave="{00000000-0000-0000-0000-000000000000}"/>
  <bookViews>
    <workbookView xWindow="3810" yWindow="2265" windowWidth="2289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30" i="2"/>
  <c r="D29" i="2"/>
  <c r="J30" i="2" l="1"/>
  <c r="J36" i="2"/>
  <c r="I36" i="2"/>
  <c r="H36" i="2"/>
  <c r="F36" i="2"/>
  <c r="E36" i="2"/>
  <c r="D36" i="2"/>
  <c r="K23" i="2" l="1"/>
  <c r="K36" i="2" s="1"/>
  <c r="G23" i="2"/>
  <c r="G36" i="2" s="1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7" i="2" l="1"/>
  <c r="I37" i="2"/>
  <c r="H37" i="2"/>
  <c r="F37" i="2"/>
  <c r="E37" i="2"/>
  <c r="D37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I30" i="2"/>
  <c r="H30" i="2"/>
  <c r="F30" i="2"/>
  <c r="E30" i="2"/>
  <c r="J29" i="2"/>
  <c r="I29" i="2"/>
  <c r="H29" i="2"/>
  <c r="F29" i="2"/>
  <c r="E29" i="2"/>
  <c r="J25" i="2"/>
  <c r="I25" i="2"/>
  <c r="H38" i="2"/>
  <c r="F25" i="2"/>
  <c r="E25" i="2"/>
  <c r="D25" i="2"/>
  <c r="G31" i="2"/>
  <c r="G29" i="2"/>
  <c r="E38" i="2" l="1"/>
  <c r="D38" i="2"/>
  <c r="G37" i="2"/>
  <c r="G30" i="2"/>
  <c r="K29" i="2"/>
  <c r="G33" i="2"/>
  <c r="K33" i="2"/>
  <c r="K30" i="2"/>
  <c r="K37" i="2"/>
  <c r="G25" i="2"/>
  <c r="I38" i="2"/>
  <c r="K31" i="2"/>
  <c r="J38" i="2"/>
  <c r="G32" i="2"/>
  <c r="K32" i="2"/>
  <c r="K25" i="2"/>
  <c r="F38" i="2"/>
  <c r="K38" i="2" l="1"/>
  <c r="G38" i="2"/>
</calcChain>
</file>

<file path=xl/sharedStrings.xml><?xml version="1.0" encoding="utf-8"?>
<sst xmlns="http://schemas.openxmlformats.org/spreadsheetml/2006/main" count="66" uniqueCount="20">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</sst>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8"/>
  <sheetViews>
    <sheetView tabSelected="1" topLeftCell="A7" workbookViewId="0">
      <selection activeCell="F21" sqref="F21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45886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45892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1" si="0">F3/D3</f>
        <v>#DIV/0!</v>
      </c>
      <c r="H3" s="12">
        <v>0</v>
      </c>
      <c r="I3" s="9">
        <v>0</v>
      </c>
      <c r="J3" s="9">
        <v>0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30</v>
      </c>
      <c r="E4" s="7">
        <v>1998.35</v>
      </c>
      <c r="F4" s="7">
        <v>465.45</v>
      </c>
      <c r="G4" s="7">
        <f t="shared" si="0"/>
        <v>15.514999999999999</v>
      </c>
      <c r="H4" s="11">
        <v>16</v>
      </c>
      <c r="I4" s="9">
        <v>1139.1000000000001</v>
      </c>
      <c r="J4" s="9">
        <v>667.57</v>
      </c>
      <c r="K4" s="9">
        <f t="shared" si="1"/>
        <v>41.723125000000003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49</v>
      </c>
      <c r="E7" s="27">
        <v>3647.05</v>
      </c>
      <c r="F7" s="27">
        <v>584.4</v>
      </c>
      <c r="G7" s="7">
        <f t="shared" si="0"/>
        <v>11.926530612244898</v>
      </c>
      <c r="H7" s="11">
        <v>11</v>
      </c>
      <c r="I7" s="9">
        <v>769.4</v>
      </c>
      <c r="J7" s="9">
        <v>806.15</v>
      </c>
      <c r="K7" s="9">
        <f t="shared" si="1"/>
        <v>73.286363636363632</v>
      </c>
    </row>
    <row r="8" spans="1:11" x14ac:dyDescent="0.25">
      <c r="A8" s="23"/>
      <c r="B8" s="5" t="s">
        <v>13</v>
      </c>
      <c r="C8" s="17">
        <v>35</v>
      </c>
      <c r="D8" s="10">
        <v>135</v>
      </c>
      <c r="E8" s="7">
        <v>9702.0500000000011</v>
      </c>
      <c r="F8" s="7">
        <v>2724.93</v>
      </c>
      <c r="G8" s="7">
        <f t="shared" si="0"/>
        <v>20.184666666666665</v>
      </c>
      <c r="H8" s="12">
        <v>18</v>
      </c>
      <c r="I8" s="9">
        <v>1105</v>
      </c>
      <c r="J8" s="9">
        <v>1358.41</v>
      </c>
      <c r="K8" s="9">
        <f t="shared" si="1"/>
        <v>75.467222222222233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1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4</v>
      </c>
      <c r="E10" s="7">
        <v>219.8</v>
      </c>
      <c r="F10" s="7">
        <v>15.69</v>
      </c>
      <c r="G10" s="7">
        <f t="shared" si="0"/>
        <v>3.9224999999999999</v>
      </c>
      <c r="H10" s="11">
        <v>1</v>
      </c>
      <c r="I10" s="9">
        <v>54.95</v>
      </c>
      <c r="J10" s="9">
        <v>56.21</v>
      </c>
      <c r="K10" s="9">
        <f t="shared" si="1"/>
        <v>56.21</v>
      </c>
    </row>
    <row r="11" spans="1:11" x14ac:dyDescent="0.25">
      <c r="A11" s="23"/>
      <c r="B11" s="5" t="s">
        <v>19</v>
      </c>
      <c r="C11" s="17">
        <v>35</v>
      </c>
      <c r="D11" s="10">
        <v>1</v>
      </c>
      <c r="E11" s="7">
        <v>20</v>
      </c>
      <c r="F11" s="7">
        <v>18.059999999999999</v>
      </c>
      <c r="G11" s="7">
        <f t="shared" si="0"/>
        <v>18.059999999999999</v>
      </c>
      <c r="H11" s="11">
        <v>6</v>
      </c>
      <c r="I11" s="9">
        <v>153.1</v>
      </c>
      <c r="J11" s="9">
        <v>274.06</v>
      </c>
      <c r="K11" s="9">
        <f t="shared" si="1"/>
        <v>45.676666666666669</v>
      </c>
    </row>
    <row r="12" spans="1:11" x14ac:dyDescent="0.25">
      <c r="A12" s="23"/>
      <c r="B12" s="5" t="s">
        <v>14</v>
      </c>
      <c r="C12" s="5"/>
      <c r="D12" s="13">
        <f>SUM(D3:D11)</f>
        <v>219</v>
      </c>
      <c r="E12" s="14">
        <f>SUM(E3:E11)</f>
        <v>15587.25</v>
      </c>
      <c r="F12" s="14">
        <f>SUM(F3:F11)</f>
        <v>3808.5299999999997</v>
      </c>
      <c r="G12" s="14">
        <f>F12/D12</f>
        <v>17.39054794520548</v>
      </c>
      <c r="H12" s="15">
        <f>SUM(H3:H11)</f>
        <v>52</v>
      </c>
      <c r="I12" s="16">
        <f>SUM(I3:I11)</f>
        <v>3221.5499999999997</v>
      </c>
      <c r="J12" s="16">
        <f>SUM(J3:J11)</f>
        <v>3162.4</v>
      </c>
      <c r="K12" s="16">
        <f t="shared" ref="K12" si="2">J12/H12</f>
        <v>60.815384615384616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45893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45899</v>
      </c>
      <c r="B16" s="5" t="s">
        <v>8</v>
      </c>
      <c r="C16" s="17">
        <v>25</v>
      </c>
      <c r="D16" s="10">
        <v>0</v>
      </c>
      <c r="E16" s="7">
        <v>0</v>
      </c>
      <c r="F16" s="7">
        <v>0</v>
      </c>
      <c r="G16" s="7" t="e">
        <f t="shared" ref="G16:G24" si="3">F16/D16</f>
        <v>#DIV/0!</v>
      </c>
      <c r="H16" s="12">
        <v>0</v>
      </c>
      <c r="I16" s="9">
        <v>0</v>
      </c>
      <c r="J16" s="9">
        <v>0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40</v>
      </c>
      <c r="E17" s="7">
        <v>2737.8</v>
      </c>
      <c r="F17" s="7">
        <v>580.99</v>
      </c>
      <c r="G17" s="7">
        <f t="shared" si="3"/>
        <v>14.524750000000001</v>
      </c>
      <c r="H17" s="11">
        <v>7</v>
      </c>
      <c r="I17" s="9">
        <v>469.65</v>
      </c>
      <c r="J17" s="9">
        <v>634.94000000000005</v>
      </c>
      <c r="K17" s="9">
        <f t="shared" si="4"/>
        <v>90.705714285714294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48</v>
      </c>
      <c r="E20" s="27">
        <v>3227.45</v>
      </c>
      <c r="F20" s="27">
        <v>636.07000000000005</v>
      </c>
      <c r="G20" s="7">
        <f t="shared" si="3"/>
        <v>13.251458333333334</v>
      </c>
      <c r="H20" s="11">
        <v>8</v>
      </c>
      <c r="I20" s="9">
        <v>569.54999999999995</v>
      </c>
      <c r="J20" s="9">
        <v>801.58</v>
      </c>
      <c r="K20" s="9">
        <f t="shared" si="4"/>
        <v>100.19750000000001</v>
      </c>
    </row>
    <row r="21" spans="1:11" x14ac:dyDescent="0.25">
      <c r="A21" s="23"/>
      <c r="B21" s="5" t="s">
        <v>13</v>
      </c>
      <c r="C21" s="17">
        <v>35</v>
      </c>
      <c r="D21" s="10">
        <v>107</v>
      </c>
      <c r="E21" s="7">
        <v>7167.55</v>
      </c>
      <c r="F21" s="7">
        <v>2734.6000000000004</v>
      </c>
      <c r="G21" s="7">
        <f t="shared" si="3"/>
        <v>25.557009345794395</v>
      </c>
      <c r="H21" s="12">
        <v>25</v>
      </c>
      <c r="I21" s="9">
        <v>1576.9</v>
      </c>
      <c r="J21" s="9">
        <v>1420.01</v>
      </c>
      <c r="K21" s="9">
        <f t="shared" si="4"/>
        <v>56.800399999999996</v>
      </c>
    </row>
    <row r="22" spans="1:11" x14ac:dyDescent="0.25">
      <c r="A22" s="23"/>
      <c r="B22" s="5" t="s">
        <v>17</v>
      </c>
      <c r="C22" s="17">
        <v>35</v>
      </c>
      <c r="D22" s="6">
        <v>0</v>
      </c>
      <c r="E22" s="27">
        <v>0</v>
      </c>
      <c r="F22" s="28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ref="K22:K23" si="5">J22/H22</f>
        <v>#DIV/0!</v>
      </c>
    </row>
    <row r="23" spans="1:11" x14ac:dyDescent="0.25">
      <c r="A23" s="23"/>
      <c r="B23" s="5" t="s">
        <v>18</v>
      </c>
      <c r="C23" s="17">
        <v>35</v>
      </c>
      <c r="D23" s="10">
        <v>0</v>
      </c>
      <c r="E23" s="7">
        <v>0</v>
      </c>
      <c r="F23" s="7">
        <v>0</v>
      </c>
      <c r="G23" s="7" t="e">
        <f t="shared" ref="G23" si="6">F23/D23</f>
        <v>#DIV/0!</v>
      </c>
      <c r="H23" s="11">
        <v>0</v>
      </c>
      <c r="I23" s="9">
        <v>0</v>
      </c>
      <c r="J23" s="9">
        <v>0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0</v>
      </c>
      <c r="E24" s="7">
        <v>0</v>
      </c>
      <c r="F24" s="7">
        <v>10.61</v>
      </c>
      <c r="G24" s="7" t="e">
        <f t="shared" si="3"/>
        <v>#DIV/0!</v>
      </c>
      <c r="H24" s="11">
        <v>0</v>
      </c>
      <c r="I24" s="9">
        <v>0</v>
      </c>
      <c r="J24" s="9">
        <v>137.52000000000001</v>
      </c>
      <c r="K24" s="9" t="e">
        <f t="shared" si="4"/>
        <v>#DIV/0!</v>
      </c>
    </row>
    <row r="25" spans="1:11" x14ac:dyDescent="0.25">
      <c r="A25" s="23"/>
      <c r="B25" s="5" t="s">
        <v>14</v>
      </c>
      <c r="C25" s="5"/>
      <c r="D25" s="13">
        <f>SUM(D16:D24)</f>
        <v>195</v>
      </c>
      <c r="E25" s="14">
        <f>SUM(E16:E24)</f>
        <v>13132.8</v>
      </c>
      <c r="F25" s="14">
        <f>SUM(F16:F24)</f>
        <v>3962.2700000000004</v>
      </c>
      <c r="G25" s="14">
        <f>F25/D25</f>
        <v>20.319333333333336</v>
      </c>
      <c r="H25" s="15">
        <f>SUM(H16:H24)</f>
        <v>40</v>
      </c>
      <c r="I25" s="16">
        <f>SUM(I16:I24)</f>
        <v>2616.1</v>
      </c>
      <c r="J25" s="16">
        <f>SUM(J16:J24)</f>
        <v>2994.0499999999997</v>
      </c>
      <c r="K25" s="16">
        <f t="shared" ref="K25" si="7">J25/H25</f>
        <v>74.851249999999993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>(D16-D3)/D16</f>
        <v>#DIV/0!</v>
      </c>
      <c r="E29" s="21" t="e">
        <f t="shared" ref="D29:K35" si="8">(E16-E3)/E16</f>
        <v>#DIV/0!</v>
      </c>
      <c r="F29" s="21" t="e">
        <f t="shared" si="8"/>
        <v>#DIV/0!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 t="e">
        <f t="shared" si="8"/>
        <v>#DIV/0!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>(D17-D4)/D17</f>
        <v>0.25</v>
      </c>
      <c r="E30" s="21">
        <f t="shared" si="8"/>
        <v>0.27008912265322532</v>
      </c>
      <c r="F30" s="21">
        <f t="shared" si="8"/>
        <v>0.19886745038640943</v>
      </c>
      <c r="G30" s="21">
        <f t="shared" si="8"/>
        <v>-6.8176732818120644E-2</v>
      </c>
      <c r="H30" s="21">
        <f t="shared" si="8"/>
        <v>-1.2857142857142858</v>
      </c>
      <c r="I30" s="21">
        <f t="shared" si="8"/>
        <v>-1.4254231874800387</v>
      </c>
      <c r="J30" s="21">
        <f>(J17-J4)/J17</f>
        <v>-5.1390682584181169E-2</v>
      </c>
      <c r="K30" s="21">
        <f t="shared" si="8"/>
        <v>0.54001657636942069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 t="e">
        <f t="shared" si="8"/>
        <v>#DIV/0!</v>
      </c>
      <c r="I31" s="21" t="e">
        <f t="shared" si="8"/>
        <v>#DIV/0!</v>
      </c>
      <c r="J31" s="21" t="e">
        <f t="shared" si="8"/>
        <v>#DIV/0!</v>
      </c>
      <c r="K31" s="21" t="e">
        <f t="shared" si="8"/>
        <v>#DIV/0!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-2.0833333333333332E-2</v>
      </c>
      <c r="E33" s="21">
        <f t="shared" si="8"/>
        <v>-0.13000976002726622</v>
      </c>
      <c r="F33" s="21">
        <f t="shared" si="8"/>
        <v>8.1233197604037397E-2</v>
      </c>
      <c r="G33" s="21">
        <f t="shared" si="8"/>
        <v>9.9983540510077379E-2</v>
      </c>
      <c r="H33" s="21">
        <f t="shared" si="8"/>
        <v>-0.375</v>
      </c>
      <c r="I33" s="21">
        <f t="shared" si="8"/>
        <v>-0.35089105434114659</v>
      </c>
      <c r="J33" s="21">
        <f t="shared" si="8"/>
        <v>-5.7012400508993939E-3</v>
      </c>
      <c r="K33" s="21">
        <f t="shared" si="8"/>
        <v>0.26858091632661862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-0.26168224299065418</v>
      </c>
      <c r="E34" s="21">
        <f t="shared" si="8"/>
        <v>-0.35360757860077724</v>
      </c>
      <c r="F34" s="21">
        <f t="shared" si="8"/>
        <v>3.5361661668984589E-3</v>
      </c>
      <c r="G34" s="21">
        <f t="shared" si="8"/>
        <v>0.21021014651746764</v>
      </c>
      <c r="H34" s="21">
        <f t="shared" si="8"/>
        <v>0.28000000000000003</v>
      </c>
      <c r="I34" s="21">
        <f t="shared" si="8"/>
        <v>0.29925803792250621</v>
      </c>
      <c r="J34" s="21">
        <f t="shared" si="8"/>
        <v>4.3379976197350657E-2</v>
      </c>
      <c r="K34" s="21">
        <f t="shared" si="8"/>
        <v>-0.32863892194812427</v>
      </c>
    </row>
    <row r="35" spans="1:11" x14ac:dyDescent="0.25">
      <c r="A35" s="23"/>
      <c r="B35" s="5" t="s">
        <v>17</v>
      </c>
      <c r="C35" s="17">
        <v>35</v>
      </c>
      <c r="D35" s="21" t="e">
        <f t="shared" si="8"/>
        <v>#DIV/0!</v>
      </c>
      <c r="E35" s="21" t="e">
        <f t="shared" si="8"/>
        <v>#DIV/0!</v>
      </c>
      <c r="F35" s="21" t="e">
        <f t="shared" si="8"/>
        <v>#DIV/0!</v>
      </c>
      <c r="G35" s="21" t="e">
        <f t="shared" si="8"/>
        <v>#DIV/0!</v>
      </c>
      <c r="H35" s="21" t="e">
        <f t="shared" si="8"/>
        <v>#DIV/0!</v>
      </c>
      <c r="I35" s="21" t="e">
        <f t="shared" si="8"/>
        <v>#DIV/0!</v>
      </c>
      <c r="J35" s="21" t="e">
        <f t="shared" si="8"/>
        <v>#DIV/0!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 t="e">
        <f t="shared" ref="D36:K38" si="9">(D23-D10)/D23</f>
        <v>#DIV/0!</v>
      </c>
      <c r="E36" s="21" t="e">
        <f t="shared" si="9"/>
        <v>#DIV/0!</v>
      </c>
      <c r="F36" s="21" t="e">
        <f t="shared" si="9"/>
        <v>#DIV/0!</v>
      </c>
      <c r="G36" s="21" t="e">
        <f t="shared" si="9"/>
        <v>#DIV/0!</v>
      </c>
      <c r="H36" s="21" t="e">
        <f t="shared" si="9"/>
        <v>#DIV/0!</v>
      </c>
      <c r="I36" s="21" t="e">
        <f t="shared" si="9"/>
        <v>#DIV/0!</v>
      </c>
      <c r="J36" s="21" t="e">
        <f t="shared" si="9"/>
        <v>#DIV/0!</v>
      </c>
      <c r="K36" s="21" t="e">
        <f t="shared" si="9"/>
        <v>#DIV/0!</v>
      </c>
    </row>
    <row r="37" spans="1:11" x14ac:dyDescent="0.25">
      <c r="A37" s="23"/>
      <c r="B37" s="5" t="s">
        <v>19</v>
      </c>
      <c r="C37" s="17">
        <v>35</v>
      </c>
      <c r="D37" s="21" t="e">
        <f t="shared" si="9"/>
        <v>#DIV/0!</v>
      </c>
      <c r="E37" s="21" t="e">
        <f t="shared" si="9"/>
        <v>#DIV/0!</v>
      </c>
      <c r="F37" s="21">
        <f t="shared" si="9"/>
        <v>-0.70216776625824695</v>
      </c>
      <c r="G37" s="21" t="e">
        <f t="shared" si="9"/>
        <v>#DIV/0!</v>
      </c>
      <c r="H37" s="21" t="e">
        <f t="shared" si="9"/>
        <v>#DIV/0!</v>
      </c>
      <c r="I37" s="21" t="e">
        <f t="shared" si="9"/>
        <v>#DIV/0!</v>
      </c>
      <c r="J37" s="21">
        <f t="shared" si="9"/>
        <v>-0.99287376381617209</v>
      </c>
      <c r="K37" s="21" t="e">
        <f t="shared" si="9"/>
        <v>#DIV/0!</v>
      </c>
    </row>
    <row r="38" spans="1:11" x14ac:dyDescent="0.25">
      <c r="A38" s="23"/>
      <c r="B38" s="5" t="s">
        <v>14</v>
      </c>
      <c r="C38" s="5"/>
      <c r="D38" s="22">
        <f t="shared" si="9"/>
        <v>-0.12307692307692308</v>
      </c>
      <c r="E38" s="22">
        <f t="shared" si="9"/>
        <v>-0.18689464546783632</v>
      </c>
      <c r="F38" s="22">
        <f t="shared" si="9"/>
        <v>3.8800990341395378E-2</v>
      </c>
      <c r="G38" s="22">
        <f t="shared" si="9"/>
        <v>0.14413786811220133</v>
      </c>
      <c r="H38" s="22">
        <f t="shared" si="9"/>
        <v>-0.3</v>
      </c>
      <c r="I38" s="22">
        <f t="shared" si="9"/>
        <v>-0.23143228469859708</v>
      </c>
      <c r="J38" s="22">
        <f t="shared" si="9"/>
        <v>-5.6228185902039172E-2</v>
      </c>
      <c r="K38" s="22">
        <f t="shared" si="9"/>
        <v>0.18751678007535449</v>
      </c>
    </row>
  </sheetData>
  <conditionalFormatting sqref="D29:K38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8 J29:K3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2025-09-01T12:33:17Z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