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CC0FC34-17BA-42DD-8FA1-11FBA6D8C923}" xr6:coauthVersionLast="47" xr6:coauthVersionMax="47" xr10:uidLastSave="{00000000-0000-0000-0000-000000000000}"/>
  <bookViews>
    <workbookView xWindow="1080" yWindow="117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K11" i="2" s="1"/>
  <c r="I11" i="2"/>
  <c r="H11" i="2"/>
  <c r="F11" i="2"/>
  <c r="G11" i="2" s="1"/>
  <c r="E11" i="2"/>
  <c r="D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2" i="2"/>
  <c r="G21" i="2"/>
  <c r="G20" i="2"/>
  <c r="G19" i="2"/>
  <c r="G17" i="2"/>
  <c r="G16" i="2"/>
  <c r="G15" i="2"/>
  <c r="G18" i="2" l="1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<sst xmlns="http://schemas.openxmlformats.org/spreadsheetml/2006/main" count="63" uniqueCount="19">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</sst>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45683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45689</v>
      </c>
      <c r="B3" s="5" t="s">
        <v>8</v>
      </c>
      <c r="C3" s="17">
        <v>25</v>
      </c>
      <c r="D3" s="10">
        <v>1</v>
      </c>
      <c r="E3" s="7">
        <v>69.95</v>
      </c>
      <c r="F3" s="7">
        <v>27.68</v>
      </c>
      <c r="G3" s="7">
        <f t="shared" ref="G3:G10" si="0">F3/D3</f>
        <v>27.68</v>
      </c>
      <c r="H3" s="12">
        <v>0</v>
      </c>
      <c r="I3" s="9">
        <v>0</v>
      </c>
      <c r="J3" s="9">
        <v>2.5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37</v>
      </c>
      <c r="E4" s="7">
        <v>2418.0500000000002</v>
      </c>
      <c r="F4" s="7">
        <v>613.79999999999995</v>
      </c>
      <c r="G4" s="7">
        <f t="shared" si="0"/>
        <v>16.589189189189188</v>
      </c>
      <c r="H4" s="11">
        <v>23</v>
      </c>
      <c r="I4" s="9">
        <v>1578.8500000000001</v>
      </c>
      <c r="J4" s="9">
        <v>1275.55</v>
      </c>
      <c r="K4" s="9">
        <f t="shared" si="1"/>
        <v>55.458695652173908</v>
      </c>
    </row>
    <row r="5" spans="1:11" x14ac:dyDescent="0.25">
      <c r="A5" s="23"/>
      <c r="B5" s="5" t="s">
        <v>10</v>
      </c>
      <c r="C5" s="17">
        <v>31</v>
      </c>
      <c r="D5" s="10">
        <v>6</v>
      </c>
      <c r="E5" s="7">
        <v>279.60000000000002</v>
      </c>
      <c r="F5" s="7">
        <v>57.32</v>
      </c>
      <c r="G5" s="7">
        <f t="shared" si="0"/>
        <v>9.5533333333333328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34</v>
      </c>
      <c r="E7" s="7">
        <v>2423.14</v>
      </c>
      <c r="F7" s="7">
        <v>457.49</v>
      </c>
      <c r="G7" s="7">
        <f t="shared" si="0"/>
        <v>13.455588235294117</v>
      </c>
      <c r="H7" s="11">
        <v>5</v>
      </c>
      <c r="I7" s="9">
        <v>368.72</v>
      </c>
      <c r="J7" s="9">
        <v>578.55999999999995</v>
      </c>
      <c r="K7" s="9">
        <f t="shared" si="1"/>
        <v>115.71199999999999</v>
      </c>
    </row>
    <row r="8" spans="1:11" x14ac:dyDescent="0.25">
      <c r="A8" s="23"/>
      <c r="B8" s="5" t="s">
        <v>13</v>
      </c>
      <c r="C8" s="17">
        <v>35</v>
      </c>
      <c r="D8" s="10">
        <v>191</v>
      </c>
      <c r="E8" s="7">
        <v>12229</v>
      </c>
      <c r="F8" s="7">
        <v>3996.44</v>
      </c>
      <c r="G8" s="7">
        <f t="shared" si="0"/>
        <v>20.923769633507852</v>
      </c>
      <c r="H8" s="12">
        <v>32</v>
      </c>
      <c r="I8" s="9">
        <v>1925.95</v>
      </c>
      <c r="J8" s="9">
        <v>1842.78</v>
      </c>
      <c r="K8" s="9">
        <f t="shared" si="1"/>
        <v>57.586874999999999</v>
      </c>
    </row>
    <row r="9" spans="1:11" x14ac:dyDescent="0.25">
      <c r="A9" s="23"/>
      <c r="B9" s="5" t="s">
        <v>17</v>
      </c>
      <c r="C9" s="17">
        <v>35</v>
      </c>
      <c r="D9" s="6">
        <v>1</v>
      </c>
      <c r="E9" s="27">
        <v>36</v>
      </c>
      <c r="F9" s="28">
        <v>134.91</v>
      </c>
      <c r="G9" s="7">
        <f t="shared" si="0"/>
        <v>134.91</v>
      </c>
      <c r="H9" s="11">
        <v>9</v>
      </c>
      <c r="I9" s="9">
        <v>345</v>
      </c>
      <c r="J9" s="9">
        <v>244.76</v>
      </c>
      <c r="K9" s="9">
        <f t="shared" si="1"/>
        <v>27.195555555555554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9.35</v>
      </c>
      <c r="G10" s="7">
        <f t="shared" si="0"/>
        <v>9.35</v>
      </c>
      <c r="H10" s="11">
        <v>0</v>
      </c>
      <c r="I10" s="9">
        <v>0</v>
      </c>
      <c r="J10" s="9">
        <v>168.74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271</v>
      </c>
      <c r="E11" s="14">
        <f>SUM(E3:E10)</f>
        <v>17510.689999999999</v>
      </c>
      <c r="F11" s="14">
        <f>SUM(F3:F10)</f>
        <v>5296.99</v>
      </c>
      <c r="G11" s="14">
        <f>F11/D11</f>
        <v>19.546088560885607</v>
      </c>
      <c r="H11" s="15">
        <f>SUM(H3:H10)</f>
        <v>69</v>
      </c>
      <c r="I11" s="16">
        <f>SUM(I3:I10)</f>
        <v>4218.5200000000004</v>
      </c>
      <c r="J11" s="16">
        <f>SUM(J3:J10)</f>
        <v>4112.8899999999994</v>
      </c>
      <c r="K11" s="16">
        <f t="shared" si="1"/>
        <v>59.607101449275355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45690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45696</v>
      </c>
      <c r="B15" s="5" t="s">
        <v>8</v>
      </c>
      <c r="C15" s="17">
        <v>25</v>
      </c>
      <c r="D15" s="10">
        <v>1</v>
      </c>
      <c r="E15" s="7">
        <v>139.9</v>
      </c>
      <c r="F15" s="7">
        <v>29.98</v>
      </c>
      <c r="G15" s="7">
        <f t="shared" ref="G15:G22" si="2">F15/D15</f>
        <v>29.98</v>
      </c>
      <c r="H15" s="12">
        <v>0</v>
      </c>
      <c r="I15" s="9">
        <v>0</v>
      </c>
      <c r="J15" s="9">
        <v>2.62</v>
      </c>
      <c r="K15" s="9" t="e">
        <f t="shared" ref="K15:K22" si="3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34</v>
      </c>
      <c r="E16" s="7">
        <v>3157.6</v>
      </c>
      <c r="F16" s="7">
        <v>564.70000000000005</v>
      </c>
      <c r="G16" s="7">
        <f t="shared" si="2"/>
        <v>16.608823529411765</v>
      </c>
      <c r="H16" s="11">
        <v>22</v>
      </c>
      <c r="I16" s="9">
        <v>1658.8</v>
      </c>
      <c r="J16" s="9">
        <v>1309.67</v>
      </c>
      <c r="K16" s="9">
        <f t="shared" si="3"/>
        <v>59.530454545454546</v>
      </c>
    </row>
    <row r="17" spans="1:11" x14ac:dyDescent="0.25">
      <c r="A17" s="23"/>
      <c r="B17" s="5" t="s">
        <v>10</v>
      </c>
      <c r="C17" s="17">
        <v>31</v>
      </c>
      <c r="D17" s="10">
        <v>8</v>
      </c>
      <c r="E17" s="7">
        <v>279.60000000000002</v>
      </c>
      <c r="F17" s="7">
        <v>34.65</v>
      </c>
      <c r="G17" s="7">
        <f t="shared" si="2"/>
        <v>4.3312499999999998</v>
      </c>
      <c r="H17" s="11">
        <v>0</v>
      </c>
      <c r="I17" s="9">
        <v>0</v>
      </c>
      <c r="J17" s="9">
        <v>0</v>
      </c>
      <c r="K17" s="9" t="e">
        <f t="shared" si="3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2"/>
        <v>#DIV/0!</v>
      </c>
      <c r="H18" s="11">
        <v>0</v>
      </c>
      <c r="I18" s="9">
        <v>0</v>
      </c>
      <c r="J18" s="9">
        <v>0</v>
      </c>
      <c r="K18" s="9" t="e">
        <f t="shared" si="3"/>
        <v>#DIV/0!</v>
      </c>
    </row>
    <row r="19" spans="1:11" x14ac:dyDescent="0.25">
      <c r="A19" s="23"/>
      <c r="B19" s="5" t="s">
        <v>12</v>
      </c>
      <c r="C19" s="17">
        <v>42</v>
      </c>
      <c r="D19" s="10">
        <v>35</v>
      </c>
      <c r="E19" s="7">
        <v>2524.96</v>
      </c>
      <c r="F19" s="7">
        <v>613.55999999999995</v>
      </c>
      <c r="G19" s="7">
        <f t="shared" si="2"/>
        <v>17.530285714285714</v>
      </c>
      <c r="H19" s="11">
        <v>4</v>
      </c>
      <c r="I19" s="9">
        <v>377.74</v>
      </c>
      <c r="J19" s="9">
        <v>696.51</v>
      </c>
      <c r="K19" s="9">
        <f t="shared" si="3"/>
        <v>174.1275</v>
      </c>
    </row>
    <row r="20" spans="1:11" x14ac:dyDescent="0.25">
      <c r="A20" s="23"/>
      <c r="B20" s="5" t="s">
        <v>13</v>
      </c>
      <c r="C20" s="17">
        <v>35</v>
      </c>
      <c r="D20" s="10">
        <v>151</v>
      </c>
      <c r="E20" s="7">
        <v>9670</v>
      </c>
      <c r="F20" s="7">
        <v>3253.78</v>
      </c>
      <c r="G20" s="7">
        <f t="shared" si="2"/>
        <v>21.548211920529802</v>
      </c>
      <c r="H20" s="12">
        <v>37</v>
      </c>
      <c r="I20" s="9">
        <v>2265</v>
      </c>
      <c r="J20" s="9">
        <v>1880.6</v>
      </c>
      <c r="K20" s="9">
        <f t="shared" si="3"/>
        <v>50.827027027027022</v>
      </c>
    </row>
    <row r="21" spans="1:11" x14ac:dyDescent="0.25">
      <c r="A21" s="23"/>
      <c r="B21" s="5" t="s">
        <v>17</v>
      </c>
      <c r="C21" s="17">
        <v>35</v>
      </c>
      <c r="D21" s="6">
        <v>8</v>
      </c>
      <c r="E21" s="27">
        <v>417</v>
      </c>
      <c r="F21" s="28">
        <v>342.94</v>
      </c>
      <c r="G21" s="7">
        <f t="shared" si="2"/>
        <v>42.8675</v>
      </c>
      <c r="H21" s="11">
        <v>9</v>
      </c>
      <c r="I21" s="9">
        <v>414</v>
      </c>
      <c r="J21" s="9">
        <v>326.56</v>
      </c>
      <c r="K21" s="9">
        <f t="shared" ref="K21" si="4">J21/H21</f>
        <v>36.284444444444446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109.9</v>
      </c>
      <c r="F22" s="7">
        <v>8.0500000000000007</v>
      </c>
      <c r="G22" s="7">
        <f t="shared" si="2"/>
        <v>4.0250000000000004</v>
      </c>
      <c r="H22" s="11">
        <v>6</v>
      </c>
      <c r="I22" s="9">
        <v>384.65</v>
      </c>
      <c r="J22" s="9">
        <v>287.72000000000003</v>
      </c>
      <c r="K22" s="9">
        <f t="shared" si="3"/>
        <v>47.95333333333334</v>
      </c>
    </row>
    <row r="23" spans="1:11" x14ac:dyDescent="0.25">
      <c r="A23" s="23"/>
      <c r="B23" s="5" t="s">
        <v>14</v>
      </c>
      <c r="C23" s="5"/>
      <c r="D23" s="13">
        <f>SUM(D15:D22)</f>
        <v>239</v>
      </c>
      <c r="E23" s="14">
        <f>SUM(E15:E22)</f>
        <v>16298.96</v>
      </c>
      <c r="F23" s="14">
        <f>SUM(F15:F22)</f>
        <v>4847.66</v>
      </c>
      <c r="G23" s="14">
        <f>F23/D23</f>
        <v>20.283096234309621</v>
      </c>
      <c r="H23" s="15">
        <f>SUM(H15:H22)</f>
        <v>78</v>
      </c>
      <c r="I23" s="16">
        <f>SUM(I15:I22)</f>
        <v>5100.1899999999996</v>
      </c>
      <c r="J23" s="16">
        <f>SUM(J15:J22)</f>
        <v>4503.68</v>
      </c>
      <c r="K23" s="16">
        <f t="shared" ref="K23" si="5">J23/H23</f>
        <v>57.739487179487185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6">(D15-D3)/D15</f>
        <v>0</v>
      </c>
      <c r="E27" s="21">
        <f t="shared" si="6"/>
        <v>0.5</v>
      </c>
      <c r="F27" s="21">
        <f t="shared" si="6"/>
        <v>7.6717811874583083E-2</v>
      </c>
      <c r="G27" s="21">
        <f t="shared" si="6"/>
        <v>7.6717811874583083E-2</v>
      </c>
      <c r="H27" s="21" t="e">
        <f t="shared" si="6"/>
        <v>#DIV/0!</v>
      </c>
      <c r="I27" s="21" t="e">
        <f t="shared" si="6"/>
        <v>#DIV/0!</v>
      </c>
      <c r="J27" s="21">
        <f t="shared" si="6"/>
        <v>4.5801526717557293E-2</v>
      </c>
      <c r="K27" s="21" t="e">
        <f t="shared" si="6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6"/>
        <v>-8.8235294117647065E-2</v>
      </c>
      <c r="E28" s="21">
        <f t="shared" si="6"/>
        <v>0.23421269318469715</v>
      </c>
      <c r="F28" s="21">
        <f t="shared" si="6"/>
        <v>-8.6948822383566327E-2</v>
      </c>
      <c r="G28" s="21">
        <f t="shared" si="6"/>
        <v>1.1821632151011567E-3</v>
      </c>
      <c r="H28" s="21">
        <f t="shared" si="6"/>
        <v>-4.5454545454545456E-2</v>
      </c>
      <c r="I28" s="21">
        <f t="shared" si="6"/>
        <v>4.8197492163009295E-2</v>
      </c>
      <c r="J28" s="21">
        <f t="shared" si="6"/>
        <v>2.605236433605421E-2</v>
      </c>
      <c r="K28" s="21">
        <f t="shared" si="6"/>
        <v>6.8397913712747505E-2</v>
      </c>
    </row>
    <row r="29" spans="1:11" x14ac:dyDescent="0.25">
      <c r="A29" s="23"/>
      <c r="B29" s="5" t="s">
        <v>10</v>
      </c>
      <c r="C29" s="17">
        <v>31</v>
      </c>
      <c r="D29" s="21">
        <f t="shared" si="6"/>
        <v>0.25</v>
      </c>
      <c r="E29" s="21">
        <f t="shared" si="6"/>
        <v>0</v>
      </c>
      <c r="F29" s="21">
        <f t="shared" si="6"/>
        <v>-0.65425685425685431</v>
      </c>
      <c r="G29" s="21">
        <f t="shared" si="6"/>
        <v>-1.2056758056758057</v>
      </c>
      <c r="H29" s="21" t="e">
        <f t="shared" si="6"/>
        <v>#DIV/0!</v>
      </c>
      <c r="I29" s="21" t="e">
        <f t="shared" si="6"/>
        <v>#DIV/0!</v>
      </c>
      <c r="J29" s="21" t="e">
        <f t="shared" si="6"/>
        <v>#DIV/0!</v>
      </c>
      <c r="K29" s="21" t="e">
        <f t="shared" si="6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6"/>
        <v>#DIV/0!</v>
      </c>
      <c r="E30" s="21" t="e">
        <f t="shared" si="6"/>
        <v>#DIV/0!</v>
      </c>
      <c r="F30" s="21" t="e">
        <f t="shared" si="6"/>
        <v>#DIV/0!</v>
      </c>
      <c r="G30" s="21" t="e">
        <f t="shared" si="6"/>
        <v>#DIV/0!</v>
      </c>
      <c r="H30" s="21" t="e">
        <f t="shared" si="6"/>
        <v>#DIV/0!</v>
      </c>
      <c r="I30" s="21" t="e">
        <f t="shared" si="6"/>
        <v>#DIV/0!</v>
      </c>
      <c r="J30" s="21" t="e">
        <f t="shared" si="6"/>
        <v>#DIV/0!</v>
      </c>
      <c r="K30" s="21" t="e">
        <f t="shared" si="6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6"/>
        <v>2.8571428571428571E-2</v>
      </c>
      <c r="E31" s="21">
        <f t="shared" si="6"/>
        <v>4.0325391293327482E-2</v>
      </c>
      <c r="F31" s="21">
        <f t="shared" si="6"/>
        <v>0.25436795097463971</v>
      </c>
      <c r="G31" s="21">
        <f t="shared" si="6"/>
        <v>0.23243759659154101</v>
      </c>
      <c r="H31" s="21">
        <f t="shared" si="6"/>
        <v>-0.25</v>
      </c>
      <c r="I31" s="21">
        <f t="shared" si="6"/>
        <v>2.3878858474082654E-2</v>
      </c>
      <c r="J31" s="21">
        <f t="shared" si="6"/>
        <v>0.16934430230721748</v>
      </c>
      <c r="K31" s="21">
        <f t="shared" si="6"/>
        <v>0.33547544184577399</v>
      </c>
    </row>
    <row r="32" spans="1:11" x14ac:dyDescent="0.25">
      <c r="A32" s="23"/>
      <c r="B32" s="5" t="s">
        <v>13</v>
      </c>
      <c r="C32" s="17">
        <v>35</v>
      </c>
      <c r="D32" s="21">
        <f t="shared" si="6"/>
        <v>-0.26490066225165565</v>
      </c>
      <c r="E32" s="21">
        <f t="shared" si="6"/>
        <v>-0.26463288521199585</v>
      </c>
      <c r="F32" s="21">
        <f t="shared" si="6"/>
        <v>-0.22824530238676241</v>
      </c>
      <c r="G32" s="21">
        <f t="shared" si="6"/>
        <v>2.8978844709941783E-2</v>
      </c>
      <c r="H32" s="21">
        <f t="shared" si="6"/>
        <v>0.13513513513513514</v>
      </c>
      <c r="I32" s="21">
        <f t="shared" si="6"/>
        <v>0.14969094922737305</v>
      </c>
      <c r="J32" s="21">
        <f t="shared" si="6"/>
        <v>2.0110602999042826E-2</v>
      </c>
      <c r="K32" s="21">
        <f t="shared" si="6"/>
        <v>-0.1329971152823568</v>
      </c>
    </row>
    <row r="33" spans="1:11" x14ac:dyDescent="0.25">
      <c r="A33" s="23"/>
      <c r="B33" s="5" t="s">
        <v>17</v>
      </c>
      <c r="C33" s="17">
        <v>35</v>
      </c>
      <c r="D33" s="21">
        <f t="shared" si="6"/>
        <v>0.875</v>
      </c>
      <c r="E33" s="21">
        <f t="shared" si="6"/>
        <v>0.91366906474820142</v>
      </c>
      <c r="F33" s="21">
        <f t="shared" si="6"/>
        <v>0.60660756983728936</v>
      </c>
      <c r="G33" s="21">
        <f t="shared" si="6"/>
        <v>-2.1471394413016851</v>
      </c>
      <c r="H33" s="21">
        <f t="shared" si="6"/>
        <v>0</v>
      </c>
      <c r="I33" s="21">
        <f t="shared" si="6"/>
        <v>0.16666666666666666</v>
      </c>
      <c r="J33" s="21">
        <f t="shared" si="6"/>
        <v>0.25048995590396866</v>
      </c>
      <c r="K33" s="21">
        <f t="shared" si="6"/>
        <v>0.25048995590396872</v>
      </c>
    </row>
    <row r="34" spans="1:11" x14ac:dyDescent="0.25">
      <c r="A34" s="23"/>
      <c r="B34" s="5" t="s">
        <v>18</v>
      </c>
      <c r="C34" s="17">
        <v>35</v>
      </c>
      <c r="D34" s="21">
        <f t="shared" si="6"/>
        <v>0.5</v>
      </c>
      <c r="E34" s="21">
        <f t="shared" si="6"/>
        <v>0.5</v>
      </c>
      <c r="F34" s="21">
        <f t="shared" si="6"/>
        <v>-0.16149068322981353</v>
      </c>
      <c r="G34" s="21">
        <f t="shared" si="6"/>
        <v>-1.3229813664596271</v>
      </c>
      <c r="H34" s="21">
        <f t="shared" si="6"/>
        <v>1</v>
      </c>
      <c r="I34" s="21">
        <f t="shared" si="6"/>
        <v>1</v>
      </c>
      <c r="J34" s="21">
        <f t="shared" si="6"/>
        <v>0.41352704017795083</v>
      </c>
      <c r="K34" s="21" t="e">
        <f t="shared" si="6"/>
        <v>#DIV/0!</v>
      </c>
    </row>
    <row r="35" spans="1:11" x14ac:dyDescent="0.25">
      <c r="A35" s="23"/>
      <c r="B35" s="5" t="s">
        <v>14</v>
      </c>
      <c r="C35" s="5"/>
      <c r="D35" s="22">
        <f t="shared" si="6"/>
        <v>-0.13389121338912133</v>
      </c>
      <c r="E35" s="22">
        <f t="shared" si="6"/>
        <v>-7.4344007225000841E-2</v>
      </c>
      <c r="F35" s="22">
        <f t="shared" si="6"/>
        <v>-9.2690081400098184E-2</v>
      </c>
      <c r="G35" s="22">
        <f t="shared" si="6"/>
        <v>3.6336053672976092E-2</v>
      </c>
      <c r="H35" s="22">
        <f t="shared" si="6"/>
        <v>0.11538461538461539</v>
      </c>
      <c r="I35" s="22">
        <f t="shared" si="6"/>
        <v>0.17287003033220316</v>
      </c>
      <c r="J35" s="22">
        <f t="shared" si="6"/>
        <v>8.6771262611908678E-2</v>
      </c>
      <c r="K35" s="22">
        <f t="shared" si="6"/>
        <v>-3.2345529221320619E-2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2025-02-10T13:57:44Z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