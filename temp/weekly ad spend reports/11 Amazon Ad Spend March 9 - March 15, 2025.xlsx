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581D4ED-7ADF-4B11-87F0-D6090BBBF966}" xr6:coauthVersionLast="47" xr6:coauthVersionMax="47" xr10:uidLastSave="{00000000-0000-0000-0000-000000000000}"/>
  <bookViews>
    <workbookView xWindow="855" yWindow="144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<sst xmlns="http://schemas.openxmlformats.org/spreadsheetml/2006/main" count="63" uniqueCount="19">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</sst>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45718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45724</v>
      </c>
      <c r="B3" s="5" t="s">
        <v>8</v>
      </c>
      <c r="C3" s="17">
        <v>25</v>
      </c>
      <c r="D3" s="10">
        <v>0</v>
      </c>
      <c r="E3" s="7">
        <v>0</v>
      </c>
      <c r="F3" s="7">
        <v>40.409999999999997</v>
      </c>
      <c r="G3" s="7" t="e">
        <f t="shared" ref="G3:G10" si="0">F3/D3</f>
        <v>#DIV/0!</v>
      </c>
      <c r="H3" s="12">
        <v>0</v>
      </c>
      <c r="I3" s="9">
        <v>0</v>
      </c>
      <c r="J3" s="9">
        <v>1.34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53</v>
      </c>
      <c r="E4" s="7">
        <v>4126.7</v>
      </c>
      <c r="F4" s="7">
        <v>399</v>
      </c>
      <c r="G4" s="7">
        <f t="shared" si="0"/>
        <v>7.5283018867924527</v>
      </c>
      <c r="H4" s="11">
        <v>26</v>
      </c>
      <c r="I4" s="9">
        <v>1778.7</v>
      </c>
      <c r="J4" s="9">
        <v>1313.61</v>
      </c>
      <c r="K4" s="9">
        <f t="shared" si="1"/>
        <v>50.523461538461532</v>
      </c>
    </row>
    <row r="5" spans="1:11" x14ac:dyDescent="0.25">
      <c r="A5" s="23"/>
      <c r="B5" s="5" t="s">
        <v>10</v>
      </c>
      <c r="C5" s="17">
        <v>31</v>
      </c>
      <c r="D5" s="10">
        <v>1</v>
      </c>
      <c r="E5" s="7">
        <v>9.9499999999999993</v>
      </c>
      <c r="F5" s="7">
        <v>18.649999999999999</v>
      </c>
      <c r="G5" s="7">
        <f t="shared" si="0"/>
        <v>18.649999999999999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36</v>
      </c>
      <c r="E7" s="7">
        <v>2541.9899999999998</v>
      </c>
      <c r="F7" s="7">
        <v>951.22</v>
      </c>
      <c r="G7" s="7">
        <f t="shared" si="0"/>
        <v>26.422777777777778</v>
      </c>
      <c r="H7" s="11">
        <v>5</v>
      </c>
      <c r="I7" s="9">
        <v>509.6</v>
      </c>
      <c r="J7" s="9">
        <v>813.64</v>
      </c>
      <c r="K7" s="9">
        <f t="shared" si="1"/>
        <v>162.72800000000001</v>
      </c>
    </row>
    <row r="8" spans="1:11" x14ac:dyDescent="0.25">
      <c r="A8" s="23"/>
      <c r="B8" s="5" t="s">
        <v>13</v>
      </c>
      <c r="C8" s="17">
        <v>35</v>
      </c>
      <c r="D8" s="10">
        <v>149</v>
      </c>
      <c r="E8" s="7">
        <v>9863.9500000000007</v>
      </c>
      <c r="F8" s="7">
        <v>2859.59</v>
      </c>
      <c r="G8" s="7">
        <f t="shared" si="0"/>
        <v>19.191879194630875</v>
      </c>
      <c r="H8" s="12">
        <v>21</v>
      </c>
      <c r="I8" s="9">
        <v>1282</v>
      </c>
      <c r="J8" s="9">
        <v>1690.66</v>
      </c>
      <c r="K8" s="9">
        <f t="shared" si="1"/>
        <v>80.507619047619045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117</v>
      </c>
      <c r="F9" s="28">
        <v>159.66999999999999</v>
      </c>
      <c r="G9" s="7">
        <f t="shared" si="0"/>
        <v>79.834999999999994</v>
      </c>
      <c r="H9" s="11">
        <v>7</v>
      </c>
      <c r="I9" s="9">
        <v>258</v>
      </c>
      <c r="J9" s="9">
        <v>158.66</v>
      </c>
      <c r="K9" s="9">
        <f t="shared" si="1"/>
        <v>22.665714285714284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109.9</v>
      </c>
      <c r="F10" s="7">
        <v>1.88</v>
      </c>
      <c r="G10" s="7">
        <f t="shared" si="0"/>
        <v>0.94</v>
      </c>
      <c r="H10" s="11">
        <v>3</v>
      </c>
      <c r="I10" s="9">
        <v>219.8</v>
      </c>
      <c r="J10" s="9">
        <v>419.61</v>
      </c>
      <c r="K10" s="9">
        <f t="shared" si="1"/>
        <v>139.87</v>
      </c>
    </row>
    <row r="11" spans="1:11" x14ac:dyDescent="0.25">
      <c r="A11" s="23"/>
      <c r="B11" s="5" t="s">
        <v>14</v>
      </c>
      <c r="C11" s="5"/>
      <c r="D11" s="13">
        <f>SUM(D3:D10)</f>
        <v>243</v>
      </c>
      <c r="E11" s="14">
        <f>SUM(E3:E10)</f>
        <v>16769.490000000002</v>
      </c>
      <c r="F11" s="14">
        <f>SUM(F3:F10)</f>
        <v>4430.42</v>
      </c>
      <c r="G11" s="14">
        <f>F11/D11</f>
        <v>18.232181069958848</v>
      </c>
      <c r="H11" s="15">
        <f>SUM(H3:H10)</f>
        <v>62</v>
      </c>
      <c r="I11" s="16">
        <f>SUM(I3:I10)</f>
        <v>4048.1000000000004</v>
      </c>
      <c r="J11" s="16">
        <f>SUM(J3:J10)</f>
        <v>4397.5199999999995</v>
      </c>
      <c r="K11" s="16">
        <f t="shared" ref="K11" si="2">J11/H11</f>
        <v>70.927741935483866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45725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45731</v>
      </c>
      <c r="B15" s="5" t="s">
        <v>8</v>
      </c>
      <c r="C15" s="17">
        <v>25</v>
      </c>
      <c r="D15" s="10">
        <v>2</v>
      </c>
      <c r="E15" s="7">
        <v>129.9</v>
      </c>
      <c r="F15" s="7">
        <v>31.28</v>
      </c>
      <c r="G15" s="7">
        <f t="shared" ref="G15:G22" si="3">F15/D15</f>
        <v>15.64</v>
      </c>
      <c r="H15" s="12">
        <v>0</v>
      </c>
      <c r="I15" s="9">
        <v>0</v>
      </c>
      <c r="J15" s="9">
        <v>0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29</v>
      </c>
      <c r="E16" s="7">
        <v>1978.45</v>
      </c>
      <c r="F16" s="7">
        <v>453.66</v>
      </c>
      <c r="G16" s="7">
        <f t="shared" si="3"/>
        <v>15.64344827586207</v>
      </c>
      <c r="H16" s="11">
        <v>22</v>
      </c>
      <c r="I16" s="9">
        <v>1598.8500000000001</v>
      </c>
      <c r="J16" s="9">
        <v>1087.01</v>
      </c>
      <c r="K16" s="9">
        <f t="shared" si="4"/>
        <v>49.409545454545452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47.58</v>
      </c>
      <c r="G17" s="7" t="e">
        <f t="shared" si="3"/>
        <v>#DIV/0!</v>
      </c>
      <c r="H17" s="11">
        <v>1</v>
      </c>
      <c r="I17" s="9">
        <v>34.950000000000003</v>
      </c>
      <c r="J17" s="9">
        <v>7.5</v>
      </c>
      <c r="K17" s="9">
        <f t="shared" si="4"/>
        <v>7.5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57</v>
      </c>
      <c r="E19" s="7">
        <v>4255.57</v>
      </c>
      <c r="F19" s="7">
        <v>877.77</v>
      </c>
      <c r="G19" s="7">
        <f t="shared" si="3"/>
        <v>15.399473684210527</v>
      </c>
      <c r="H19" s="11">
        <v>10</v>
      </c>
      <c r="I19" s="9">
        <v>999.2</v>
      </c>
      <c r="J19" s="9">
        <v>622.29</v>
      </c>
      <c r="K19" s="9">
        <f t="shared" si="4"/>
        <v>62.228999999999999</v>
      </c>
    </row>
    <row r="20" spans="1:11" x14ac:dyDescent="0.25">
      <c r="A20" s="23"/>
      <c r="B20" s="5" t="s">
        <v>13</v>
      </c>
      <c r="C20" s="17">
        <v>35</v>
      </c>
      <c r="D20" s="10">
        <v>117</v>
      </c>
      <c r="E20" s="7">
        <v>7687</v>
      </c>
      <c r="F20" s="7">
        <v>2373.29</v>
      </c>
      <c r="G20" s="7">
        <f t="shared" si="3"/>
        <v>20.284529914529916</v>
      </c>
      <c r="H20" s="12">
        <v>29</v>
      </c>
      <c r="I20" s="9">
        <v>1789</v>
      </c>
      <c r="J20" s="9">
        <v>1595.22</v>
      </c>
      <c r="K20" s="9">
        <f t="shared" si="4"/>
        <v>55.007586206896555</v>
      </c>
    </row>
    <row r="21" spans="1:11" x14ac:dyDescent="0.25">
      <c r="A21" s="23"/>
      <c r="B21" s="5" t="s">
        <v>17</v>
      </c>
      <c r="C21" s="17">
        <v>35</v>
      </c>
      <c r="D21" s="6">
        <v>2</v>
      </c>
      <c r="E21" s="27">
        <v>72</v>
      </c>
      <c r="F21" s="28">
        <v>23.22</v>
      </c>
      <c r="G21" s="7">
        <f t="shared" si="3"/>
        <v>11.61</v>
      </c>
      <c r="H21" s="11">
        <v>10</v>
      </c>
      <c r="I21" s="9">
        <v>504</v>
      </c>
      <c r="J21" s="9">
        <v>178.43</v>
      </c>
      <c r="K21" s="9">
        <f t="shared" ref="K21" si="5">J21/H21</f>
        <v>17.843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207</v>
      </c>
      <c r="E23" s="14">
        <f>SUM(E15:E22)</f>
        <v>14122.92</v>
      </c>
      <c r="F23" s="14">
        <f>SUM(F15:F22)</f>
        <v>3806.7999999999997</v>
      </c>
      <c r="G23" s="14">
        <f>F23/D23</f>
        <v>18.390338164251208</v>
      </c>
      <c r="H23" s="15">
        <f>SUM(H15:H22)</f>
        <v>72</v>
      </c>
      <c r="I23" s="16">
        <f>SUM(I15:I22)</f>
        <v>4926</v>
      </c>
      <c r="J23" s="16">
        <f>SUM(J15:J22)</f>
        <v>3490.45</v>
      </c>
      <c r="K23" s="16">
        <f t="shared" ref="K23" si="6">J23/H23</f>
        <v>48.478472222222223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7">(D15-D3)/D15</f>
        <v>1</v>
      </c>
      <c r="E27" s="21">
        <f t="shared" si="7"/>
        <v>1</v>
      </c>
      <c r="F27" s="21">
        <f t="shared" si="7"/>
        <v>-0.29187979539641928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 t="e">
        <f t="shared" si="7"/>
        <v>#DIV/0!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-0.82758620689655171</v>
      </c>
      <c r="E28" s="21">
        <f t="shared" si="7"/>
        <v>-1.0858247618084864</v>
      </c>
      <c r="F28" s="21">
        <f t="shared" si="7"/>
        <v>0.12048670810739324</v>
      </c>
      <c r="G28" s="21">
        <f t="shared" si="7"/>
        <v>0.51875687802102655</v>
      </c>
      <c r="H28" s="21">
        <f t="shared" si="7"/>
        <v>-0.18181818181818182</v>
      </c>
      <c r="I28" s="21">
        <f t="shared" si="7"/>
        <v>-0.11248710010319911</v>
      </c>
      <c r="J28" s="21">
        <f t="shared" si="7"/>
        <v>-0.20846174368221077</v>
      </c>
      <c r="K28" s="21">
        <f t="shared" si="7"/>
        <v>-2.254455234648603E-2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0.60802858343841948</v>
      </c>
      <c r="G29" s="21" t="e">
        <f t="shared" si="7"/>
        <v>#DIV/0!</v>
      </c>
      <c r="H29" s="21">
        <f t="shared" si="7"/>
        <v>1</v>
      </c>
      <c r="I29" s="21">
        <f t="shared" si="7"/>
        <v>1</v>
      </c>
      <c r="J29" s="21">
        <f t="shared" si="7"/>
        <v>1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0.36842105263157893</v>
      </c>
      <c r="E31" s="21">
        <f t="shared" si="7"/>
        <v>0.40266756274717608</v>
      </c>
      <c r="F31" s="21">
        <f t="shared" si="7"/>
        <v>-8.3677956640122175E-2</v>
      </c>
      <c r="G31" s="21">
        <f t="shared" si="7"/>
        <v>-0.71582343134686</v>
      </c>
      <c r="H31" s="21">
        <f t="shared" si="7"/>
        <v>0.5</v>
      </c>
      <c r="I31" s="21">
        <f t="shared" si="7"/>
        <v>0.48999199359487589</v>
      </c>
      <c r="J31" s="21">
        <f t="shared" si="7"/>
        <v>-0.30749329090938315</v>
      </c>
      <c r="K31" s="21">
        <f t="shared" si="7"/>
        <v>-1.6149865818187663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-0.27350427350427353</v>
      </c>
      <c r="E32" s="21">
        <f t="shared" si="7"/>
        <v>-0.28319890724599983</v>
      </c>
      <c r="F32" s="21">
        <f t="shared" si="7"/>
        <v>-0.20490542664402589</v>
      </c>
      <c r="G32" s="21">
        <f t="shared" si="7"/>
        <v>5.3866208608382357E-2</v>
      </c>
      <c r="H32" s="21">
        <f t="shared" si="7"/>
        <v>0.27586206896551724</v>
      </c>
      <c r="I32" s="21">
        <f t="shared" si="7"/>
        <v>0.28339854667411962</v>
      </c>
      <c r="J32" s="21">
        <f t="shared" si="7"/>
        <v>-5.9828738355838101E-2</v>
      </c>
      <c r="K32" s="21">
        <f t="shared" si="7"/>
        <v>-0.46357301963425246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0</v>
      </c>
      <c r="E33" s="21">
        <f t="shared" si="7"/>
        <v>-0.625</v>
      </c>
      <c r="F33" s="21">
        <f t="shared" si="7"/>
        <v>-5.8763996554694229</v>
      </c>
      <c r="G33" s="21">
        <f t="shared" si="7"/>
        <v>-5.8763996554694229</v>
      </c>
      <c r="H33" s="21">
        <f t="shared" si="7"/>
        <v>0.3</v>
      </c>
      <c r="I33" s="21">
        <f t="shared" si="7"/>
        <v>0.48809523809523808</v>
      </c>
      <c r="J33" s="21">
        <f t="shared" si="7"/>
        <v>0.11079975340469657</v>
      </c>
      <c r="K33" s="21">
        <f t="shared" si="7"/>
        <v>-0.27028606656471915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-0.17391304347826086</v>
      </c>
      <c r="E35" s="22">
        <f t="shared" si="7"/>
        <v>-0.18739538282451515</v>
      </c>
      <c r="F35" s="22">
        <f t="shared" si="7"/>
        <v>-0.16381737942628991</v>
      </c>
      <c r="G35" s="22">
        <f t="shared" si="7"/>
        <v>8.6000101183457186E-3</v>
      </c>
      <c r="H35" s="22">
        <f t="shared" si="7"/>
        <v>0.1388888888888889</v>
      </c>
      <c r="I35" s="22">
        <f t="shared" si="7"/>
        <v>0.17821762078765727</v>
      </c>
      <c r="J35" s="22">
        <f t="shared" si="7"/>
        <v>-0.2598719362832872</v>
      </c>
      <c r="K35" s="22">
        <f t="shared" si="7"/>
        <v>-0.46307708729672054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2025-03-17T13:47:04Z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