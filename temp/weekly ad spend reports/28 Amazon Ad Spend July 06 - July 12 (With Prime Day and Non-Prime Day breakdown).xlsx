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D2C126E-61EA-4759-A614-D833B155A324}" xr6:coauthVersionLast="47" xr6:coauthVersionMax="47" xr10:uidLastSave="{00000000-0000-0000-0000-000000000000}"/>
  <bookViews>
    <workbookView xWindow="2190" yWindow="990" windowWidth="24645" windowHeight="12855" activeTab="1" xr2:uid="{00000000-000D-0000-FFFF-FFFF00000000}"/>
  </bookViews>
  <sheets>
    <sheet name="Full Week" sheetId="2" r:id="rId1"/>
    <sheet name="Prime Day and Non-Prime Da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3" l="1"/>
  <c r="G24" i="3"/>
  <c r="G11" i="3" l="1"/>
  <c r="G10" i="3"/>
  <c r="G9" i="3"/>
  <c r="G8" i="3"/>
  <c r="G7" i="3"/>
  <c r="G6" i="3"/>
  <c r="G5" i="3"/>
  <c r="G4" i="3"/>
  <c r="G3" i="3"/>
  <c r="K38" i="3" l="1"/>
  <c r="G38" i="3"/>
  <c r="K24" i="3"/>
  <c r="K10" i="3"/>
  <c r="J40" i="3"/>
  <c r="I40" i="3"/>
  <c r="H40" i="3"/>
  <c r="F40" i="3"/>
  <c r="E40" i="3"/>
  <c r="D40" i="3"/>
  <c r="K39" i="3"/>
  <c r="G39" i="3"/>
  <c r="K37" i="3"/>
  <c r="G37" i="3"/>
  <c r="K36" i="3"/>
  <c r="G36" i="3"/>
  <c r="K35" i="3"/>
  <c r="G35" i="3"/>
  <c r="K34" i="3"/>
  <c r="G34" i="3"/>
  <c r="K33" i="3"/>
  <c r="G33" i="3"/>
  <c r="K32" i="3"/>
  <c r="G32" i="3"/>
  <c r="K31" i="3"/>
  <c r="G31" i="3"/>
  <c r="J26" i="3"/>
  <c r="I26" i="3"/>
  <c r="H26" i="3"/>
  <c r="F26" i="3"/>
  <c r="E26" i="3"/>
  <c r="D26" i="3"/>
  <c r="K25" i="3"/>
  <c r="G25" i="3"/>
  <c r="K23" i="3"/>
  <c r="K22" i="3"/>
  <c r="G22" i="3"/>
  <c r="K21" i="3"/>
  <c r="G21" i="3"/>
  <c r="K20" i="3"/>
  <c r="G20" i="3"/>
  <c r="K19" i="3"/>
  <c r="G19" i="3"/>
  <c r="K18" i="3"/>
  <c r="G18" i="3"/>
  <c r="K17" i="3"/>
  <c r="G17" i="3"/>
  <c r="J12" i="3"/>
  <c r="I12" i="3"/>
  <c r="H12" i="3"/>
  <c r="F12" i="3"/>
  <c r="E12" i="3"/>
  <c r="D12" i="3"/>
  <c r="K11" i="3"/>
  <c r="K9" i="3"/>
  <c r="K8" i="3"/>
  <c r="K7" i="3"/>
  <c r="K6" i="3"/>
  <c r="K5" i="3"/>
  <c r="K4" i="3"/>
  <c r="K3" i="3"/>
  <c r="K12" i="3" l="1"/>
  <c r="G26" i="3"/>
  <c r="G12" i="3"/>
  <c r="K26" i="3"/>
  <c r="K40" i="3"/>
  <c r="G40" i="3"/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18" i="2" l="1"/>
  <c r="G18" i="2"/>
  <c r="J33" i="2" l="1"/>
  <c r="I33" i="2"/>
  <c r="H33" i="2"/>
  <c r="F33" i="2"/>
  <c r="E33" i="2"/>
  <c r="D33" i="2"/>
  <c r="K21" i="2"/>
  <c r="K33" i="2" s="1"/>
  <c r="G21" i="2"/>
  <c r="G33" i="2" s="1"/>
  <c r="G19" i="2" l="1"/>
  <c r="G20" i="2"/>
  <c r="G22" i="2"/>
  <c r="G15" i="2" l="1"/>
  <c r="G16" i="2"/>
  <c r="G17" i="2"/>
  <c r="K22" i="2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J11" i="2" l="1"/>
  <c r="I11" i="2"/>
  <c r="H11" i="2"/>
  <c r="F11" i="2"/>
  <c r="E11" i="2"/>
  <c r="D11" i="2"/>
  <c r="K11" i="2" l="1"/>
  <c r="G11" i="2"/>
  <c r="H23" i="2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<sst xmlns="http://schemas.openxmlformats.org/spreadsheetml/2006/main" count="134" uniqueCount="25">
  <si>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</si>
  <si>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</si>
  <si>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</si>
  <si>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</si>
  <si>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</si>
  <si>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</si>
  <si>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</si>
  <si>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</si>
  <si>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</si>
  <si>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</si>
  <si>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</si>
  <si>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</si>
  <si>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</si>
  <si>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</si>
  <si>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</si>
  <si>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</si>
  <si>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</si>
  <si>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</si>
  <si>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</si>
  <si>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PRIME DAY</t>
  </si>
  <si>
    <t>NON-PRIME DAY</t>
  </si>
  <si>
    <t>FULL WEEK</t>
  </si>
  <si>
    <t>AromaTru</t>
  </si>
  <si>
    <t>7/06-7/07/2025</t>
  </si>
  <si>
    <t>7/8/2024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</si>
</sst>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  <xf numFmtId="164" fontId="0" fillId="0" borderId="0" xfId="0" applyNumberFormat="1"/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workbookViewId="0">
      <selection activeCell="A13" sqref="A13:K23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45480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45486</v>
      </c>
      <c r="B3" s="5" t="s">
        <v>8</v>
      </c>
      <c r="C3" s="17">
        <v>25</v>
      </c>
      <c r="D3" s="10">
        <v>0</v>
      </c>
      <c r="E3" s="7">
        <v>0</v>
      </c>
      <c r="F3" s="7">
        <v>31.88</v>
      </c>
      <c r="G3" s="7" t="e">
        <f t="shared" ref="G3:G10" si="0">F3/D3</f>
        <v>#DIV/0!</v>
      </c>
      <c r="H3" s="12">
        <v>0</v>
      </c>
      <c r="I3" s="9">
        <v>0</v>
      </c>
      <c r="J3" s="9">
        <v>106.46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42</v>
      </c>
      <c r="E4" s="7">
        <v>3127.65</v>
      </c>
      <c r="F4" s="7">
        <v>408.06</v>
      </c>
      <c r="G4" s="7">
        <f t="shared" si="0"/>
        <v>9.7157142857142862</v>
      </c>
      <c r="H4" s="11">
        <v>13</v>
      </c>
      <c r="I4" s="9">
        <v>869.35</v>
      </c>
      <c r="J4" s="9">
        <v>785.07999999999993</v>
      </c>
      <c r="K4" s="9">
        <f t="shared" si="1"/>
        <v>60.390769230769223</v>
      </c>
    </row>
    <row r="5" spans="1:11" x14ac:dyDescent="0.25">
      <c r="A5" s="23"/>
      <c r="B5" s="5" t="s">
        <v>10</v>
      </c>
      <c r="C5" s="17">
        <v>31</v>
      </c>
      <c r="D5" s="10">
        <v>24</v>
      </c>
      <c r="E5" s="7">
        <v>1318.8</v>
      </c>
      <c r="F5" s="7">
        <v>200.4</v>
      </c>
      <c r="G5" s="7">
        <f t="shared" si="0"/>
        <v>8.35</v>
      </c>
      <c r="H5" s="11">
        <v>20</v>
      </c>
      <c r="I5" s="9">
        <v>1034</v>
      </c>
      <c r="J5" s="9">
        <v>449.99</v>
      </c>
      <c r="K5" s="9">
        <f t="shared" si="1"/>
        <v>22.499500000000001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39</v>
      </c>
      <c r="E7" s="7">
        <v>3080.56</v>
      </c>
      <c r="F7" s="7">
        <v>676.31</v>
      </c>
      <c r="G7" s="7">
        <f t="shared" si="0"/>
        <v>17.34128205128205</v>
      </c>
      <c r="H7" s="11">
        <v>6</v>
      </c>
      <c r="I7" s="9">
        <v>369.7</v>
      </c>
      <c r="J7" s="9">
        <v>426.79</v>
      </c>
      <c r="K7" s="9">
        <f t="shared" si="1"/>
        <v>71.131666666666675</v>
      </c>
    </row>
    <row r="8" spans="1:11" x14ac:dyDescent="0.25">
      <c r="A8" s="23"/>
      <c r="B8" s="5" t="s">
        <v>13</v>
      </c>
      <c r="C8" s="17">
        <v>35</v>
      </c>
      <c r="D8" s="10">
        <v>88</v>
      </c>
      <c r="E8" s="7">
        <v>5711</v>
      </c>
      <c r="F8" s="7">
        <v>1441.38</v>
      </c>
      <c r="G8" s="7">
        <f t="shared" si="0"/>
        <v>16.379318181818181</v>
      </c>
      <c r="H8" s="12">
        <v>16</v>
      </c>
      <c r="I8" s="9">
        <v>1063.8499999999999</v>
      </c>
      <c r="J8" s="9">
        <v>912.65</v>
      </c>
      <c r="K8" s="9">
        <f t="shared" si="1"/>
        <v>57.040624999999999</v>
      </c>
    </row>
    <row r="9" spans="1:11" x14ac:dyDescent="0.25">
      <c r="A9" s="23"/>
      <c r="B9" s="5" t="s">
        <v>17</v>
      </c>
      <c r="C9" s="17">
        <v>35</v>
      </c>
      <c r="D9" s="10">
        <v>1</v>
      </c>
      <c r="E9" s="7">
        <v>78</v>
      </c>
      <c r="F9" s="7">
        <v>45.19</v>
      </c>
      <c r="G9" s="7">
        <f t="shared" si="0"/>
        <v>45.19</v>
      </c>
      <c r="H9" s="11">
        <v>1</v>
      </c>
      <c r="I9" s="9">
        <v>78</v>
      </c>
      <c r="J9" s="9">
        <v>187.88</v>
      </c>
      <c r="K9" s="9">
        <f t="shared" si="1"/>
        <v>187.88</v>
      </c>
    </row>
    <row r="10" spans="1:11" x14ac:dyDescent="0.25">
      <c r="A10" s="23"/>
      <c r="B10" s="5" t="s">
        <v>18</v>
      </c>
      <c r="C10" s="17">
        <v>35</v>
      </c>
      <c r="D10" s="10">
        <v>7</v>
      </c>
      <c r="E10" s="7">
        <v>384.65</v>
      </c>
      <c r="F10" s="7">
        <v>6.5</v>
      </c>
      <c r="G10" s="7">
        <f t="shared" si="0"/>
        <v>0.9285714285714286</v>
      </c>
      <c r="H10" s="11">
        <v>0</v>
      </c>
      <c r="I10" s="9">
        <v>0</v>
      </c>
      <c r="J10" s="9">
        <v>25.06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201</v>
      </c>
      <c r="E11" s="14">
        <f>SUM(E3:E10)</f>
        <v>13700.66</v>
      </c>
      <c r="F11" s="14">
        <f>SUM(F3:F10)</f>
        <v>2809.7200000000003</v>
      </c>
      <c r="G11" s="14">
        <f>F11/D11</f>
        <v>13.978706467661693</v>
      </c>
      <c r="H11" s="15">
        <f>SUM(H3:H10)</f>
        <v>56</v>
      </c>
      <c r="I11" s="16">
        <f>SUM(I3:I10)</f>
        <v>3414.8999999999996</v>
      </c>
      <c r="J11" s="16">
        <f>SUM(J3:J10)</f>
        <v>2893.91</v>
      </c>
      <c r="K11" s="16">
        <f t="shared" ref="K11" si="2">J11/H11</f>
        <v>51.676964285714284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45487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45493</v>
      </c>
      <c r="B15" s="5" t="s">
        <v>8</v>
      </c>
      <c r="C15" s="17">
        <v>25</v>
      </c>
      <c r="D15" s="10">
        <v>0</v>
      </c>
      <c r="E15" s="7">
        <v>0</v>
      </c>
      <c r="F15" s="7">
        <v>21.52</v>
      </c>
      <c r="G15" s="7" t="e">
        <f t="shared" ref="G15:G18" si="3">F15/D15</f>
        <v>#DIV/0!</v>
      </c>
      <c r="H15" s="12">
        <v>0</v>
      </c>
      <c r="I15" s="9">
        <v>0</v>
      </c>
      <c r="J15" s="9">
        <v>82.7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40</v>
      </c>
      <c r="E16" s="7">
        <v>2867.7</v>
      </c>
      <c r="F16" s="7">
        <v>546.5</v>
      </c>
      <c r="G16" s="7">
        <f t="shared" si="3"/>
        <v>13.6625</v>
      </c>
      <c r="H16" s="11">
        <v>25</v>
      </c>
      <c r="I16" s="9">
        <v>1718.7</v>
      </c>
      <c r="J16" s="9">
        <v>909.92</v>
      </c>
      <c r="K16" s="9">
        <f t="shared" si="4"/>
        <v>36.396799999999999</v>
      </c>
    </row>
    <row r="17" spans="1:11" x14ac:dyDescent="0.25">
      <c r="A17" s="23"/>
      <c r="B17" s="5" t="s">
        <v>10</v>
      </c>
      <c r="C17" s="17">
        <v>31</v>
      </c>
      <c r="D17" s="10">
        <v>20</v>
      </c>
      <c r="E17" s="7">
        <v>1238.9000000000001</v>
      </c>
      <c r="F17" s="7">
        <v>303.83</v>
      </c>
      <c r="G17" s="7">
        <f t="shared" si="3"/>
        <v>15.1915</v>
      </c>
      <c r="H17" s="11">
        <v>19</v>
      </c>
      <c r="I17" s="9">
        <v>939.05</v>
      </c>
      <c r="J17" s="9">
        <v>397.06</v>
      </c>
      <c r="K17" s="9">
        <f t="shared" si="4"/>
        <v>20.897894736842105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37</v>
      </c>
      <c r="E19" s="7">
        <v>2940.6</v>
      </c>
      <c r="F19" s="7">
        <v>633.97</v>
      </c>
      <c r="G19" s="7">
        <f t="shared" ref="G19:G22" si="5">F19/D19</f>
        <v>17.134324324324325</v>
      </c>
      <c r="H19" s="11">
        <v>7</v>
      </c>
      <c r="I19" s="9">
        <v>478.72</v>
      </c>
      <c r="J19" s="9">
        <v>361.77</v>
      </c>
      <c r="K19" s="9">
        <f t="shared" si="4"/>
        <v>51.681428571428569</v>
      </c>
    </row>
    <row r="20" spans="1:11" x14ac:dyDescent="0.25">
      <c r="A20" s="23"/>
      <c r="B20" s="5" t="s">
        <v>13</v>
      </c>
      <c r="C20" s="17">
        <v>35</v>
      </c>
      <c r="D20" s="10">
        <v>110</v>
      </c>
      <c r="E20" s="7">
        <v>7498</v>
      </c>
      <c r="F20" s="7">
        <v>1641.97</v>
      </c>
      <c r="G20" s="7">
        <f t="shared" si="5"/>
        <v>14.927</v>
      </c>
      <c r="H20" s="12">
        <v>20</v>
      </c>
      <c r="I20" s="9">
        <v>1227</v>
      </c>
      <c r="J20" s="9">
        <v>919.54</v>
      </c>
      <c r="K20" s="9">
        <f t="shared" si="4"/>
        <v>45.976999999999997</v>
      </c>
    </row>
    <row r="21" spans="1:11" x14ac:dyDescent="0.25">
      <c r="A21" s="23"/>
      <c r="B21" s="5" t="s">
        <v>17</v>
      </c>
      <c r="C21" s="17">
        <v>35</v>
      </c>
      <c r="D21" s="10">
        <v>3</v>
      </c>
      <c r="E21" s="7">
        <v>180</v>
      </c>
      <c r="F21" s="7">
        <v>21.2</v>
      </c>
      <c r="G21" s="7">
        <f t="shared" ref="G21" si="6">F21/D21</f>
        <v>7.0666666666666664</v>
      </c>
      <c r="H21" s="11">
        <v>1</v>
      </c>
      <c r="I21" s="9">
        <v>36</v>
      </c>
      <c r="J21" s="9">
        <v>155.76</v>
      </c>
      <c r="K21" s="9">
        <f t="shared" ref="K21" si="7">J21/H21</f>
        <v>155.76</v>
      </c>
    </row>
    <row r="22" spans="1:11" x14ac:dyDescent="0.25">
      <c r="A22" s="23"/>
      <c r="B22" s="5" t="s">
        <v>18</v>
      </c>
      <c r="C22" s="17">
        <v>35</v>
      </c>
      <c r="D22" s="10">
        <v>2</v>
      </c>
      <c r="E22" s="7">
        <v>109.9</v>
      </c>
      <c r="F22" s="7">
        <v>11.09</v>
      </c>
      <c r="G22" s="7">
        <f t="shared" si="5"/>
        <v>5.5449999999999999</v>
      </c>
      <c r="H22" s="11">
        <v>1</v>
      </c>
      <c r="I22" s="9">
        <v>54.95</v>
      </c>
      <c r="J22" s="9">
        <v>25.810000000000002</v>
      </c>
      <c r="K22" s="9">
        <f t="shared" si="4"/>
        <v>25.810000000000002</v>
      </c>
    </row>
    <row r="23" spans="1:11" x14ac:dyDescent="0.25">
      <c r="A23" s="23"/>
      <c r="B23" s="5" t="s">
        <v>14</v>
      </c>
      <c r="C23" s="5"/>
      <c r="D23" s="13">
        <f>SUM(D15:D22)</f>
        <v>212</v>
      </c>
      <c r="E23" s="14">
        <f>SUM(E15:E22)</f>
        <v>14835.1</v>
      </c>
      <c r="F23" s="14">
        <f>SUM(F15:F22)</f>
        <v>3180.08</v>
      </c>
      <c r="G23" s="14">
        <f>F23/D23</f>
        <v>15.000377358490566</v>
      </c>
      <c r="H23" s="15">
        <f>SUM(H15:H22)</f>
        <v>73</v>
      </c>
      <c r="I23" s="16">
        <f>SUM(I15:I22)</f>
        <v>4454.42</v>
      </c>
      <c r="J23" s="16">
        <f>SUM(J15:J22)</f>
        <v>2852.56</v>
      </c>
      <c r="K23" s="16">
        <f t="shared" ref="K23" si="8">J23/H23</f>
        <v>39.07616438356164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9">(D15-D3)/D15</f>
        <v>#DIV/0!</v>
      </c>
      <c r="E27" s="21" t="e">
        <f t="shared" si="9"/>
        <v>#DIV/0!</v>
      </c>
      <c r="F27" s="21">
        <f t="shared" si="9"/>
        <v>-0.48141263940520446</v>
      </c>
      <c r="G27" s="21" t="e">
        <f t="shared" si="9"/>
        <v>#DIV/0!</v>
      </c>
      <c r="H27" s="21" t="e">
        <f t="shared" si="9"/>
        <v>#DIV/0!</v>
      </c>
      <c r="I27" s="21" t="e">
        <f t="shared" si="9"/>
        <v>#DIV/0!</v>
      </c>
      <c r="J27" s="21">
        <f t="shared" si="9"/>
        <v>-0.28730350665054399</v>
      </c>
      <c r="K27" s="21" t="e">
        <f t="shared" si="9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9"/>
        <v>-0.05</v>
      </c>
      <c r="E28" s="21">
        <f t="shared" si="9"/>
        <v>-9.0647557275865778E-2</v>
      </c>
      <c r="F28" s="21">
        <f t="shared" si="9"/>
        <v>0.25332113449222321</v>
      </c>
      <c r="G28" s="21">
        <f t="shared" si="9"/>
        <v>0.28887727094497445</v>
      </c>
      <c r="H28" s="21">
        <f t="shared" si="9"/>
        <v>0.48</v>
      </c>
      <c r="I28" s="21">
        <f t="shared" si="9"/>
        <v>0.49418164892069588</v>
      </c>
      <c r="J28" s="21">
        <f t="shared" si="9"/>
        <v>0.13719887462634081</v>
      </c>
      <c r="K28" s="21">
        <f t="shared" si="9"/>
        <v>-0.65923293341088296</v>
      </c>
    </row>
    <row r="29" spans="1:11" x14ac:dyDescent="0.25">
      <c r="A29" s="23"/>
      <c r="B29" s="5" t="s">
        <v>10</v>
      </c>
      <c r="C29" s="17">
        <v>31</v>
      </c>
      <c r="D29" s="21">
        <f t="shared" si="9"/>
        <v>-0.2</v>
      </c>
      <c r="E29" s="21">
        <f t="shared" si="9"/>
        <v>-6.4492695132778957E-2</v>
      </c>
      <c r="F29" s="21">
        <f t="shared" si="9"/>
        <v>0.34042062995754202</v>
      </c>
      <c r="G29" s="21">
        <f t="shared" si="9"/>
        <v>0.45035052496461836</v>
      </c>
      <c r="H29" s="21">
        <f t="shared" si="9"/>
        <v>-5.2631578947368418E-2</v>
      </c>
      <c r="I29" s="21">
        <f t="shared" si="9"/>
        <v>-0.10111282679303557</v>
      </c>
      <c r="J29" s="21">
        <f t="shared" si="9"/>
        <v>-0.13330479020802902</v>
      </c>
      <c r="K29" s="21">
        <f t="shared" si="9"/>
        <v>-7.6639550697627651E-2</v>
      </c>
    </row>
    <row r="30" spans="1:11" x14ac:dyDescent="0.25">
      <c r="A30" s="23"/>
      <c r="B30" s="5" t="s">
        <v>11</v>
      </c>
      <c r="C30" s="17">
        <v>15</v>
      </c>
      <c r="D30" s="21" t="e">
        <f t="shared" si="9"/>
        <v>#DIV/0!</v>
      </c>
      <c r="E30" s="21" t="e">
        <f t="shared" si="9"/>
        <v>#DIV/0!</v>
      </c>
      <c r="F30" s="21" t="e">
        <f t="shared" si="9"/>
        <v>#DIV/0!</v>
      </c>
      <c r="G30" s="21" t="e">
        <f t="shared" si="9"/>
        <v>#DIV/0!</v>
      </c>
      <c r="H30" s="21" t="e">
        <f t="shared" si="9"/>
        <v>#DIV/0!</v>
      </c>
      <c r="I30" s="21" t="e">
        <f t="shared" si="9"/>
        <v>#DIV/0!</v>
      </c>
      <c r="J30" s="21" t="e">
        <f t="shared" si="9"/>
        <v>#DIV/0!</v>
      </c>
      <c r="K30" s="21" t="e">
        <f t="shared" si="9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9"/>
        <v>-5.4054054054054057E-2</v>
      </c>
      <c r="E31" s="21">
        <f t="shared" si="9"/>
        <v>-4.7595728762837533E-2</v>
      </c>
      <c r="F31" s="21">
        <f t="shared" si="9"/>
        <v>-6.6785494581762417E-2</v>
      </c>
      <c r="G31" s="21">
        <f t="shared" si="9"/>
        <v>-1.2078546141672053E-2</v>
      </c>
      <c r="H31" s="21">
        <f t="shared" si="9"/>
        <v>0.14285714285714285</v>
      </c>
      <c r="I31" s="21">
        <f t="shared" si="9"/>
        <v>0.22773228609625676</v>
      </c>
      <c r="J31" s="21">
        <f t="shared" si="9"/>
        <v>-0.17972745114299152</v>
      </c>
      <c r="K31" s="21">
        <f t="shared" si="9"/>
        <v>-0.37634869300015689</v>
      </c>
    </row>
    <row r="32" spans="1:11" x14ac:dyDescent="0.25">
      <c r="A32" s="23"/>
      <c r="B32" s="5" t="s">
        <v>13</v>
      </c>
      <c r="C32" s="17">
        <v>35</v>
      </c>
      <c r="D32" s="21">
        <f t="shared" si="9"/>
        <v>0.2</v>
      </c>
      <c r="E32" s="21">
        <f t="shared" si="9"/>
        <v>0.23833022139237131</v>
      </c>
      <c r="F32" s="21">
        <f t="shared" si="9"/>
        <v>0.12216422955352407</v>
      </c>
      <c r="G32" s="21">
        <f t="shared" si="9"/>
        <v>-9.7294713058094853E-2</v>
      </c>
      <c r="H32" s="21">
        <f t="shared" si="9"/>
        <v>0.2</v>
      </c>
      <c r="I32" s="21">
        <f t="shared" si="9"/>
        <v>0.13296658516707424</v>
      </c>
      <c r="J32" s="21">
        <f t="shared" si="9"/>
        <v>7.4928768732192034E-3</v>
      </c>
      <c r="K32" s="21">
        <f t="shared" si="9"/>
        <v>-0.24063390390847603</v>
      </c>
    </row>
    <row r="33" spans="1:11" x14ac:dyDescent="0.25">
      <c r="A33" s="23"/>
      <c r="B33" s="5" t="s">
        <v>17</v>
      </c>
      <c r="C33" s="17">
        <v>35</v>
      </c>
      <c r="D33" s="21">
        <f t="shared" si="9"/>
        <v>0.66666666666666663</v>
      </c>
      <c r="E33" s="21">
        <f t="shared" si="9"/>
        <v>0.56666666666666665</v>
      </c>
      <c r="F33" s="21">
        <f t="shared" si="9"/>
        <v>-1.1316037735849056</v>
      </c>
      <c r="G33" s="21">
        <f t="shared" si="9"/>
        <v>-5.3948113207547177</v>
      </c>
      <c r="H33" s="21">
        <f t="shared" si="9"/>
        <v>0</v>
      </c>
      <c r="I33" s="21">
        <f t="shared" si="9"/>
        <v>-1.1666666666666667</v>
      </c>
      <c r="J33" s="21">
        <f t="shared" si="9"/>
        <v>-0.20621468926553677</v>
      </c>
      <c r="K33" s="21">
        <f t="shared" si="9"/>
        <v>-0.20621468926553677</v>
      </c>
    </row>
    <row r="34" spans="1:11" x14ac:dyDescent="0.25">
      <c r="A34" s="23"/>
      <c r="B34" s="5" t="s">
        <v>18</v>
      </c>
      <c r="C34" s="17">
        <v>35</v>
      </c>
      <c r="D34" s="21">
        <f t="shared" si="9"/>
        <v>-2.5</v>
      </c>
      <c r="E34" s="21">
        <f t="shared" si="9"/>
        <v>-2.5</v>
      </c>
      <c r="F34" s="21">
        <f t="shared" si="9"/>
        <v>0.41388638412984669</v>
      </c>
      <c r="G34" s="21">
        <f t="shared" si="9"/>
        <v>0.83253896689424189</v>
      </c>
      <c r="H34" s="21">
        <f t="shared" si="9"/>
        <v>1</v>
      </c>
      <c r="I34" s="21">
        <f t="shared" si="9"/>
        <v>1</v>
      </c>
      <c r="J34" s="21">
        <f t="shared" si="9"/>
        <v>2.9058504455637485E-2</v>
      </c>
      <c r="K34" s="21" t="e">
        <f t="shared" si="9"/>
        <v>#DIV/0!</v>
      </c>
    </row>
    <row r="35" spans="1:11" x14ac:dyDescent="0.25">
      <c r="A35" s="23"/>
      <c r="B35" s="5" t="s">
        <v>14</v>
      </c>
      <c r="C35" s="5"/>
      <c r="D35" s="22">
        <f t="shared" si="9"/>
        <v>5.1886792452830191E-2</v>
      </c>
      <c r="E35" s="22">
        <f t="shared" si="9"/>
        <v>7.6469993461452931E-2</v>
      </c>
      <c r="F35" s="22">
        <f t="shared" si="9"/>
        <v>0.11646247893134754</v>
      </c>
      <c r="G35" s="22">
        <f t="shared" si="9"/>
        <v>6.8109679270873982E-2</v>
      </c>
      <c r="H35" s="22">
        <f t="shared" si="9"/>
        <v>0.23287671232876711</v>
      </c>
      <c r="I35" s="22">
        <f t="shared" si="9"/>
        <v>0.23336820506373454</v>
      </c>
      <c r="J35" s="22">
        <f t="shared" si="9"/>
        <v>-1.4495751184900549E-2</v>
      </c>
      <c r="K35" s="22">
        <f t="shared" si="9"/>
        <v>-0.3224676756517455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6F23-EAD0-4BA5-B6F9-345E5D195C92}">
  <dimension ref="A1:T40"/>
  <sheetViews>
    <sheetView tabSelected="1" topLeftCell="A4" workbookViewId="0">
      <selection activeCell="H17" sqref="H17:J17"/>
    </sheetView>
  </sheetViews>
  <sheetFormatPr defaultRowHeight="15" x14ac:dyDescent="0.25"/>
  <cols>
    <col min="1" max="1" width="23.28515625" customWidth="1"/>
    <col min="2" max="2" width="25.140625" customWidth="1"/>
    <col min="3" max="3" width="10.7109375" customWidth="1"/>
    <col min="5" max="5" width="16" customWidth="1"/>
  </cols>
  <sheetData>
    <row r="1" spans="1:11" x14ac:dyDescent="0.25">
      <c r="A1" s="25" t="s">
        <v>21</v>
      </c>
      <c r="B1" s="24"/>
      <c r="C1" s="24"/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45844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45850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42</v>
      </c>
      <c r="E4" s="7">
        <v>2987.6</v>
      </c>
      <c r="F4" s="7">
        <v>756.92</v>
      </c>
      <c r="G4" s="7">
        <f t="shared" si="0"/>
        <v>18.021904761904761</v>
      </c>
      <c r="H4" s="11">
        <v>10</v>
      </c>
      <c r="I4" s="9">
        <v>709.45</v>
      </c>
      <c r="J4" s="9">
        <v>547.69000000000005</v>
      </c>
      <c r="K4" s="9">
        <f t="shared" si="1"/>
        <v>54.769000000000005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12</v>
      </c>
      <c r="I5" s="9">
        <v>838.8</v>
      </c>
      <c r="J5" s="9">
        <v>130.36000000000001</v>
      </c>
      <c r="K5" s="9">
        <f t="shared" si="1"/>
        <v>10.863333333333335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50</v>
      </c>
      <c r="E7" s="29">
        <v>3367.25</v>
      </c>
      <c r="F7" s="29">
        <v>897.86</v>
      </c>
      <c r="G7" s="7">
        <f t="shared" si="0"/>
        <v>17.9572</v>
      </c>
      <c r="H7" s="11">
        <v>12</v>
      </c>
      <c r="I7" s="9">
        <v>839.4</v>
      </c>
      <c r="J7" s="9">
        <v>716.24</v>
      </c>
      <c r="K7" s="9">
        <f t="shared" si="1"/>
        <v>59.686666666666667</v>
      </c>
    </row>
    <row r="8" spans="1:11" x14ac:dyDescent="0.25">
      <c r="A8" s="23"/>
      <c r="B8" s="5" t="s">
        <v>13</v>
      </c>
      <c r="C8" s="17">
        <v>35</v>
      </c>
      <c r="D8" s="10">
        <v>140</v>
      </c>
      <c r="E8" s="7">
        <v>9791.25</v>
      </c>
      <c r="F8" s="7">
        <v>3154.91</v>
      </c>
      <c r="G8" s="7">
        <f t="shared" si="0"/>
        <v>22.535071428571428</v>
      </c>
      <c r="H8" s="12">
        <v>24</v>
      </c>
      <c r="I8" s="9">
        <v>1588.9</v>
      </c>
      <c r="J8" s="9">
        <v>1455.7</v>
      </c>
      <c r="K8" s="9">
        <f t="shared" si="1"/>
        <v>60.654166666666669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9">
        <v>0</v>
      </c>
      <c r="F9" s="30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ref="K10" si="2">J10/H10</f>
        <v>#DIV/0!</v>
      </c>
    </row>
    <row r="11" spans="1:11" x14ac:dyDescent="0.25">
      <c r="A11" s="23"/>
      <c r="B11" s="5" t="s">
        <v>22</v>
      </c>
      <c r="C11" s="17">
        <v>35</v>
      </c>
      <c r="D11" s="10">
        <v>11</v>
      </c>
      <c r="E11" s="7">
        <v>491</v>
      </c>
      <c r="F11" s="7">
        <v>71.510000000000005</v>
      </c>
      <c r="G11" s="7">
        <f t="shared" si="0"/>
        <v>6.500909090909091</v>
      </c>
      <c r="H11" s="11">
        <v>0</v>
      </c>
      <c r="I11" s="9">
        <v>0</v>
      </c>
      <c r="J11" s="9">
        <v>159.24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243</v>
      </c>
      <c r="E12" s="14">
        <f>SUM(E3:E11)</f>
        <v>16637.099999999999</v>
      </c>
      <c r="F12" s="14">
        <f>SUM(F3:F11)</f>
        <v>4881.2</v>
      </c>
      <c r="G12" s="14">
        <f>F12/D12</f>
        <v>20.087242798353909</v>
      </c>
      <c r="H12" s="15">
        <f>SUM(H3:H11)</f>
        <v>58</v>
      </c>
      <c r="I12" s="16">
        <f>SUM(I3:I11)</f>
        <v>3976.55</v>
      </c>
      <c r="J12" s="16">
        <f>SUM(J3:J11)</f>
        <v>3009.2299999999996</v>
      </c>
      <c r="K12" s="16">
        <f t="shared" si="1"/>
        <v>51.883275862068956</v>
      </c>
    </row>
    <row r="15" spans="1:11" x14ac:dyDescent="0.25">
      <c r="A15" s="25" t="s">
        <v>20</v>
      </c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 t="s">
        <v>23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20" x14ac:dyDescent="0.25">
      <c r="A17" s="26">
        <v>45850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5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20" x14ac:dyDescent="0.25">
      <c r="A18" s="23"/>
      <c r="B18" s="5" t="s">
        <v>9</v>
      </c>
      <c r="C18" s="17">
        <v>50</v>
      </c>
      <c r="D18" s="10">
        <v>13</v>
      </c>
      <c r="E18" s="7">
        <v>819.35</v>
      </c>
      <c r="F18" s="7">
        <v>265.92</v>
      </c>
      <c r="G18" s="7">
        <f t="shared" si="3"/>
        <v>20.455384615384617</v>
      </c>
      <c r="H18" s="11">
        <v>4</v>
      </c>
      <c r="I18" s="9">
        <v>239.8</v>
      </c>
      <c r="J18" s="9">
        <v>193.35000000000002</v>
      </c>
      <c r="K18" s="9">
        <f t="shared" si="4"/>
        <v>48.337500000000006</v>
      </c>
    </row>
    <row r="19" spans="1:20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5</v>
      </c>
      <c r="I19" s="9">
        <v>279.60000000000002</v>
      </c>
      <c r="J19" s="9">
        <v>55.47</v>
      </c>
      <c r="K19" s="9">
        <f t="shared" si="4"/>
        <v>11.093999999999999</v>
      </c>
    </row>
    <row r="20" spans="1:20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20" x14ac:dyDescent="0.25">
      <c r="A21" s="23"/>
      <c r="B21" s="5" t="s">
        <v>12</v>
      </c>
      <c r="C21" s="17">
        <v>42</v>
      </c>
      <c r="D21" s="10">
        <v>24</v>
      </c>
      <c r="E21" s="7">
        <v>1658.6499999999999</v>
      </c>
      <c r="F21" s="7">
        <v>400.97</v>
      </c>
      <c r="G21" s="7">
        <f t="shared" si="3"/>
        <v>16.707083333333333</v>
      </c>
      <c r="H21" s="11">
        <v>7</v>
      </c>
      <c r="I21" s="9">
        <v>419.75</v>
      </c>
      <c r="J21" s="9">
        <v>298.75</v>
      </c>
      <c r="K21" s="9">
        <f t="shared" si="4"/>
        <v>42.678571428571431</v>
      </c>
    </row>
    <row r="22" spans="1:20" x14ac:dyDescent="0.25">
      <c r="A22" s="23"/>
      <c r="B22" s="5" t="s">
        <v>13</v>
      </c>
      <c r="C22" s="17">
        <v>35</v>
      </c>
      <c r="D22" s="10">
        <v>65</v>
      </c>
      <c r="E22" s="7">
        <v>4354.6499999999996</v>
      </c>
      <c r="F22" s="7">
        <v>1476.79</v>
      </c>
      <c r="G22" s="7">
        <f t="shared" si="3"/>
        <v>22.719846153846152</v>
      </c>
      <c r="H22" s="12">
        <v>15</v>
      </c>
      <c r="I22" s="9">
        <v>1081.9000000000001</v>
      </c>
      <c r="J22" s="9">
        <v>646.91999999999996</v>
      </c>
      <c r="K22" s="9">
        <f t="shared" si="4"/>
        <v>43.128</v>
      </c>
    </row>
    <row r="23" spans="1:20" x14ac:dyDescent="0.25">
      <c r="A23" s="23"/>
      <c r="B23" s="5" t="s">
        <v>17</v>
      </c>
      <c r="C23" s="17">
        <v>35</v>
      </c>
      <c r="D23" s="10">
        <v>0</v>
      </c>
      <c r="E23" s="7">
        <v>0</v>
      </c>
      <c r="F23" s="7">
        <v>0</v>
      </c>
      <c r="G23" s="7" t="e">
        <f t="shared" ref="G23" si="5">F23/D23</f>
        <v>#DIV/0!</v>
      </c>
      <c r="H23" s="11">
        <v>0</v>
      </c>
      <c r="I23" s="9">
        <v>0</v>
      </c>
      <c r="J23" s="9">
        <v>0</v>
      </c>
      <c r="K23" s="9" t="e">
        <f t="shared" si="4"/>
        <v>#DIV/0!</v>
      </c>
    </row>
    <row r="24" spans="1:20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" si="6">F24/D24</f>
        <v>#DIV/0!</v>
      </c>
      <c r="H24" s="11">
        <v>0</v>
      </c>
      <c r="I24" s="9">
        <v>0</v>
      </c>
      <c r="J24" s="9">
        <v>0</v>
      </c>
      <c r="K24" s="9" t="e">
        <f t="shared" ref="K24" si="7">J24/H24</f>
        <v>#DIV/0!</v>
      </c>
    </row>
    <row r="25" spans="1:20" x14ac:dyDescent="0.25">
      <c r="A25" s="23"/>
      <c r="B25" s="5" t="s">
        <v>22</v>
      </c>
      <c r="C25" s="17">
        <v>35</v>
      </c>
      <c r="D25" s="10">
        <v>4</v>
      </c>
      <c r="E25" s="7">
        <v>208.5</v>
      </c>
      <c r="F25" s="7">
        <v>17.25</v>
      </c>
      <c r="G25" s="7">
        <f t="shared" si="3"/>
        <v>4.3125</v>
      </c>
      <c r="H25" s="11">
        <v>0</v>
      </c>
      <c r="I25" s="9">
        <v>0</v>
      </c>
      <c r="J25" s="9">
        <v>92.039999999999992</v>
      </c>
      <c r="K25" s="9" t="e">
        <f t="shared" si="4"/>
        <v>#DIV/0!</v>
      </c>
    </row>
    <row r="26" spans="1:20" x14ac:dyDescent="0.25">
      <c r="A26" s="23"/>
      <c r="B26" s="5" t="s">
        <v>14</v>
      </c>
      <c r="C26" s="5"/>
      <c r="D26" s="13">
        <f>SUM(D17:D25)</f>
        <v>106</v>
      </c>
      <c r="E26" s="14">
        <f>SUM(E17:E25)</f>
        <v>7041.15</v>
      </c>
      <c r="F26" s="14">
        <f>SUM(F17:F25)</f>
        <v>2160.9300000000003</v>
      </c>
      <c r="G26" s="14">
        <f>F26/D26</f>
        <v>20.3861320754717</v>
      </c>
      <c r="H26" s="15">
        <f>SUM(H17:H25)</f>
        <v>31</v>
      </c>
      <c r="I26" s="16">
        <f>SUM(I17:I25)</f>
        <v>2021.0500000000002</v>
      </c>
      <c r="J26" s="16">
        <f>SUM(J17:J25)</f>
        <v>1286.53</v>
      </c>
      <c r="K26" s="16">
        <f t="shared" si="4"/>
        <v>41.500967741935483</v>
      </c>
      <c r="M26" s="27"/>
      <c r="N26" s="28"/>
      <c r="O26" s="28"/>
      <c r="Q26" s="27"/>
      <c r="R26" s="28"/>
      <c r="S26" s="28"/>
      <c r="T26" s="28"/>
    </row>
    <row r="29" spans="1:20" x14ac:dyDescent="0.25">
      <c r="A29" s="25" t="s">
        <v>19</v>
      </c>
      <c r="B29" s="24"/>
      <c r="C29" s="24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20" x14ac:dyDescent="0.25">
      <c r="A30" s="26" t="s">
        <v>24</v>
      </c>
      <c r="B30" s="5" t="s">
        <v>2</v>
      </c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20" x14ac:dyDescent="0.25">
      <c r="A31" s="26">
        <v>45484</v>
      </c>
      <c r="B31" s="5" t="s">
        <v>8</v>
      </c>
      <c r="C31" s="17">
        <v>25</v>
      </c>
      <c r="D31" s="10">
        <v>0</v>
      </c>
      <c r="E31" s="7">
        <v>0</v>
      </c>
      <c r="F31" s="7">
        <v>0</v>
      </c>
      <c r="G31" s="7" t="e">
        <f t="shared" ref="G31:G39" si="8">F31/D31</f>
        <v>#DIV/0!</v>
      </c>
      <c r="H31" s="12">
        <v>0</v>
      </c>
      <c r="I31" s="9">
        <v>0</v>
      </c>
      <c r="J31" s="9">
        <v>0</v>
      </c>
      <c r="K31" s="9" t="e">
        <f t="shared" ref="K31:K40" si="9">J31/H31</f>
        <v>#DIV/0!</v>
      </c>
    </row>
    <row r="32" spans="1:20" x14ac:dyDescent="0.25">
      <c r="A32" s="23"/>
      <c r="B32" s="5" t="s">
        <v>9</v>
      </c>
      <c r="C32" s="17">
        <v>50</v>
      </c>
      <c r="D32" s="10">
        <v>29</v>
      </c>
      <c r="E32" s="7">
        <v>2168.25</v>
      </c>
      <c r="F32" s="7">
        <v>491</v>
      </c>
      <c r="G32" s="7">
        <f t="shared" si="8"/>
        <v>16.931034482758619</v>
      </c>
      <c r="H32" s="11">
        <v>6</v>
      </c>
      <c r="I32" s="9">
        <v>469.65</v>
      </c>
      <c r="J32" s="9">
        <v>354.34</v>
      </c>
      <c r="K32" s="9">
        <f t="shared" si="9"/>
        <v>59.056666666666665</v>
      </c>
    </row>
    <row r="33" spans="1:11" x14ac:dyDescent="0.25">
      <c r="A33" s="23"/>
      <c r="B33" s="5" t="s">
        <v>10</v>
      </c>
      <c r="C33" s="17">
        <v>31</v>
      </c>
      <c r="D33" s="10">
        <v>0</v>
      </c>
      <c r="E33" s="7">
        <v>0</v>
      </c>
      <c r="F33" s="7">
        <v>0</v>
      </c>
      <c r="G33" s="7" t="e">
        <f t="shared" si="8"/>
        <v>#DIV/0!</v>
      </c>
      <c r="H33" s="11">
        <v>7</v>
      </c>
      <c r="I33" s="9">
        <v>559.20000000000005</v>
      </c>
      <c r="J33" s="9">
        <v>74.89</v>
      </c>
      <c r="K33" s="9">
        <f t="shared" si="9"/>
        <v>10.698571428571428</v>
      </c>
    </row>
    <row r="34" spans="1:11" x14ac:dyDescent="0.25">
      <c r="A34" s="23"/>
      <c r="B34" s="5" t="s">
        <v>11</v>
      </c>
      <c r="C34" s="17">
        <v>15</v>
      </c>
      <c r="D34" s="10">
        <v>0</v>
      </c>
      <c r="E34" s="7">
        <v>0</v>
      </c>
      <c r="F34" s="7">
        <v>0</v>
      </c>
      <c r="G34" s="7" t="e">
        <f t="shared" si="8"/>
        <v>#DIV/0!</v>
      </c>
      <c r="H34" s="11">
        <v>0</v>
      </c>
      <c r="I34" s="9">
        <v>0</v>
      </c>
      <c r="J34" s="9">
        <v>0</v>
      </c>
      <c r="K34" s="9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10">
        <v>26</v>
      </c>
      <c r="E35" s="7">
        <v>1708.6</v>
      </c>
      <c r="F35" s="7">
        <v>496.89</v>
      </c>
      <c r="G35" s="7">
        <f t="shared" si="8"/>
        <v>19.111153846153847</v>
      </c>
      <c r="H35" s="11">
        <v>5</v>
      </c>
      <c r="I35" s="9">
        <v>419.65</v>
      </c>
      <c r="J35" s="9">
        <v>417.49</v>
      </c>
      <c r="K35" s="9">
        <f t="shared" si="9"/>
        <v>83.498000000000005</v>
      </c>
    </row>
    <row r="36" spans="1:11" x14ac:dyDescent="0.25">
      <c r="A36" s="23"/>
      <c r="B36" s="5" t="s">
        <v>13</v>
      </c>
      <c r="C36" s="17">
        <v>35</v>
      </c>
      <c r="D36" s="10">
        <v>75</v>
      </c>
      <c r="E36" s="7">
        <v>5436.6</v>
      </c>
      <c r="F36" s="7">
        <v>1678.1200000000001</v>
      </c>
      <c r="G36" s="7">
        <f t="shared" si="8"/>
        <v>22.374933333333335</v>
      </c>
      <c r="H36" s="12">
        <v>9</v>
      </c>
      <c r="I36" s="9">
        <v>507</v>
      </c>
      <c r="J36" s="9">
        <v>808.78</v>
      </c>
      <c r="K36" s="9">
        <f t="shared" si="9"/>
        <v>89.864444444444445</v>
      </c>
    </row>
    <row r="37" spans="1:11" x14ac:dyDescent="0.25">
      <c r="A37" s="23"/>
      <c r="B37" s="5" t="s">
        <v>17</v>
      </c>
      <c r="C37" s="17">
        <v>35</v>
      </c>
      <c r="D37" s="10">
        <v>0</v>
      </c>
      <c r="E37" s="7">
        <v>0</v>
      </c>
      <c r="F37" s="7">
        <v>0</v>
      </c>
      <c r="G37" s="7" t="e">
        <f t="shared" si="8"/>
        <v>#DIV/0!</v>
      </c>
      <c r="H37" s="11">
        <v>0</v>
      </c>
      <c r="I37" s="9">
        <v>0</v>
      </c>
      <c r="J37" s="9">
        <v>0</v>
      </c>
      <c r="K37" s="9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10">
        <v>0</v>
      </c>
      <c r="E38" s="7">
        <v>0</v>
      </c>
      <c r="F38" s="7">
        <v>0</v>
      </c>
      <c r="G38" s="7" t="e">
        <f t="shared" ref="G38" si="10">F38/D38</f>
        <v>#DIV/0!</v>
      </c>
      <c r="H38" s="11">
        <v>0</v>
      </c>
      <c r="I38" s="9">
        <v>0</v>
      </c>
      <c r="J38" s="9">
        <v>0</v>
      </c>
      <c r="K38" s="9" t="e">
        <f t="shared" ref="K38" si="11">J38/H38</f>
        <v>#DIV/0!</v>
      </c>
    </row>
    <row r="39" spans="1:11" x14ac:dyDescent="0.25">
      <c r="A39" s="23"/>
      <c r="B39" s="5" t="s">
        <v>22</v>
      </c>
      <c r="C39" s="17">
        <v>35</v>
      </c>
      <c r="D39" s="10">
        <v>7</v>
      </c>
      <c r="E39" s="7">
        <v>282.5</v>
      </c>
      <c r="F39" s="7">
        <v>54.26</v>
      </c>
      <c r="G39" s="7">
        <f t="shared" si="8"/>
        <v>7.7514285714285709</v>
      </c>
      <c r="H39" s="11">
        <v>0</v>
      </c>
      <c r="I39" s="9">
        <v>0</v>
      </c>
      <c r="J39" s="9">
        <v>67.2</v>
      </c>
      <c r="K39" s="9" t="e">
        <f t="shared" si="9"/>
        <v>#DIV/0!</v>
      </c>
    </row>
    <row r="40" spans="1:11" x14ac:dyDescent="0.25">
      <c r="A40" s="23"/>
      <c r="B40" s="5" t="s">
        <v>14</v>
      </c>
      <c r="C40" s="5"/>
      <c r="D40" s="13">
        <f>SUM(D31:D39)</f>
        <v>137</v>
      </c>
      <c r="E40" s="14">
        <f>SUM(E31:E39)</f>
        <v>9595.9500000000007</v>
      </c>
      <c r="F40" s="14">
        <f>SUM(F31:F39)</f>
        <v>2720.2700000000004</v>
      </c>
      <c r="G40" s="14">
        <f>F40/D40</f>
        <v>19.855985401459858</v>
      </c>
      <c r="H40" s="15">
        <f>SUM(H31:H39)</f>
        <v>27</v>
      </c>
      <c r="I40" s="16">
        <f>SUM(I31:I39)</f>
        <v>1955.5</v>
      </c>
      <c r="J40" s="16">
        <f>SUM(J31:J39)</f>
        <v>1722.7</v>
      </c>
      <c r="K40" s="16">
        <f t="shared" si="9"/>
        <v>63.803703703703704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Week</vt:lpstr>
      <vt:lpstr>Prime Day and Non-Prime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2025-07-14T14:42:53Z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