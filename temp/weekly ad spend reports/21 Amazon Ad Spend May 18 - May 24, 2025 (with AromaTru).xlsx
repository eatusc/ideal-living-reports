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84CCC116-6DE6-4529-AB64-798A18FF2216}" xr6:coauthVersionLast="47" xr6:coauthVersionMax="47" xr10:uidLastSave="{00000000-0000-0000-0000-000000000000}"/>
  <bookViews>
    <workbookView xWindow="1170" yWindow="1170" windowWidth="20100" windowHeight="12855" xr2:uid="{00000000-000D-0000-FFFF-FFFF0000000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2" l="1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K23" i="2"/>
  <c r="G23" i="2"/>
  <c r="J12" i="2" l="1"/>
  <c r="I12" i="2"/>
  <c r="H12" i="2"/>
  <c r="F12" i="2"/>
  <c r="E12" i="2"/>
  <c r="D12" i="2"/>
  <c r="G24" i="2"/>
  <c r="G22" i="2"/>
  <c r="G21" i="2"/>
  <c r="G20" i="2"/>
  <c r="G18" i="2"/>
  <c r="G17" i="2"/>
  <c r="G16" i="2"/>
  <c r="K12" i="2" l="1"/>
  <c r="G12" i="2"/>
  <c r="G19" i="2"/>
  <c r="K19" i="2" l="1"/>
  <c r="J35" i="2" l="1"/>
  <c r="I35" i="2"/>
  <c r="H35" i="2"/>
  <c r="F35" i="2"/>
  <c r="E35" i="2"/>
  <c r="D35" i="2"/>
  <c r="K22" i="2"/>
  <c r="K35" i="2" s="1"/>
  <c r="G35" i="2"/>
  <c r="K24" i="2" l="1"/>
  <c r="K21" i="2"/>
  <c r="K20" i="2"/>
  <c r="K18" i="2"/>
  <c r="K17" i="2"/>
  <c r="K16" i="2"/>
  <c r="J34" i="2" l="1"/>
  <c r="I34" i="2"/>
  <c r="H34" i="2"/>
  <c r="F34" i="2"/>
  <c r="E34" i="2"/>
  <c r="D34" i="2"/>
  <c r="K34" i="2" l="1"/>
  <c r="G34" i="2"/>
  <c r="H25" i="2" l="1"/>
  <c r="J36" i="2" l="1"/>
  <c r="I36" i="2"/>
  <c r="H36" i="2"/>
  <c r="F36" i="2"/>
  <c r="E36" i="2"/>
  <c r="D36" i="2"/>
  <c r="J33" i="2"/>
  <c r="I33" i="2"/>
  <c r="H33" i="2"/>
  <c r="F33" i="2"/>
  <c r="E33" i="2"/>
  <c r="D33" i="2"/>
  <c r="J32" i="2"/>
  <c r="I32" i="2"/>
  <c r="H32" i="2"/>
  <c r="F32" i="2"/>
  <c r="E32" i="2"/>
  <c r="D32" i="2"/>
  <c r="J31" i="2"/>
  <c r="I31" i="2"/>
  <c r="H31" i="2"/>
  <c r="F31" i="2"/>
  <c r="E31" i="2"/>
  <c r="D31" i="2"/>
  <c r="J30" i="2"/>
  <c r="I30" i="2"/>
  <c r="H30" i="2"/>
  <c r="F30" i="2"/>
  <c r="E30" i="2"/>
  <c r="D30" i="2"/>
  <c r="J29" i="2"/>
  <c r="I29" i="2"/>
  <c r="H29" i="2"/>
  <c r="F29" i="2"/>
  <c r="E29" i="2"/>
  <c r="D29" i="2"/>
  <c r="J25" i="2"/>
  <c r="I25" i="2"/>
  <c r="H37" i="2"/>
  <c r="F25" i="2"/>
  <c r="E25" i="2"/>
  <c r="D25" i="2"/>
  <c r="G31" i="2"/>
  <c r="G29" i="2"/>
  <c r="E37" i="2" l="1"/>
  <c r="D37" i="2"/>
  <c r="G36" i="2"/>
  <c r="G30" i="2"/>
  <c r="K29" i="2"/>
  <c r="G33" i="2"/>
  <c r="K33" i="2"/>
  <c r="K30" i="2"/>
  <c r="K36" i="2"/>
  <c r="G25" i="2"/>
  <c r="I37" i="2"/>
  <c r="K31" i="2"/>
  <c r="J37" i="2"/>
  <c r="G32" i="2"/>
  <c r="K32" i="2"/>
  <c r="K25" i="2"/>
  <c r="F37" i="2"/>
  <c r="K37" i="2" l="1"/>
  <c r="G37" i="2"/>
</calcChain>
</file>

<file path=xl/sharedStrings.xml><?xml version="1.0" encoding="utf-8"?>
<sst xmlns="http://schemas.openxmlformats.org/spreadsheetml/2006/main" count="65" uniqueCount="20">
  <si>
    <t>Brand</t>
  </si>
  <si>
    <t xml:space="preserve">Non-Brand </t>
  </si>
  <si>
    <t xml:space="preserve">Product </t>
  </si>
  <si>
    <t>Units Sold</t>
  </si>
  <si>
    <t>Revenue</t>
  </si>
  <si>
    <t>Ad Expenses</t>
  </si>
  <si>
    <t>CPO</t>
  </si>
  <si>
    <t>Unit Sold</t>
  </si>
  <si>
    <t>BeFlexible</t>
  </si>
  <si>
    <t xml:space="preserve">Better Bladder </t>
  </si>
  <si>
    <t>GASF</t>
  </si>
  <si>
    <t>GASF Bars</t>
  </si>
  <si>
    <t xml:space="preserve">Ideal Prostate </t>
  </si>
  <si>
    <t>Prosvent</t>
  </si>
  <si>
    <t xml:space="preserve">Total </t>
  </si>
  <si>
    <t>Breakeven</t>
  </si>
  <si>
    <t>WoW</t>
  </si>
  <si>
    <t>Cebria</t>
  </si>
  <si>
    <t>Profemin</t>
  </si>
  <si>
    <t>AromaTru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</si>
</sst>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&quot;$&quot;#,##0"/>
    <numFmt numFmtId="166" formatCode="m/d/yyyy;@"/>
    <numFmt numFmtId="167" formatCode="[$$-409]#,##0.00"/>
    <numFmt numFmtId="168" formatCode="[$$-540A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164" fontId="0" fillId="3" borderId="0" xfId="0" applyNumberFormat="1" applyFill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0" fillId="0" borderId="1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B2A7-B632-4C54-8154-301881759C09}">
  <dimension ref="A1:K37"/>
  <sheetViews>
    <sheetView tabSelected="1" workbookViewId="0">
      <selection activeCell="I12" sqref="I12"/>
    </sheetView>
  </sheetViews>
  <sheetFormatPr defaultColWidth="8.85546875" defaultRowHeight="15" x14ac:dyDescent="0.25"/>
  <cols>
    <col min="1" max="1" width="15.85546875" customWidth="1"/>
    <col min="2" max="2" width="14" customWidth="1"/>
    <col min="3" max="3" width="12.42578125" customWidth="1"/>
    <col min="5" max="5" width="13.42578125" customWidth="1"/>
    <col min="6" max="6" width="12.85546875" customWidth="1"/>
    <col min="9" max="9" width="14.7109375" customWidth="1"/>
    <col min="10" max="10" width="12.85546875" customWidth="1"/>
  </cols>
  <sheetData>
    <row r="1" spans="1:11" x14ac:dyDescent="0.25">
      <c r="D1" s="1" t="s">
        <v>0</v>
      </c>
      <c r="E1" s="2"/>
      <c r="F1" s="2"/>
      <c r="G1" s="2"/>
      <c r="H1" s="3" t="s">
        <v>1</v>
      </c>
      <c r="I1" s="4"/>
      <c r="J1" s="4"/>
      <c r="K1" s="4"/>
    </row>
    <row r="2" spans="1:11" x14ac:dyDescent="0.25">
      <c r="A2" s="26">
        <v>45788</v>
      </c>
      <c r="B2" s="5" t="s">
        <v>2</v>
      </c>
      <c r="C2" s="5" t="s">
        <v>15</v>
      </c>
      <c r="D2" s="6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9" t="s">
        <v>4</v>
      </c>
      <c r="J2" s="9" t="s">
        <v>5</v>
      </c>
      <c r="K2" s="9" t="s">
        <v>6</v>
      </c>
    </row>
    <row r="3" spans="1:11" x14ac:dyDescent="0.25">
      <c r="A3" s="26">
        <v>45794</v>
      </c>
      <c r="B3" s="5" t="s">
        <v>8</v>
      </c>
      <c r="C3" s="17">
        <v>25</v>
      </c>
      <c r="D3" s="10">
        <v>0</v>
      </c>
      <c r="E3" s="7">
        <v>0</v>
      </c>
      <c r="F3" s="7">
        <v>6.01</v>
      </c>
      <c r="G3" s="7" t="e">
        <f t="shared" ref="G3:G11" si="0">F3/D3</f>
        <v>#DIV/0!</v>
      </c>
      <c r="H3" s="12">
        <v>0</v>
      </c>
      <c r="I3" s="9">
        <v>0</v>
      </c>
      <c r="J3" s="9">
        <v>1.84</v>
      </c>
      <c r="K3" s="9" t="e">
        <f t="shared" ref="K3:K11" si="1">J3/H3</f>
        <v>#DIV/0!</v>
      </c>
    </row>
    <row r="4" spans="1:11" x14ac:dyDescent="0.25">
      <c r="A4" s="23"/>
      <c r="B4" s="5" t="s">
        <v>9</v>
      </c>
      <c r="C4" s="17">
        <v>50</v>
      </c>
      <c r="D4" s="10">
        <v>34</v>
      </c>
      <c r="E4" s="7">
        <v>2977.8</v>
      </c>
      <c r="F4" s="7">
        <v>388.59</v>
      </c>
      <c r="G4" s="7">
        <f t="shared" si="0"/>
        <v>11.429117647058822</v>
      </c>
      <c r="H4" s="11">
        <v>19</v>
      </c>
      <c r="I4" s="9">
        <v>1279.05</v>
      </c>
      <c r="J4" s="9">
        <v>996.1</v>
      </c>
      <c r="K4" s="9">
        <f t="shared" si="1"/>
        <v>52.426315789473684</v>
      </c>
    </row>
    <row r="5" spans="1:11" x14ac:dyDescent="0.25">
      <c r="A5" s="23"/>
      <c r="B5" s="5" t="s">
        <v>10</v>
      </c>
      <c r="C5" s="17">
        <v>31</v>
      </c>
      <c r="D5" s="10">
        <v>0</v>
      </c>
      <c r="E5" s="7">
        <v>0</v>
      </c>
      <c r="F5" s="7">
        <v>0</v>
      </c>
      <c r="G5" s="7" t="e">
        <f t="shared" si="0"/>
        <v>#DIV/0!</v>
      </c>
      <c r="H5" s="11">
        <v>12</v>
      </c>
      <c r="I5" s="9">
        <v>509.2</v>
      </c>
      <c r="J5" s="9">
        <v>180.91</v>
      </c>
      <c r="K5" s="9">
        <f t="shared" si="1"/>
        <v>15.075833333333334</v>
      </c>
    </row>
    <row r="6" spans="1:11" x14ac:dyDescent="0.25">
      <c r="A6" s="23"/>
      <c r="B6" s="5" t="s">
        <v>11</v>
      </c>
      <c r="C6" s="17">
        <v>15</v>
      </c>
      <c r="D6" s="10">
        <v>0</v>
      </c>
      <c r="E6" s="7">
        <v>0</v>
      </c>
      <c r="F6" s="7">
        <v>0</v>
      </c>
      <c r="G6" s="7" t="e">
        <f t="shared" si="0"/>
        <v>#DIV/0!</v>
      </c>
      <c r="H6" s="11">
        <v>0</v>
      </c>
      <c r="I6" s="9">
        <v>0</v>
      </c>
      <c r="J6" s="9">
        <v>0</v>
      </c>
      <c r="K6" s="9" t="e">
        <f t="shared" si="1"/>
        <v>#DIV/0!</v>
      </c>
    </row>
    <row r="7" spans="1:11" x14ac:dyDescent="0.25">
      <c r="A7" s="23"/>
      <c r="B7" s="5" t="s">
        <v>12</v>
      </c>
      <c r="C7" s="17">
        <v>42</v>
      </c>
      <c r="D7" s="6">
        <v>58</v>
      </c>
      <c r="E7" s="27">
        <v>4371.5</v>
      </c>
      <c r="F7" s="27">
        <v>975.91</v>
      </c>
      <c r="G7" s="7">
        <f t="shared" si="0"/>
        <v>16.826034482758619</v>
      </c>
      <c r="H7" s="11">
        <v>8</v>
      </c>
      <c r="I7" s="9">
        <v>491.7</v>
      </c>
      <c r="J7" s="9">
        <v>853.38</v>
      </c>
      <c r="K7" s="9">
        <f t="shared" si="1"/>
        <v>106.6725</v>
      </c>
    </row>
    <row r="8" spans="1:11" x14ac:dyDescent="0.25">
      <c r="A8" s="23"/>
      <c r="B8" s="5" t="s">
        <v>13</v>
      </c>
      <c r="C8" s="17">
        <v>35</v>
      </c>
      <c r="D8" s="10">
        <v>128</v>
      </c>
      <c r="E8" s="7">
        <v>8795.85</v>
      </c>
      <c r="F8" s="7">
        <v>2574.39</v>
      </c>
      <c r="G8" s="7">
        <f t="shared" si="0"/>
        <v>20.112421874999999</v>
      </c>
      <c r="H8" s="12">
        <v>19</v>
      </c>
      <c r="I8" s="9">
        <v>1284.95</v>
      </c>
      <c r="J8" s="9">
        <v>1266.68</v>
      </c>
      <c r="K8" s="9">
        <f t="shared" si="1"/>
        <v>66.667368421052629</v>
      </c>
    </row>
    <row r="9" spans="1:11" x14ac:dyDescent="0.25">
      <c r="A9" s="23"/>
      <c r="B9" s="5" t="s">
        <v>17</v>
      </c>
      <c r="C9" s="17">
        <v>35</v>
      </c>
      <c r="D9" s="6">
        <v>2</v>
      </c>
      <c r="E9" s="27">
        <v>108</v>
      </c>
      <c r="F9" s="28">
        <v>15.72</v>
      </c>
      <c r="G9" s="7">
        <f t="shared" si="0"/>
        <v>7.86</v>
      </c>
      <c r="H9" s="11">
        <v>0</v>
      </c>
      <c r="I9" s="9">
        <v>0</v>
      </c>
      <c r="J9" s="9">
        <v>40.65</v>
      </c>
      <c r="K9" s="9" t="e">
        <f t="shared" si="1"/>
        <v>#DIV/0!</v>
      </c>
    </row>
    <row r="10" spans="1:11" x14ac:dyDescent="0.25">
      <c r="A10" s="23"/>
      <c r="B10" s="5" t="s">
        <v>18</v>
      </c>
      <c r="C10" s="17">
        <v>35</v>
      </c>
      <c r="D10" s="10">
        <v>0</v>
      </c>
      <c r="E10" s="7">
        <v>0</v>
      </c>
      <c r="F10" s="7">
        <v>0</v>
      </c>
      <c r="G10" s="7" t="e">
        <f t="shared" si="0"/>
        <v>#DIV/0!</v>
      </c>
      <c r="H10" s="11">
        <v>0</v>
      </c>
      <c r="I10" s="9">
        <v>0</v>
      </c>
      <c r="J10" s="9">
        <v>0</v>
      </c>
      <c r="K10" s="9" t="e">
        <f t="shared" si="1"/>
        <v>#DIV/0!</v>
      </c>
    </row>
    <row r="11" spans="1:11" x14ac:dyDescent="0.25">
      <c r="A11" s="23"/>
      <c r="B11" s="5" t="s">
        <v>19</v>
      </c>
      <c r="C11" s="17">
        <v>35</v>
      </c>
      <c r="D11" s="10">
        <v>1</v>
      </c>
      <c r="E11" s="7">
        <v>96</v>
      </c>
      <c r="F11" s="7">
        <v>31.4</v>
      </c>
      <c r="G11" s="7">
        <f t="shared" si="0"/>
        <v>31.4</v>
      </c>
      <c r="H11" s="11">
        <v>2</v>
      </c>
      <c r="I11" s="9">
        <v>55.5</v>
      </c>
      <c r="J11" s="9">
        <v>172.02</v>
      </c>
      <c r="K11" s="9">
        <f t="shared" si="1"/>
        <v>86.01</v>
      </c>
    </row>
    <row r="12" spans="1:11" x14ac:dyDescent="0.25">
      <c r="A12" s="23"/>
      <c r="B12" s="5" t="s">
        <v>14</v>
      </c>
      <c r="C12" s="5"/>
      <c r="D12" s="13">
        <f>SUM(D3:D11)</f>
        <v>223</v>
      </c>
      <c r="E12" s="14">
        <f>SUM(E3:E11)</f>
        <v>16349.150000000001</v>
      </c>
      <c r="F12" s="14">
        <f>SUM(F3:F11)</f>
        <v>3992.0199999999995</v>
      </c>
      <c r="G12" s="14">
        <f>F12/D12</f>
        <v>17.901434977578472</v>
      </c>
      <c r="H12" s="15">
        <f>SUM(H3:H11)</f>
        <v>60</v>
      </c>
      <c r="I12" s="16">
        <f>SUM(I3:I11)</f>
        <v>3620.3999999999996</v>
      </c>
      <c r="J12" s="16">
        <f>SUM(J3:J11)</f>
        <v>3511.58</v>
      </c>
      <c r="K12" s="16">
        <f t="shared" ref="K12" si="2">J12/H12</f>
        <v>58.526333333333334</v>
      </c>
    </row>
    <row r="13" spans="1:11" x14ac:dyDescent="0.25">
      <c r="A13" s="23"/>
    </row>
    <row r="14" spans="1:11" x14ac:dyDescent="0.25">
      <c r="A14" s="25"/>
      <c r="B14" s="24"/>
      <c r="C14" s="24"/>
      <c r="D14" s="1" t="s">
        <v>0</v>
      </c>
      <c r="E14" s="2"/>
      <c r="F14" s="2"/>
      <c r="G14" s="2"/>
      <c r="H14" s="3" t="s">
        <v>1</v>
      </c>
      <c r="I14" s="4"/>
      <c r="J14" s="4"/>
      <c r="K14" s="4"/>
    </row>
    <row r="15" spans="1:11" x14ac:dyDescent="0.25">
      <c r="A15" s="26">
        <v>45795</v>
      </c>
      <c r="B15" s="5" t="s">
        <v>2</v>
      </c>
      <c r="C15" s="5" t="s">
        <v>15</v>
      </c>
      <c r="D15" s="6" t="s">
        <v>3</v>
      </c>
      <c r="E15" s="7" t="s">
        <v>4</v>
      </c>
      <c r="F15" s="7" t="s">
        <v>5</v>
      </c>
      <c r="G15" s="7" t="s">
        <v>6</v>
      </c>
      <c r="H15" s="8" t="s">
        <v>7</v>
      </c>
      <c r="I15" s="9" t="s">
        <v>4</v>
      </c>
      <c r="J15" s="9" t="s">
        <v>5</v>
      </c>
      <c r="K15" s="9" t="s">
        <v>6</v>
      </c>
    </row>
    <row r="16" spans="1:11" x14ac:dyDescent="0.25">
      <c r="A16" s="26">
        <v>45801</v>
      </c>
      <c r="B16" s="5" t="s">
        <v>8</v>
      </c>
      <c r="C16" s="17">
        <v>25</v>
      </c>
      <c r="D16" s="10">
        <v>0</v>
      </c>
      <c r="E16" s="7">
        <v>0</v>
      </c>
      <c r="F16" s="7">
        <v>4.8899999999999997</v>
      </c>
      <c r="G16" s="7" t="e">
        <f t="shared" ref="G16:G24" si="3">F16/D16</f>
        <v>#DIV/0!</v>
      </c>
      <c r="H16" s="12">
        <v>0</v>
      </c>
      <c r="I16" s="9">
        <v>0</v>
      </c>
      <c r="J16" s="9">
        <v>0</v>
      </c>
      <c r="K16" s="9" t="e">
        <f t="shared" ref="K16:K24" si="4">J16/H16</f>
        <v>#DIV/0!</v>
      </c>
    </row>
    <row r="17" spans="1:11" x14ac:dyDescent="0.25">
      <c r="A17" s="23"/>
      <c r="B17" s="5" t="s">
        <v>9</v>
      </c>
      <c r="C17" s="17">
        <v>50</v>
      </c>
      <c r="D17" s="10">
        <v>41</v>
      </c>
      <c r="E17" s="7">
        <v>3207.3</v>
      </c>
      <c r="F17" s="7">
        <v>480.14</v>
      </c>
      <c r="G17" s="7">
        <f t="shared" si="3"/>
        <v>11.710731707317073</v>
      </c>
      <c r="H17" s="11">
        <v>14</v>
      </c>
      <c r="I17" s="9">
        <v>989.25</v>
      </c>
      <c r="J17" s="9">
        <v>1214.4599999999998</v>
      </c>
      <c r="K17" s="9">
        <f t="shared" si="4"/>
        <v>86.747142857142848</v>
      </c>
    </row>
    <row r="18" spans="1:11" x14ac:dyDescent="0.25">
      <c r="A18" s="23"/>
      <c r="B18" s="5" t="s">
        <v>10</v>
      </c>
      <c r="C18" s="17">
        <v>31</v>
      </c>
      <c r="D18" s="10">
        <v>0</v>
      </c>
      <c r="E18" s="7">
        <v>0</v>
      </c>
      <c r="F18" s="7">
        <v>0</v>
      </c>
      <c r="G18" s="7" t="e">
        <f t="shared" si="3"/>
        <v>#DIV/0!</v>
      </c>
      <c r="H18" s="11">
        <v>10</v>
      </c>
      <c r="I18" s="9">
        <v>384.45</v>
      </c>
      <c r="J18" s="9">
        <v>196.35</v>
      </c>
      <c r="K18" s="9">
        <f t="shared" si="4"/>
        <v>19.634999999999998</v>
      </c>
    </row>
    <row r="19" spans="1:11" x14ac:dyDescent="0.25">
      <c r="A19" s="23"/>
      <c r="B19" s="5" t="s">
        <v>11</v>
      </c>
      <c r="C19" s="17">
        <v>15</v>
      </c>
      <c r="D19" s="10">
        <v>0</v>
      </c>
      <c r="E19" s="7">
        <v>0</v>
      </c>
      <c r="F19" s="7">
        <v>0</v>
      </c>
      <c r="G19" s="7" t="e">
        <f t="shared" si="3"/>
        <v>#DIV/0!</v>
      </c>
      <c r="H19" s="11">
        <v>0</v>
      </c>
      <c r="I19" s="9">
        <v>0</v>
      </c>
      <c r="J19" s="9">
        <v>0</v>
      </c>
      <c r="K19" s="9" t="e">
        <f t="shared" si="4"/>
        <v>#DIV/0!</v>
      </c>
    </row>
    <row r="20" spans="1:11" x14ac:dyDescent="0.25">
      <c r="A20" s="23"/>
      <c r="B20" s="5" t="s">
        <v>12</v>
      </c>
      <c r="C20" s="17">
        <v>42</v>
      </c>
      <c r="D20" s="6">
        <v>54</v>
      </c>
      <c r="E20" s="27">
        <v>3961.8</v>
      </c>
      <c r="F20" s="27">
        <v>1172.71</v>
      </c>
      <c r="G20" s="7">
        <f t="shared" si="3"/>
        <v>21.716851851851853</v>
      </c>
      <c r="H20" s="11">
        <v>8</v>
      </c>
      <c r="I20" s="9">
        <v>546.6</v>
      </c>
      <c r="J20" s="9">
        <v>873.07</v>
      </c>
      <c r="K20" s="9">
        <f t="shared" si="4"/>
        <v>109.13375000000001</v>
      </c>
    </row>
    <row r="21" spans="1:11" x14ac:dyDescent="0.25">
      <c r="A21" s="23"/>
      <c r="B21" s="5" t="s">
        <v>13</v>
      </c>
      <c r="C21" s="17">
        <v>35</v>
      </c>
      <c r="D21" s="10">
        <v>133</v>
      </c>
      <c r="E21" s="7">
        <v>8438</v>
      </c>
      <c r="F21" s="7">
        <v>2913.6</v>
      </c>
      <c r="G21" s="7">
        <f t="shared" si="3"/>
        <v>21.906766917293233</v>
      </c>
      <c r="H21" s="12">
        <v>21</v>
      </c>
      <c r="I21" s="9">
        <v>1349</v>
      </c>
      <c r="J21" s="9">
        <v>1412.75</v>
      </c>
      <c r="K21" s="9">
        <f t="shared" si="4"/>
        <v>67.273809523809518</v>
      </c>
    </row>
    <row r="22" spans="1:11" x14ac:dyDescent="0.25">
      <c r="A22" s="23"/>
      <c r="B22" s="5" t="s">
        <v>17</v>
      </c>
      <c r="C22" s="17">
        <v>35</v>
      </c>
      <c r="D22" s="6">
        <v>0</v>
      </c>
      <c r="E22" s="27">
        <v>0</v>
      </c>
      <c r="F22" s="28">
        <v>0.06</v>
      </c>
      <c r="G22" s="7" t="e">
        <f t="shared" si="3"/>
        <v>#DIV/0!</v>
      </c>
      <c r="H22" s="11">
        <v>1</v>
      </c>
      <c r="I22" s="9">
        <v>36</v>
      </c>
      <c r="J22" s="9">
        <v>16.850000000000001</v>
      </c>
      <c r="K22" s="9">
        <f t="shared" ref="K22:K23" si="5">J22/H22</f>
        <v>16.850000000000001</v>
      </c>
    </row>
    <row r="23" spans="1:11" x14ac:dyDescent="0.25">
      <c r="A23" s="23"/>
      <c r="B23" s="5" t="s">
        <v>18</v>
      </c>
      <c r="C23" s="17">
        <v>35</v>
      </c>
      <c r="D23" s="10">
        <v>0</v>
      </c>
      <c r="E23" s="7">
        <v>0</v>
      </c>
      <c r="F23" s="7">
        <v>0</v>
      </c>
      <c r="G23" s="7" t="e">
        <f t="shared" ref="G23" si="6">F23/D23</f>
        <v>#DIV/0!</v>
      </c>
      <c r="H23" s="11">
        <v>0</v>
      </c>
      <c r="I23" s="9">
        <v>0</v>
      </c>
      <c r="J23" s="9">
        <v>0</v>
      </c>
      <c r="K23" s="9" t="e">
        <f t="shared" si="5"/>
        <v>#DIV/0!</v>
      </c>
    </row>
    <row r="24" spans="1:11" x14ac:dyDescent="0.25">
      <c r="A24" s="23"/>
      <c r="B24" s="5" t="s">
        <v>19</v>
      </c>
      <c r="C24" s="17">
        <v>35</v>
      </c>
      <c r="D24" s="10">
        <v>1</v>
      </c>
      <c r="E24" s="7">
        <v>96.95</v>
      </c>
      <c r="F24" s="7">
        <v>35.22</v>
      </c>
      <c r="G24" s="7">
        <f t="shared" si="3"/>
        <v>35.22</v>
      </c>
      <c r="H24" s="11">
        <v>0</v>
      </c>
      <c r="I24" s="9">
        <v>0</v>
      </c>
      <c r="J24" s="9">
        <v>47.38</v>
      </c>
      <c r="K24" s="9" t="e">
        <f t="shared" si="4"/>
        <v>#DIV/0!</v>
      </c>
    </row>
    <row r="25" spans="1:11" x14ac:dyDescent="0.25">
      <c r="A25" s="23"/>
      <c r="B25" s="5" t="s">
        <v>14</v>
      </c>
      <c r="C25" s="5"/>
      <c r="D25" s="13">
        <f>SUM(D16:D24)</f>
        <v>229</v>
      </c>
      <c r="E25" s="14">
        <f>SUM(E16:E24)</f>
        <v>15704.050000000001</v>
      </c>
      <c r="F25" s="14">
        <f>SUM(F16:F24)</f>
        <v>4606.6200000000008</v>
      </c>
      <c r="G25" s="14">
        <f>F25/D25</f>
        <v>20.116244541484718</v>
      </c>
      <c r="H25" s="15">
        <f>SUM(H16:H24)</f>
        <v>54</v>
      </c>
      <c r="I25" s="16">
        <f>SUM(I16:I24)</f>
        <v>3305.3</v>
      </c>
      <c r="J25" s="16">
        <f>SUM(J16:J24)</f>
        <v>3760.8599999999997</v>
      </c>
      <c r="K25" s="16">
        <f t="shared" ref="K25" si="7">J25/H25</f>
        <v>69.645555555555546</v>
      </c>
    </row>
    <row r="26" spans="1:11" x14ac:dyDescent="0.25">
      <c r="A26" s="23"/>
      <c r="B26" s="18"/>
      <c r="C26" s="18"/>
      <c r="D26" s="19"/>
      <c r="E26" s="20"/>
      <c r="F26" s="20"/>
      <c r="G26" s="20"/>
      <c r="H26" s="19"/>
      <c r="I26" s="20"/>
      <c r="J26" s="20"/>
      <c r="K26" s="20"/>
    </row>
    <row r="27" spans="1:11" x14ac:dyDescent="0.25">
      <c r="A27" s="23"/>
      <c r="B27" s="18"/>
      <c r="D27" s="1" t="s">
        <v>0</v>
      </c>
      <c r="E27" s="2"/>
      <c r="F27" s="2"/>
      <c r="G27" s="2"/>
      <c r="H27" s="3" t="s">
        <v>1</v>
      </c>
      <c r="I27" s="4"/>
      <c r="J27" s="4"/>
      <c r="K27" s="4"/>
    </row>
    <row r="28" spans="1:11" x14ac:dyDescent="0.25">
      <c r="A28" s="23"/>
      <c r="C28" s="5" t="s">
        <v>15</v>
      </c>
      <c r="D28" s="6" t="s">
        <v>3</v>
      </c>
      <c r="E28" s="7" t="s">
        <v>4</v>
      </c>
      <c r="F28" s="7" t="s">
        <v>5</v>
      </c>
      <c r="G28" s="7" t="s">
        <v>6</v>
      </c>
      <c r="H28" s="8" t="s">
        <v>7</v>
      </c>
      <c r="I28" s="9" t="s">
        <v>4</v>
      </c>
      <c r="J28" s="9" t="s">
        <v>5</v>
      </c>
      <c r="K28" s="9" t="s">
        <v>6</v>
      </c>
    </row>
    <row r="29" spans="1:11" x14ac:dyDescent="0.25">
      <c r="A29" s="23" t="s">
        <v>16</v>
      </c>
      <c r="B29" s="5" t="s">
        <v>8</v>
      </c>
      <c r="C29" s="17">
        <v>25</v>
      </c>
      <c r="D29" s="21" t="e">
        <f t="shared" ref="D29:K35" si="8">(D16-D3)/D16</f>
        <v>#DIV/0!</v>
      </c>
      <c r="E29" s="21" t="e">
        <f t="shared" si="8"/>
        <v>#DIV/0!</v>
      </c>
      <c r="F29" s="21">
        <f t="shared" si="8"/>
        <v>-0.229038854805726</v>
      </c>
      <c r="G29" s="21" t="e">
        <f t="shared" si="8"/>
        <v>#DIV/0!</v>
      </c>
      <c r="H29" s="21" t="e">
        <f t="shared" si="8"/>
        <v>#DIV/0!</v>
      </c>
      <c r="I29" s="21" t="e">
        <f t="shared" si="8"/>
        <v>#DIV/0!</v>
      </c>
      <c r="J29" s="21" t="e">
        <f t="shared" si="8"/>
        <v>#DIV/0!</v>
      </c>
      <c r="K29" s="21" t="e">
        <f t="shared" si="8"/>
        <v>#DIV/0!</v>
      </c>
    </row>
    <row r="30" spans="1:11" x14ac:dyDescent="0.25">
      <c r="A30" s="23"/>
      <c r="B30" s="5" t="s">
        <v>9</v>
      </c>
      <c r="C30" s="17">
        <v>50</v>
      </c>
      <c r="D30" s="21">
        <f t="shared" si="8"/>
        <v>0.17073170731707318</v>
      </c>
      <c r="E30" s="21">
        <f t="shared" si="8"/>
        <v>7.1555513983724631E-2</v>
      </c>
      <c r="F30" s="21">
        <f t="shared" si="8"/>
        <v>0.1906735535468822</v>
      </c>
      <c r="G30" s="21">
        <f t="shared" si="8"/>
        <v>2.4047520453593315E-2</v>
      </c>
      <c r="H30" s="21">
        <f t="shared" si="8"/>
        <v>-0.35714285714285715</v>
      </c>
      <c r="I30" s="21">
        <f t="shared" si="8"/>
        <v>-0.29294920394238055</v>
      </c>
      <c r="J30" s="21">
        <f t="shared" si="8"/>
        <v>0.17980007575383283</v>
      </c>
      <c r="K30" s="21">
        <f t="shared" si="8"/>
        <v>0.39564216108177164</v>
      </c>
    </row>
    <row r="31" spans="1:11" x14ac:dyDescent="0.25">
      <c r="A31" s="23"/>
      <c r="B31" s="5" t="s">
        <v>10</v>
      </c>
      <c r="C31" s="17">
        <v>31</v>
      </c>
      <c r="D31" s="21" t="e">
        <f t="shared" si="8"/>
        <v>#DIV/0!</v>
      </c>
      <c r="E31" s="21" t="e">
        <f t="shared" si="8"/>
        <v>#DIV/0!</v>
      </c>
      <c r="F31" s="21" t="e">
        <f t="shared" si="8"/>
        <v>#DIV/0!</v>
      </c>
      <c r="G31" s="21" t="e">
        <f t="shared" si="8"/>
        <v>#DIV/0!</v>
      </c>
      <c r="H31" s="21">
        <f t="shared" si="8"/>
        <v>-0.2</v>
      </c>
      <c r="I31" s="21">
        <f t="shared" si="8"/>
        <v>-0.32448953049811419</v>
      </c>
      <c r="J31" s="21">
        <f t="shared" si="8"/>
        <v>7.863509039979627E-2</v>
      </c>
      <c r="K31" s="21">
        <f t="shared" si="8"/>
        <v>0.23219590866649681</v>
      </c>
    </row>
    <row r="32" spans="1:11" x14ac:dyDescent="0.25">
      <c r="A32" s="23"/>
      <c r="B32" s="5" t="s">
        <v>11</v>
      </c>
      <c r="C32" s="17">
        <v>15</v>
      </c>
      <c r="D32" s="21" t="e">
        <f t="shared" si="8"/>
        <v>#DIV/0!</v>
      </c>
      <c r="E32" s="21" t="e">
        <f t="shared" si="8"/>
        <v>#DIV/0!</v>
      </c>
      <c r="F32" s="21" t="e">
        <f t="shared" si="8"/>
        <v>#DIV/0!</v>
      </c>
      <c r="G32" s="21" t="e">
        <f t="shared" si="8"/>
        <v>#DIV/0!</v>
      </c>
      <c r="H32" s="21" t="e">
        <f t="shared" si="8"/>
        <v>#DIV/0!</v>
      </c>
      <c r="I32" s="21" t="e">
        <f t="shared" si="8"/>
        <v>#DIV/0!</v>
      </c>
      <c r="J32" s="21" t="e">
        <f t="shared" si="8"/>
        <v>#DIV/0!</v>
      </c>
      <c r="K32" s="21" t="e">
        <f t="shared" si="8"/>
        <v>#DIV/0!</v>
      </c>
    </row>
    <row r="33" spans="1:11" x14ac:dyDescent="0.25">
      <c r="A33" s="23"/>
      <c r="B33" s="5" t="s">
        <v>12</v>
      </c>
      <c r="C33" s="17">
        <v>42</v>
      </c>
      <c r="D33" s="21">
        <f t="shared" si="8"/>
        <v>-7.407407407407407E-2</v>
      </c>
      <c r="E33" s="21">
        <f t="shared" si="8"/>
        <v>-0.10341259023676101</v>
      </c>
      <c r="F33" s="21">
        <f t="shared" si="8"/>
        <v>0.16781642520316195</v>
      </c>
      <c r="G33" s="21">
        <f t="shared" si="8"/>
        <v>0.22520839587880606</v>
      </c>
      <c r="H33" s="21">
        <f t="shared" si="8"/>
        <v>0</v>
      </c>
      <c r="I33" s="21">
        <f t="shared" si="8"/>
        <v>0.10043907793633376</v>
      </c>
      <c r="J33" s="21">
        <f t="shared" si="8"/>
        <v>2.2552601738692262E-2</v>
      </c>
      <c r="K33" s="21">
        <f t="shared" si="8"/>
        <v>2.2552601738692262E-2</v>
      </c>
    </row>
    <row r="34" spans="1:11" x14ac:dyDescent="0.25">
      <c r="A34" s="23"/>
      <c r="B34" s="5" t="s">
        <v>13</v>
      </c>
      <c r="C34" s="17">
        <v>35</v>
      </c>
      <c r="D34" s="21">
        <f t="shared" si="8"/>
        <v>3.7593984962406013E-2</v>
      </c>
      <c r="E34" s="21">
        <f t="shared" si="8"/>
        <v>-4.2409338705854512E-2</v>
      </c>
      <c r="F34" s="21">
        <f t="shared" si="8"/>
        <v>0.11642298187808897</v>
      </c>
      <c r="G34" s="21">
        <f t="shared" si="8"/>
        <v>8.1908254607701847E-2</v>
      </c>
      <c r="H34" s="21">
        <f t="shared" si="8"/>
        <v>9.5238095238095233E-2</v>
      </c>
      <c r="I34" s="21">
        <f t="shared" si="8"/>
        <v>4.7479614529280914E-2</v>
      </c>
      <c r="J34" s="21">
        <f t="shared" si="8"/>
        <v>0.10339408954167399</v>
      </c>
      <c r="K34" s="21">
        <f t="shared" si="8"/>
        <v>9.0145200197449503E-3</v>
      </c>
    </row>
    <row r="35" spans="1:11" x14ac:dyDescent="0.25">
      <c r="A35" s="23"/>
      <c r="B35" s="5" t="s">
        <v>17</v>
      </c>
      <c r="C35" s="17">
        <v>35</v>
      </c>
      <c r="D35" s="21" t="e">
        <f t="shared" si="8"/>
        <v>#DIV/0!</v>
      </c>
      <c r="E35" s="21" t="e">
        <f t="shared" si="8"/>
        <v>#DIV/0!</v>
      </c>
      <c r="F35" s="21">
        <f t="shared" si="8"/>
        <v>-261</v>
      </c>
      <c r="G35" s="21" t="e">
        <f t="shared" si="8"/>
        <v>#DIV/0!</v>
      </c>
      <c r="H35" s="21">
        <f t="shared" si="8"/>
        <v>1</v>
      </c>
      <c r="I35" s="21">
        <f t="shared" si="8"/>
        <v>1</v>
      </c>
      <c r="J35" s="21">
        <f t="shared" si="8"/>
        <v>-1.4124629080118691</v>
      </c>
      <c r="K35" s="21" t="e">
        <f t="shared" si="8"/>
        <v>#DIV/0!</v>
      </c>
    </row>
    <row r="36" spans="1:11" x14ac:dyDescent="0.25">
      <c r="A36" s="23"/>
      <c r="B36" s="5" t="s">
        <v>18</v>
      </c>
      <c r="C36" s="17">
        <v>35</v>
      </c>
      <c r="D36" s="21">
        <f t="shared" ref="D36:K37" si="9">(D24-D11)/D24</f>
        <v>0</v>
      </c>
      <c r="E36" s="21">
        <f t="shared" si="9"/>
        <v>9.7988653945332935E-3</v>
      </c>
      <c r="F36" s="21">
        <f t="shared" si="9"/>
        <v>0.10846110164679161</v>
      </c>
      <c r="G36" s="21">
        <f t="shared" si="9"/>
        <v>0.10846110164679161</v>
      </c>
      <c r="H36" s="21" t="e">
        <f t="shared" si="9"/>
        <v>#DIV/0!</v>
      </c>
      <c r="I36" s="21" t="e">
        <f t="shared" si="9"/>
        <v>#DIV/0!</v>
      </c>
      <c r="J36" s="21">
        <f t="shared" si="9"/>
        <v>-2.6306458421274801</v>
      </c>
      <c r="K36" s="21" t="e">
        <f t="shared" si="9"/>
        <v>#DIV/0!</v>
      </c>
    </row>
    <row r="37" spans="1:11" x14ac:dyDescent="0.25">
      <c r="A37" s="23"/>
      <c r="B37" s="5" t="s">
        <v>14</v>
      </c>
      <c r="C37" s="5"/>
      <c r="D37" s="22">
        <f t="shared" si="9"/>
        <v>2.6200873362445413E-2</v>
      </c>
      <c r="E37" s="22">
        <f t="shared" si="9"/>
        <v>-4.1078575271983997E-2</v>
      </c>
      <c r="F37" s="22">
        <f t="shared" si="9"/>
        <v>0.13341669163074035</v>
      </c>
      <c r="G37" s="22">
        <f t="shared" si="9"/>
        <v>0.11010054880466165</v>
      </c>
      <c r="H37" s="22">
        <f t="shared" si="9"/>
        <v>-0.1111111111111111</v>
      </c>
      <c r="I37" s="22">
        <f t="shared" si="9"/>
        <v>-9.5331739932834975E-2</v>
      </c>
      <c r="J37" s="22">
        <f t="shared" si="9"/>
        <v>6.6282711932908897E-2</v>
      </c>
      <c r="K37" s="22">
        <f t="shared" si="9"/>
        <v>0.15965444073961796</v>
      </c>
    </row>
  </sheetData>
  <conditionalFormatting sqref="D29:K37">
    <cfRule type="cellIs" dxfId="3" priority="3" operator="lessThan">
      <formula>0</formula>
    </cfRule>
    <cfRule type="cellIs" dxfId="2" priority="4" operator="greaterThan">
      <formula>0.01</formula>
    </cfRule>
  </conditionalFormatting>
  <conditionalFormatting sqref="F29:G37 J29:K37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9F98FF611E74F8700DCFB7D6DD39C" ma:contentTypeVersion="11" ma:contentTypeDescription="Create a new document." ma:contentTypeScope="" ma:versionID="24c11f03e62814479dc79032c47fcf7f">
  <xsd:schema xmlns:xsd="http://www.w3.org/2001/XMLSchema" xmlns:xs="http://www.w3.org/2001/XMLSchema" xmlns:p="http://schemas.microsoft.com/office/2006/metadata/properties" xmlns:ns3="f9c895eb-536c-40a6-974b-f0b1c9c7780d" targetNamespace="http://schemas.microsoft.com/office/2006/metadata/properties" ma:root="true" ma:fieldsID="7de30049495ecb28c526c41631510258" ns3:_="">
    <xsd:import namespace="f9c895eb-536c-40a6-974b-f0b1c9c778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895eb-536c-40a6-974b-f0b1c9c77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78FAF2-0526-4C82-91B5-9CD85B9272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F46E58-B481-4198-88BF-38FDDB567B20}">
  <ds:schemaRefs>
    <ds:schemaRef ds:uri="http://purl.org/dc/terms/"/>
    <ds:schemaRef ds:uri="http://www.w3.org/XML/1998/namespace"/>
    <ds:schemaRef ds:uri="f9c895eb-536c-40a6-974b-f0b1c9c7780d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</ds:schemaRefs>
</ds:datastoreItem>
</file>

<file path=customXml/itemProps3.xml><?xml version="1.0" encoding="utf-8"?>
<ds:datastoreItem xmlns:ds="http://schemas.openxmlformats.org/officeDocument/2006/customXml" ds:itemID="{5EDEF913-6947-4B9D-8737-CA6FDEACE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895eb-536c-40a6-974b-f0b1c9c778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Ahaus</dc:creator>
  <cp:lastModifiedBy>Windows</cp:lastModifiedBy>
  <dcterms:created xsi:type="dcterms:W3CDTF">2022-02-21T21:31:53Z</dcterms:created>
  <dcterms:modified xsi:type="dcterms:W3CDTF">2025-05-26T13:01:52Z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0x0101003359F98FF611E74F8700DCFB7D6DD39C</vt:lpwstr>
  </property>
</Properties>
</file>