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0CA3AE9-79BD-4E0F-BEC3-8C3F63B91242}" xr6:coauthVersionLast="47" xr6:coauthVersionMax="47" xr10:uidLastSave="{00000000-0000-0000-0000-000000000000}"/>
  <bookViews>
    <workbookView xWindow="780" yWindow="1995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<sst xmlns="http://schemas.openxmlformats.org/spreadsheetml/2006/main" count="63" uniqueCount="19">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</sst>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45732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45738</v>
      </c>
      <c r="B3" s="5" t="s">
        <v>8</v>
      </c>
      <c r="C3" s="17">
        <v>25</v>
      </c>
      <c r="D3" s="10">
        <v>0</v>
      </c>
      <c r="E3" s="7">
        <v>0</v>
      </c>
      <c r="F3" s="7">
        <v>50.32</v>
      </c>
      <c r="G3" s="7" t="e">
        <f t="shared" ref="G3:G10" si="0">F3/D3</f>
        <v>#DIV/0!</v>
      </c>
      <c r="H3" s="12">
        <v>0</v>
      </c>
      <c r="I3" s="9">
        <v>0</v>
      </c>
      <c r="J3" s="9">
        <v>1.1100000000000001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46</v>
      </c>
      <c r="E4" s="7">
        <v>3487.1</v>
      </c>
      <c r="F4" s="7">
        <v>431.09</v>
      </c>
      <c r="G4" s="7">
        <f t="shared" si="0"/>
        <v>9.3715217391304346</v>
      </c>
      <c r="H4" s="11">
        <v>21</v>
      </c>
      <c r="I4" s="9">
        <v>1478.9</v>
      </c>
      <c r="J4" s="9">
        <v>1135.71</v>
      </c>
      <c r="K4" s="9">
        <f t="shared" si="1"/>
        <v>54.081428571428575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26.9</v>
      </c>
      <c r="G5" s="7" t="e">
        <f t="shared" si="0"/>
        <v>#DIV/0!</v>
      </c>
      <c r="H5" s="11">
        <v>0</v>
      </c>
      <c r="I5" s="9">
        <v>0</v>
      </c>
      <c r="J5" s="9">
        <v>1.37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49</v>
      </c>
      <c r="E7" s="7">
        <v>3397.25</v>
      </c>
      <c r="F7" s="7">
        <v>854.02</v>
      </c>
      <c r="G7" s="7">
        <f t="shared" si="0"/>
        <v>17.428979591836736</v>
      </c>
      <c r="H7" s="11">
        <v>0</v>
      </c>
      <c r="I7" s="9">
        <v>0</v>
      </c>
      <c r="J7" s="9">
        <v>426.82</v>
      </c>
      <c r="K7" s="9" t="e">
        <f t="shared" si="1"/>
        <v>#DIV/0!</v>
      </c>
    </row>
    <row r="8" spans="1:11" x14ac:dyDescent="0.25">
      <c r="A8" s="23"/>
      <c r="B8" s="5" t="s">
        <v>13</v>
      </c>
      <c r="C8" s="17">
        <v>35</v>
      </c>
      <c r="D8" s="10">
        <v>132</v>
      </c>
      <c r="E8" s="7">
        <v>8084.9</v>
      </c>
      <c r="F8" s="7">
        <v>2337.73</v>
      </c>
      <c r="G8" s="7">
        <f t="shared" si="0"/>
        <v>17.710075757575758</v>
      </c>
      <c r="H8" s="12">
        <v>24</v>
      </c>
      <c r="I8" s="9">
        <v>1533</v>
      </c>
      <c r="J8" s="9">
        <v>1714.05</v>
      </c>
      <c r="K8" s="9">
        <f t="shared" si="1"/>
        <v>71.418750000000003</v>
      </c>
    </row>
    <row r="9" spans="1:11" x14ac:dyDescent="0.25">
      <c r="A9" s="23"/>
      <c r="B9" s="5" t="s">
        <v>17</v>
      </c>
      <c r="C9" s="17">
        <v>35</v>
      </c>
      <c r="D9" s="6">
        <v>3</v>
      </c>
      <c r="E9" s="27">
        <v>144</v>
      </c>
      <c r="F9" s="28">
        <v>22.44</v>
      </c>
      <c r="G9" s="7">
        <f t="shared" si="0"/>
        <v>7.48</v>
      </c>
      <c r="H9" s="11">
        <v>2</v>
      </c>
      <c r="I9" s="9">
        <v>72</v>
      </c>
      <c r="J9" s="9">
        <v>124.46</v>
      </c>
      <c r="K9" s="9">
        <f t="shared" si="1"/>
        <v>62.23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230</v>
      </c>
      <c r="E11" s="14">
        <f>SUM(E3:E10)</f>
        <v>15113.25</v>
      </c>
      <c r="F11" s="14">
        <f>SUM(F3:F10)</f>
        <v>3722.5</v>
      </c>
      <c r="G11" s="14">
        <f>F11/D11</f>
        <v>16.184782608695652</v>
      </c>
      <c r="H11" s="15">
        <f>SUM(H3:H10)</f>
        <v>47</v>
      </c>
      <c r="I11" s="16">
        <f>SUM(I3:I10)</f>
        <v>3083.9</v>
      </c>
      <c r="J11" s="16">
        <f>SUM(J3:J10)</f>
        <v>3403.5199999999995</v>
      </c>
      <c r="K11" s="16">
        <f t="shared" ref="K11" si="2">J11/H11</f>
        <v>72.415319148936163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45739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45745</v>
      </c>
      <c r="B15" s="5" t="s">
        <v>8</v>
      </c>
      <c r="C15" s="17">
        <v>25</v>
      </c>
      <c r="D15" s="10">
        <v>0</v>
      </c>
      <c r="E15" s="7">
        <v>0</v>
      </c>
      <c r="F15" s="7">
        <v>20.350000000000001</v>
      </c>
      <c r="G15" s="7" t="e">
        <f t="shared" ref="G15:G22" si="3">F15/D15</f>
        <v>#DIV/0!</v>
      </c>
      <c r="H15" s="12">
        <v>0</v>
      </c>
      <c r="I15" s="9">
        <v>0</v>
      </c>
      <c r="J15" s="9">
        <v>1.84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41</v>
      </c>
      <c r="E16" s="7">
        <v>2692.9</v>
      </c>
      <c r="F16" s="7">
        <v>375.94</v>
      </c>
      <c r="G16" s="7">
        <f t="shared" si="3"/>
        <v>9.1692682926829274</v>
      </c>
      <c r="H16" s="11">
        <v>23</v>
      </c>
      <c r="I16" s="9">
        <v>1528.85</v>
      </c>
      <c r="J16" s="9">
        <v>1205.8</v>
      </c>
      <c r="K16" s="9">
        <f t="shared" si="4"/>
        <v>52.426086956521736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13.82</v>
      </c>
      <c r="G17" s="7" t="e">
        <f t="shared" si="3"/>
        <v>#DIV/0!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33</v>
      </c>
      <c r="E19" s="7">
        <v>2356.09</v>
      </c>
      <c r="F19" s="7">
        <v>680.05</v>
      </c>
      <c r="G19" s="7">
        <f t="shared" si="3"/>
        <v>20.607575757575756</v>
      </c>
      <c r="H19" s="11">
        <v>10</v>
      </c>
      <c r="I19" s="9">
        <v>669.5</v>
      </c>
      <c r="J19" s="9">
        <v>654.41</v>
      </c>
      <c r="K19" s="9">
        <f t="shared" si="4"/>
        <v>65.441000000000003</v>
      </c>
    </row>
    <row r="20" spans="1:11" x14ac:dyDescent="0.25">
      <c r="A20" s="23"/>
      <c r="B20" s="5" t="s">
        <v>13</v>
      </c>
      <c r="C20" s="17">
        <v>35</v>
      </c>
      <c r="D20" s="10">
        <v>104</v>
      </c>
      <c r="E20" s="7">
        <v>6769</v>
      </c>
      <c r="F20" s="7">
        <v>2138.11</v>
      </c>
      <c r="G20" s="7">
        <f t="shared" si="3"/>
        <v>20.55875</v>
      </c>
      <c r="H20" s="12">
        <v>32</v>
      </c>
      <c r="I20" s="9">
        <v>1990</v>
      </c>
      <c r="J20" s="9">
        <v>1837.98</v>
      </c>
      <c r="K20" s="9">
        <f t="shared" si="4"/>
        <v>57.436875000000001</v>
      </c>
    </row>
    <row r="21" spans="1:11" x14ac:dyDescent="0.25">
      <c r="A21" s="23"/>
      <c r="B21" s="5" t="s">
        <v>17</v>
      </c>
      <c r="C21" s="17">
        <v>35</v>
      </c>
      <c r="D21" s="6">
        <v>0</v>
      </c>
      <c r="E21" s="27">
        <v>0</v>
      </c>
      <c r="F21" s="28">
        <v>40.17</v>
      </c>
      <c r="G21" s="7" t="e">
        <f t="shared" si="3"/>
        <v>#DIV/0!</v>
      </c>
      <c r="H21" s="11">
        <v>0</v>
      </c>
      <c r="I21" s="9">
        <v>0</v>
      </c>
      <c r="J21" s="9">
        <v>35.46</v>
      </c>
      <c r="K21" s="9" t="e">
        <f t="shared" ref="K21" si="5">J21/H21</f>
        <v>#DIV/0!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178</v>
      </c>
      <c r="E23" s="14">
        <f>SUM(E15:E22)</f>
        <v>11817.99</v>
      </c>
      <c r="F23" s="14">
        <f>SUM(F15:F22)</f>
        <v>3268.44</v>
      </c>
      <c r="G23" s="14">
        <f>F23/D23</f>
        <v>18.362022471910112</v>
      </c>
      <c r="H23" s="15">
        <f>SUM(H15:H22)</f>
        <v>65</v>
      </c>
      <c r="I23" s="16">
        <f>SUM(I15:I22)</f>
        <v>4188.3500000000004</v>
      </c>
      <c r="J23" s="16">
        <f>SUM(J15:J22)</f>
        <v>3735.49</v>
      </c>
      <c r="K23" s="16">
        <f t="shared" ref="K23" si="6">J23/H23</f>
        <v>57.469076923076919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-1.4727272727272727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0.39673913043478259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-0.12195121951219512</v>
      </c>
      <c r="E28" s="21">
        <f t="shared" si="7"/>
        <v>-0.29492368821716358</v>
      </c>
      <c r="F28" s="21">
        <f t="shared" si="7"/>
        <v>-0.14669894132042341</v>
      </c>
      <c r="G28" s="21">
        <f t="shared" si="7"/>
        <v>-2.2057752046464315E-2</v>
      </c>
      <c r="H28" s="21">
        <f t="shared" si="7"/>
        <v>8.6956521739130432E-2</v>
      </c>
      <c r="I28" s="21">
        <f t="shared" si="7"/>
        <v>3.2671615920462978E-2</v>
      </c>
      <c r="J28" s="21">
        <f t="shared" si="7"/>
        <v>5.8127384309172268E-2</v>
      </c>
      <c r="K28" s="21">
        <f t="shared" si="7"/>
        <v>-3.1574769566144703E-2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>
        <f t="shared" si="7"/>
        <v>-0.94645441389290863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-0.48484848484848486</v>
      </c>
      <c r="E31" s="21">
        <f t="shared" si="7"/>
        <v>-0.44190162515014275</v>
      </c>
      <c r="F31" s="21">
        <f t="shared" si="7"/>
        <v>-0.25581942504227634</v>
      </c>
      <c r="G31" s="21">
        <f t="shared" si="7"/>
        <v>0.15424406068581378</v>
      </c>
      <c r="H31" s="21">
        <f t="shared" si="7"/>
        <v>1</v>
      </c>
      <c r="I31" s="21">
        <f t="shared" si="7"/>
        <v>1</v>
      </c>
      <c r="J31" s="21">
        <f t="shared" si="7"/>
        <v>0.34777891535887284</v>
      </c>
      <c r="K31" s="21" t="e">
        <f t="shared" si="7"/>
        <v>#DIV/0!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-0.26923076923076922</v>
      </c>
      <c r="E32" s="21">
        <f t="shared" si="7"/>
        <v>-0.19440094548677792</v>
      </c>
      <c r="F32" s="21">
        <f t="shared" si="7"/>
        <v>-9.3362829788925683E-2</v>
      </c>
      <c r="G32" s="21">
        <f t="shared" si="7"/>
        <v>0.13856261895417968</v>
      </c>
      <c r="H32" s="21">
        <f t="shared" si="7"/>
        <v>0.25</v>
      </c>
      <c r="I32" s="21">
        <f t="shared" si="7"/>
        <v>0.22964824120603014</v>
      </c>
      <c r="J32" s="21">
        <f t="shared" si="7"/>
        <v>6.7427284301243784E-2</v>
      </c>
      <c r="K32" s="21">
        <f t="shared" si="7"/>
        <v>-0.2434302875983417</v>
      </c>
    </row>
    <row r="33" spans="1:11" x14ac:dyDescent="0.25">
      <c r="A33" s="23"/>
      <c r="B33" s="5" t="s">
        <v>17</v>
      </c>
      <c r="C33" s="17">
        <v>35</v>
      </c>
      <c r="D33" s="21" t="e">
        <f t="shared" si="7"/>
        <v>#DIV/0!</v>
      </c>
      <c r="E33" s="21" t="e">
        <f t="shared" si="7"/>
        <v>#DIV/0!</v>
      </c>
      <c r="F33" s="21">
        <f t="shared" si="7"/>
        <v>0.44137415982076178</v>
      </c>
      <c r="G33" s="21" t="e">
        <f t="shared" si="7"/>
        <v>#DIV/0!</v>
      </c>
      <c r="H33" s="21" t="e">
        <f t="shared" si="7"/>
        <v>#DIV/0!</v>
      </c>
      <c r="I33" s="21" t="e">
        <f t="shared" si="7"/>
        <v>#DIV/0!</v>
      </c>
      <c r="J33" s="21">
        <f t="shared" si="7"/>
        <v>-2.5098702763677383</v>
      </c>
      <c r="K33" s="21" t="e">
        <f t="shared" si="7"/>
        <v>#DIV/0!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-0.29213483146067415</v>
      </c>
      <c r="E35" s="22">
        <f t="shared" si="7"/>
        <v>-0.27883421800153835</v>
      </c>
      <c r="F35" s="22">
        <f t="shared" si="7"/>
        <v>-0.13892254408831123</v>
      </c>
      <c r="G35" s="22">
        <f t="shared" si="7"/>
        <v>0.11857298761861129</v>
      </c>
      <c r="H35" s="22">
        <f t="shared" si="7"/>
        <v>0.27692307692307694</v>
      </c>
      <c r="I35" s="22">
        <f t="shared" si="7"/>
        <v>0.26369572743443126</v>
      </c>
      <c r="J35" s="22">
        <f t="shared" si="7"/>
        <v>8.8869197883008733E-2</v>
      </c>
      <c r="K35" s="22">
        <f t="shared" si="7"/>
        <v>-0.26007451356605182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2025-03-31T13:40:53Z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