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1A9AA0F-0ED5-4F04-B9D8-7CAE24BA912B}" xr6:coauthVersionLast="47" xr6:coauthVersionMax="47" xr10:uidLastSave="{00000000-0000-0000-0000-000000000000}"/>
  <bookViews>
    <workbookView xWindow="2580" yWindow="0" windowWidth="2010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23" i="2"/>
  <c r="G23" i="2"/>
  <c r="K11" i="2"/>
  <c r="G11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6" i="2" l="1"/>
  <c r="I36" i="2"/>
  <c r="H36" i="2"/>
  <c r="F36" i="2"/>
  <c r="E36" i="2"/>
  <c r="D36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5" i="2"/>
  <c r="I25" i="2"/>
  <c r="H37" i="2"/>
  <c r="F25" i="2"/>
  <c r="E25" i="2"/>
  <c r="D25" i="2"/>
  <c r="G31" i="2"/>
  <c r="G29" i="2"/>
  <c r="E37" i="2" l="1"/>
  <c r="D37" i="2"/>
  <c r="G36" i="2"/>
  <c r="G30" i="2"/>
  <c r="K29" i="2"/>
  <c r="G33" i="2"/>
  <c r="K33" i="2"/>
  <c r="K30" i="2"/>
  <c r="K36" i="2"/>
  <c r="G25" i="2"/>
  <c r="I37" i="2"/>
  <c r="K31" i="2"/>
  <c r="J37" i="2"/>
  <c r="G32" i="2"/>
  <c r="K32" i="2"/>
  <c r="K25" i="2"/>
  <c r="F37" i="2"/>
  <c r="K37" i="2" l="1"/>
  <c r="G37" i="2"/>
</calcChain>
</file>

<file path=xl/sharedStrings.xml><?xml version="1.0" encoding="utf-8"?>
<sst xmlns="http://schemas.openxmlformats.org/spreadsheetml/2006/main" count="65" uniqueCount="20">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</sst>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7"/>
  <sheetViews>
    <sheetView tabSelected="1" topLeftCell="A7" workbookViewId="0">
      <selection activeCell="L17" sqref="L17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45774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45780</v>
      </c>
      <c r="B3" s="5" t="s">
        <v>8</v>
      </c>
      <c r="C3" s="17">
        <v>25</v>
      </c>
      <c r="D3" s="10">
        <v>0</v>
      </c>
      <c r="E3" s="7">
        <v>0</v>
      </c>
      <c r="F3" s="7">
        <v>51.04</v>
      </c>
      <c r="G3" s="7" t="e">
        <f t="shared" ref="G3:G11" si="0">F3/D3</f>
        <v>#DIV/0!</v>
      </c>
      <c r="H3" s="12">
        <v>0</v>
      </c>
      <c r="I3" s="9">
        <v>0</v>
      </c>
      <c r="J3" s="9">
        <v>3.68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48</v>
      </c>
      <c r="E4" s="7">
        <v>3137.45</v>
      </c>
      <c r="F4" s="7">
        <v>537.95000000000005</v>
      </c>
      <c r="G4" s="7">
        <f t="shared" si="0"/>
        <v>11.207291666666668</v>
      </c>
      <c r="H4" s="11">
        <v>15</v>
      </c>
      <c r="I4" s="9">
        <v>1019.2</v>
      </c>
      <c r="J4" s="9">
        <v>1104.5</v>
      </c>
      <c r="K4" s="9">
        <f t="shared" si="1"/>
        <v>73.63333333333334</v>
      </c>
    </row>
    <row r="5" spans="1:11" x14ac:dyDescent="0.25">
      <c r="A5" s="23"/>
      <c r="B5" s="5" t="s">
        <v>10</v>
      </c>
      <c r="C5" s="17">
        <v>31</v>
      </c>
      <c r="D5" s="10">
        <v>5</v>
      </c>
      <c r="E5" s="7">
        <v>219.65</v>
      </c>
      <c r="F5" s="7">
        <v>66.75</v>
      </c>
      <c r="G5" s="7">
        <f t="shared" si="0"/>
        <v>13.35</v>
      </c>
      <c r="H5" s="11">
        <v>14</v>
      </c>
      <c r="I5" s="9">
        <v>524.25</v>
      </c>
      <c r="J5" s="9">
        <v>231.14</v>
      </c>
      <c r="K5" s="9">
        <f t="shared" si="1"/>
        <v>16.509999999999998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44</v>
      </c>
      <c r="E7" s="27">
        <v>2792.75</v>
      </c>
      <c r="F7" s="27">
        <v>1004.12</v>
      </c>
      <c r="G7" s="7">
        <f t="shared" si="0"/>
        <v>22.82090909090909</v>
      </c>
      <c r="H7" s="11">
        <v>8</v>
      </c>
      <c r="I7" s="9">
        <v>501.7</v>
      </c>
      <c r="J7" s="9">
        <v>541.63</v>
      </c>
      <c r="K7" s="9">
        <f t="shared" si="1"/>
        <v>67.703749999999999</v>
      </c>
    </row>
    <row r="8" spans="1:11" x14ac:dyDescent="0.25">
      <c r="A8" s="23"/>
      <c r="B8" s="5" t="s">
        <v>13</v>
      </c>
      <c r="C8" s="17">
        <v>35</v>
      </c>
      <c r="D8" s="10">
        <v>134</v>
      </c>
      <c r="E8" s="7">
        <v>8393</v>
      </c>
      <c r="F8" s="7">
        <v>3068.85</v>
      </c>
      <c r="G8" s="7">
        <f t="shared" si="0"/>
        <v>22.90186567164179</v>
      </c>
      <c r="H8" s="12">
        <v>30</v>
      </c>
      <c r="I8" s="9">
        <v>1710</v>
      </c>
      <c r="J8" s="9">
        <v>1944.14</v>
      </c>
      <c r="K8" s="9">
        <f t="shared" si="1"/>
        <v>64.804666666666677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96.31</v>
      </c>
      <c r="G9" s="7" t="e">
        <f t="shared" si="0"/>
        <v>#DIV/0!</v>
      </c>
      <c r="H9" s="11">
        <v>0</v>
      </c>
      <c r="I9" s="9">
        <v>0</v>
      </c>
      <c r="J9" s="9">
        <v>34.26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ref="G10" si="2">F10/D10</f>
        <v>#DIV/0!</v>
      </c>
      <c r="H10" s="11">
        <v>0</v>
      </c>
      <c r="I10" s="9">
        <v>0</v>
      </c>
      <c r="J10" s="9">
        <v>0</v>
      </c>
      <c r="K10" s="9" t="e">
        <f t="shared" ref="K10" si="3">J10/H10</f>
        <v>#DIV/0!</v>
      </c>
    </row>
    <row r="11" spans="1:11" x14ac:dyDescent="0.25">
      <c r="A11" s="23"/>
      <c r="B11" s="5" t="s">
        <v>19</v>
      </c>
      <c r="C11" s="17">
        <v>35</v>
      </c>
      <c r="D11" s="10">
        <v>0</v>
      </c>
      <c r="E11" s="7">
        <v>0</v>
      </c>
      <c r="F11" s="7">
        <v>27.35</v>
      </c>
      <c r="G11" s="7" t="e">
        <f t="shared" si="0"/>
        <v>#DIV/0!</v>
      </c>
      <c r="H11" s="11">
        <v>0</v>
      </c>
      <c r="I11" s="9">
        <v>0</v>
      </c>
      <c r="J11" s="9">
        <v>1.62</v>
      </c>
      <c r="K11" s="9" t="e">
        <f t="shared" si="1"/>
        <v>#DIV/0!</v>
      </c>
    </row>
    <row r="12" spans="1:11" x14ac:dyDescent="0.25">
      <c r="A12" s="23"/>
      <c r="B12" s="5" t="s">
        <v>14</v>
      </c>
      <c r="C12" s="5"/>
      <c r="D12" s="13">
        <f>SUM(D3:D11)</f>
        <v>231</v>
      </c>
      <c r="E12" s="14">
        <f>SUM(E3:E11)</f>
        <v>14542.85</v>
      </c>
      <c r="F12" s="14">
        <f>SUM(F3:F11)</f>
        <v>4852.3700000000008</v>
      </c>
      <c r="G12" s="14">
        <f>F12/D12</f>
        <v>21.00593073593074</v>
      </c>
      <c r="H12" s="15">
        <f>SUM(H3:H11)</f>
        <v>67</v>
      </c>
      <c r="I12" s="16">
        <f>SUM(I3:I11)</f>
        <v>3755.15</v>
      </c>
      <c r="J12" s="16">
        <f>SUM(J3:J11)</f>
        <v>3860.9700000000003</v>
      </c>
      <c r="K12" s="16">
        <f t="shared" ref="K12" si="4">J12/H12</f>
        <v>57.626417910447763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45781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45787</v>
      </c>
      <c r="B16" s="5" t="s">
        <v>8</v>
      </c>
      <c r="C16" s="17">
        <v>25</v>
      </c>
      <c r="D16" s="10">
        <v>0</v>
      </c>
      <c r="E16" s="7">
        <v>0</v>
      </c>
      <c r="F16" s="7">
        <v>34.25</v>
      </c>
      <c r="G16" s="7" t="e">
        <f t="shared" ref="G16:G24" si="5">F16/D16</f>
        <v>#DIV/0!</v>
      </c>
      <c r="H16" s="12">
        <v>0</v>
      </c>
      <c r="I16" s="9">
        <v>0</v>
      </c>
      <c r="J16" s="9">
        <v>0</v>
      </c>
      <c r="K16" s="9" t="e">
        <f t="shared" ref="K16:K24" si="6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31</v>
      </c>
      <c r="E17" s="7">
        <v>2218.15</v>
      </c>
      <c r="F17" s="7">
        <v>464.22</v>
      </c>
      <c r="G17" s="7">
        <f t="shared" si="5"/>
        <v>14.974838709677421</v>
      </c>
      <c r="H17" s="11">
        <v>20</v>
      </c>
      <c r="I17" s="9">
        <v>1478.9</v>
      </c>
      <c r="J17" s="9">
        <v>1043.83</v>
      </c>
      <c r="K17" s="9">
        <f t="shared" si="6"/>
        <v>52.191499999999998</v>
      </c>
    </row>
    <row r="18" spans="1:11" x14ac:dyDescent="0.25">
      <c r="A18" s="23"/>
      <c r="B18" s="5" t="s">
        <v>10</v>
      </c>
      <c r="C18" s="17">
        <v>31</v>
      </c>
      <c r="D18" s="10">
        <v>2</v>
      </c>
      <c r="E18" s="7">
        <v>139.80000000000001</v>
      </c>
      <c r="F18" s="7">
        <v>13.99</v>
      </c>
      <c r="G18" s="7">
        <f t="shared" si="5"/>
        <v>6.9950000000000001</v>
      </c>
      <c r="H18" s="11">
        <v>9</v>
      </c>
      <c r="I18" s="9">
        <v>454.35</v>
      </c>
      <c r="J18" s="9">
        <v>192.18</v>
      </c>
      <c r="K18" s="9">
        <f t="shared" si="6"/>
        <v>21.353333333333335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5"/>
        <v>#DIV/0!</v>
      </c>
      <c r="H19" s="11">
        <v>0</v>
      </c>
      <c r="I19" s="9">
        <v>0</v>
      </c>
      <c r="J19" s="9">
        <v>0</v>
      </c>
      <c r="K19" s="9" t="e">
        <f t="shared" si="6"/>
        <v>#DIV/0!</v>
      </c>
    </row>
    <row r="20" spans="1:11" x14ac:dyDescent="0.25">
      <c r="A20" s="23"/>
      <c r="B20" s="5" t="s">
        <v>12</v>
      </c>
      <c r="C20" s="17">
        <v>42</v>
      </c>
      <c r="D20" s="6">
        <v>35</v>
      </c>
      <c r="E20" s="27">
        <v>2478</v>
      </c>
      <c r="F20" s="27">
        <v>915.32</v>
      </c>
      <c r="G20" s="7">
        <f t="shared" si="5"/>
        <v>26.152000000000001</v>
      </c>
      <c r="H20" s="11">
        <v>10</v>
      </c>
      <c r="I20" s="9">
        <v>789.35</v>
      </c>
      <c r="J20" s="9">
        <v>1117.1100000000001</v>
      </c>
      <c r="K20" s="9">
        <f t="shared" si="6"/>
        <v>111.71100000000001</v>
      </c>
    </row>
    <row r="21" spans="1:11" x14ac:dyDescent="0.25">
      <c r="A21" s="23"/>
      <c r="B21" s="5" t="s">
        <v>13</v>
      </c>
      <c r="C21" s="17">
        <v>35</v>
      </c>
      <c r="D21" s="10">
        <v>154</v>
      </c>
      <c r="E21" s="7">
        <v>9522</v>
      </c>
      <c r="F21" s="7">
        <v>3314.62</v>
      </c>
      <c r="G21" s="7">
        <f t="shared" si="5"/>
        <v>21.523506493506492</v>
      </c>
      <c r="H21" s="12">
        <v>34</v>
      </c>
      <c r="I21" s="9">
        <v>2286.9</v>
      </c>
      <c r="J21" s="9">
        <v>1723.98</v>
      </c>
      <c r="K21" s="9">
        <f t="shared" si="6"/>
        <v>50.705294117647057</v>
      </c>
    </row>
    <row r="22" spans="1:11" x14ac:dyDescent="0.25">
      <c r="A22" s="23"/>
      <c r="B22" s="5" t="s">
        <v>17</v>
      </c>
      <c r="C22" s="17">
        <v>35</v>
      </c>
      <c r="D22" s="6">
        <v>7</v>
      </c>
      <c r="E22" s="27">
        <v>324</v>
      </c>
      <c r="F22" s="28">
        <v>84.87</v>
      </c>
      <c r="G22" s="7">
        <f t="shared" si="5"/>
        <v>12.124285714285715</v>
      </c>
      <c r="H22" s="11">
        <v>2</v>
      </c>
      <c r="I22" s="9">
        <v>72</v>
      </c>
      <c r="J22" s="9">
        <v>68.41</v>
      </c>
      <c r="K22" s="9">
        <f t="shared" ref="K22:K23" si="7">J22/H22</f>
        <v>34.204999999999998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8">F23/D23</f>
        <v>#DIV/0!</v>
      </c>
      <c r="H23" s="11">
        <v>0</v>
      </c>
      <c r="I23" s="9">
        <v>0</v>
      </c>
      <c r="J23" s="9">
        <v>0</v>
      </c>
      <c r="K23" s="9" t="e">
        <f t="shared" si="7"/>
        <v>#DIV/0!</v>
      </c>
    </row>
    <row r="24" spans="1:11" x14ac:dyDescent="0.25">
      <c r="A24" s="23"/>
      <c r="B24" s="5" t="s">
        <v>19</v>
      </c>
      <c r="C24" s="17">
        <v>35</v>
      </c>
      <c r="D24" s="10">
        <v>1</v>
      </c>
      <c r="E24" s="7">
        <v>96</v>
      </c>
      <c r="F24" s="7">
        <v>33.729999999999997</v>
      </c>
      <c r="G24" s="7">
        <f t="shared" si="5"/>
        <v>33.729999999999997</v>
      </c>
      <c r="H24" s="11">
        <v>3</v>
      </c>
      <c r="I24" s="9">
        <v>42</v>
      </c>
      <c r="J24" s="9">
        <v>63.54</v>
      </c>
      <c r="K24" s="9">
        <f t="shared" si="6"/>
        <v>21.18</v>
      </c>
    </row>
    <row r="25" spans="1:11" x14ac:dyDescent="0.25">
      <c r="A25" s="23"/>
      <c r="B25" s="5" t="s">
        <v>14</v>
      </c>
      <c r="C25" s="5"/>
      <c r="D25" s="13">
        <f>SUM(D16:D24)</f>
        <v>230</v>
      </c>
      <c r="E25" s="14">
        <f>SUM(E16:E24)</f>
        <v>14777.95</v>
      </c>
      <c r="F25" s="14">
        <f>SUM(F16:F24)</f>
        <v>4860.9999999999991</v>
      </c>
      <c r="G25" s="14">
        <f>F25/D25</f>
        <v>21.134782608695648</v>
      </c>
      <c r="H25" s="15">
        <f>SUM(H16:H24)</f>
        <v>78</v>
      </c>
      <c r="I25" s="16">
        <f>SUM(I16:I24)</f>
        <v>5123.5</v>
      </c>
      <c r="J25" s="16">
        <f>SUM(J16:J24)</f>
        <v>4209.05</v>
      </c>
      <c r="K25" s="16">
        <f t="shared" ref="K25" si="9">J25/H25</f>
        <v>53.96217948717949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>(E16-E3)/E16</f>
        <v>#DIV/0!</v>
      </c>
      <c r="F29" s="21">
        <f>(F16-F3)/F16</f>
        <v>-0.49021897810218973</v>
      </c>
      <c r="G29" s="21" t="e">
        <f>(G16-G3)/G16</f>
        <v>#DIV/0!</v>
      </c>
      <c r="H29" s="21" t="e">
        <f>(H16-H3)/H16</f>
        <v>#DIV/0!</v>
      </c>
      <c r="I29" s="21" t="e">
        <f>(I16-I3)/I16</f>
        <v>#DIV/0!</v>
      </c>
      <c r="J29" s="21" t="e">
        <f>(J16-J3)/J16</f>
        <v>#DIV/0!</v>
      </c>
      <c r="K29" s="21" t="e">
        <f>(K16-K3)/K16</f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-0.54838709677419351</v>
      </c>
      <c r="E30" s="21">
        <f>(E17-E4)/E17</f>
        <v>-0.41444446949034092</v>
      </c>
      <c r="F30" s="21">
        <f>(F17-F4)/F17</f>
        <v>-0.15882555684804622</v>
      </c>
      <c r="G30" s="21">
        <f>(G17-G4)/G17</f>
        <v>0.25159182786897016</v>
      </c>
      <c r="H30" s="21">
        <f>(H17-H4)/H17</f>
        <v>0.25</v>
      </c>
      <c r="I30" s="21">
        <f>(I17-I4)/I17</f>
        <v>0.31083913719656503</v>
      </c>
      <c r="J30" s="21">
        <f>(J17-J4)/J17</f>
        <v>-5.8122491210254618E-2</v>
      </c>
      <c r="K30" s="21">
        <f>(K17-K4)/K17</f>
        <v>-0.41082998828033956</v>
      </c>
    </row>
    <row r="31" spans="1:11" x14ac:dyDescent="0.25">
      <c r="A31" s="23"/>
      <c r="B31" s="5" t="s">
        <v>10</v>
      </c>
      <c r="C31" s="17">
        <v>31</v>
      </c>
      <c r="D31" s="21">
        <f>(D18-D5)/D18</f>
        <v>-1.5</v>
      </c>
      <c r="E31" s="21">
        <f>(E18-E5)/E18</f>
        <v>-0.57117310443490688</v>
      </c>
      <c r="F31" s="21">
        <f>(F18-F5)/F18</f>
        <v>-3.771265189421015</v>
      </c>
      <c r="G31" s="21">
        <f>(G18-G5)/G18</f>
        <v>-0.90850607576840592</v>
      </c>
      <c r="H31" s="21">
        <f>(H18-H5)/H18</f>
        <v>-0.55555555555555558</v>
      </c>
      <c r="I31" s="21">
        <f>(I18-I5)/I18</f>
        <v>-0.1538461538461538</v>
      </c>
      <c r="J31" s="21">
        <f>(J18-J5)/J18</f>
        <v>-0.20272661046935153</v>
      </c>
      <c r="K31" s="21">
        <f>(K18-K5)/K18</f>
        <v>0.22681860755541697</v>
      </c>
    </row>
    <row r="32" spans="1:11" x14ac:dyDescent="0.25">
      <c r="A32" s="23"/>
      <c r="B32" s="5" t="s">
        <v>11</v>
      </c>
      <c r="C32" s="17">
        <v>15</v>
      </c>
      <c r="D32" s="21" t="e">
        <f>(D19-D6)/D19</f>
        <v>#DIV/0!</v>
      </c>
      <c r="E32" s="21" t="e">
        <f>(E19-E6)/E19</f>
        <v>#DIV/0!</v>
      </c>
      <c r="F32" s="21" t="e">
        <f>(F19-F6)/F19</f>
        <v>#DIV/0!</v>
      </c>
      <c r="G32" s="21" t="e">
        <f>(G19-G6)/G19</f>
        <v>#DIV/0!</v>
      </c>
      <c r="H32" s="21" t="e">
        <f>(H19-H6)/H19</f>
        <v>#DIV/0!</v>
      </c>
      <c r="I32" s="21" t="e">
        <f>(I19-I6)/I19</f>
        <v>#DIV/0!</v>
      </c>
      <c r="J32" s="21" t="e">
        <f>(J19-J6)/J19</f>
        <v>#DIV/0!</v>
      </c>
      <c r="K32" s="21" t="e">
        <f>(K19-K6)/K19</f>
        <v>#DIV/0!</v>
      </c>
    </row>
    <row r="33" spans="1:11" x14ac:dyDescent="0.25">
      <c r="A33" s="23"/>
      <c r="B33" s="5" t="s">
        <v>12</v>
      </c>
      <c r="C33" s="17">
        <v>42</v>
      </c>
      <c r="D33" s="21">
        <f>(D20-D7)/D20</f>
        <v>-0.25714285714285712</v>
      </c>
      <c r="E33" s="21">
        <f>(E20-E7)/E20</f>
        <v>-0.12701775625504438</v>
      </c>
      <c r="F33" s="21">
        <f>(F20-F7)/F20</f>
        <v>-9.7015251496744254E-2</v>
      </c>
      <c r="G33" s="21">
        <f>(G20-G7)/G20</f>
        <v>0.12737423176395343</v>
      </c>
      <c r="H33" s="21">
        <f>(H20-H7)/H20</f>
        <v>0.2</v>
      </c>
      <c r="I33" s="21">
        <f>(I20-I7)/I20</f>
        <v>0.36441375815544441</v>
      </c>
      <c r="J33" s="21">
        <f>(J20-J7)/J20</f>
        <v>0.5151507013633394</v>
      </c>
      <c r="K33" s="21">
        <f>(K20-K7)/K20</f>
        <v>0.39393837670417425</v>
      </c>
    </row>
    <row r="34" spans="1:11" x14ac:dyDescent="0.25">
      <c r="A34" s="23"/>
      <c r="B34" s="5" t="s">
        <v>13</v>
      </c>
      <c r="C34" s="17">
        <v>35</v>
      </c>
      <c r="D34" s="21">
        <f>(D21-D8)/D21</f>
        <v>0.12987012987012986</v>
      </c>
      <c r="E34" s="21">
        <f>(E21-E8)/E21</f>
        <v>0.11856752783028776</v>
      </c>
      <c r="F34" s="21">
        <f>(F21-F8)/F21</f>
        <v>7.4147262732982958E-2</v>
      </c>
      <c r="G34" s="21">
        <f>(G21-G8)/G21</f>
        <v>-6.4039712978512145E-2</v>
      </c>
      <c r="H34" s="21">
        <f>(H21-H8)/H21</f>
        <v>0.11764705882352941</v>
      </c>
      <c r="I34" s="21">
        <f>(I21-I8)/I21</f>
        <v>0.25226288862652502</v>
      </c>
      <c r="J34" s="21">
        <f>(J21-J8)/J21</f>
        <v>-0.1277044977319923</v>
      </c>
      <c r="K34" s="21">
        <f>(K21-K8)/K21</f>
        <v>-0.27806509742959146</v>
      </c>
    </row>
    <row r="35" spans="1:11" x14ac:dyDescent="0.25">
      <c r="A35" s="23"/>
      <c r="B35" s="5" t="s">
        <v>17</v>
      </c>
      <c r="C35" s="17">
        <v>35</v>
      </c>
      <c r="D35" s="21">
        <f>(D22-D9)/D22</f>
        <v>1</v>
      </c>
      <c r="E35" s="21">
        <f>(E22-E9)/E22</f>
        <v>1</v>
      </c>
      <c r="F35" s="21">
        <f>(F22-F9)/F22</f>
        <v>-0.13479439142217506</v>
      </c>
      <c r="G35" s="21" t="e">
        <f>(G22-G9)/G22</f>
        <v>#DIV/0!</v>
      </c>
      <c r="H35" s="21">
        <f>(H22-H9)/H22</f>
        <v>1</v>
      </c>
      <c r="I35" s="21">
        <f>(I22-I9)/I22</f>
        <v>1</v>
      </c>
      <c r="J35" s="21">
        <f>(J22-J9)/J22</f>
        <v>0.49919602397310336</v>
      </c>
      <c r="K35" s="21" t="e">
        <f>(K22-K9)/K22</f>
        <v>#DIV/0!</v>
      </c>
    </row>
    <row r="36" spans="1:11" x14ac:dyDescent="0.25">
      <c r="A36" s="23"/>
      <c r="B36" s="5" t="s">
        <v>18</v>
      </c>
      <c r="C36" s="17">
        <v>35</v>
      </c>
      <c r="D36" s="21">
        <f>(D24-D11)/D24</f>
        <v>1</v>
      </c>
      <c r="E36" s="21">
        <f>(E24-E11)/E24</f>
        <v>1</v>
      </c>
      <c r="F36" s="21">
        <f>(F24-F11)/F24</f>
        <v>0.18914912540764886</v>
      </c>
      <c r="G36" s="21" t="e">
        <f>(G24-G11)/G24</f>
        <v>#DIV/0!</v>
      </c>
      <c r="H36" s="21">
        <f>(H24-H11)/H24</f>
        <v>1</v>
      </c>
      <c r="I36" s="21">
        <f>(I24-I11)/I24</f>
        <v>1</v>
      </c>
      <c r="J36" s="21">
        <f>(J24-J11)/J24</f>
        <v>0.9745042492917847</v>
      </c>
      <c r="K36" s="21" t="e">
        <f>(K24-K11)/K24</f>
        <v>#DIV/0!</v>
      </c>
    </row>
    <row r="37" spans="1:11" x14ac:dyDescent="0.25">
      <c r="A37" s="23"/>
      <c r="B37" s="5" t="s">
        <v>14</v>
      </c>
      <c r="C37" s="5"/>
      <c r="D37" s="22">
        <f>(D25-D12)/D25</f>
        <v>-4.3478260869565218E-3</v>
      </c>
      <c r="E37" s="22">
        <f>(E25-E12)/E25</f>
        <v>1.5908837152649749E-2</v>
      </c>
      <c r="F37" s="22">
        <f>(F25-F12)/F25</f>
        <v>1.7753548652537116E-3</v>
      </c>
      <c r="G37" s="22">
        <f>(G25-G12)/G25</f>
        <v>6.096673675360818E-3</v>
      </c>
      <c r="H37" s="22">
        <f>(H25-H12)/H25</f>
        <v>0.14102564102564102</v>
      </c>
      <c r="I37" s="22">
        <f>(I25-I12)/I25</f>
        <v>0.26707328974333949</v>
      </c>
      <c r="J37" s="22">
        <f>(J25-J12)/J25</f>
        <v>8.2697995984842163E-2</v>
      </c>
      <c r="K37" s="22">
        <f>(K25-K12)/K25</f>
        <v>-6.7903825569885196E-2</v>
      </c>
    </row>
  </sheetData>
  <conditionalFormatting sqref="D29:K37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7 J29:K37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2025-05-12T13:30:50Z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