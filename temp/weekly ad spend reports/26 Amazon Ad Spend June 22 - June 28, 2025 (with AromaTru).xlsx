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04A524F-A873-4900-95B6-A0A4B261FE5F}" xr6:coauthVersionLast="47" xr6:coauthVersionMax="47" xr10:uidLastSave="{00000000-0000-0000-0000-000000000000}"/>
  <bookViews>
    <workbookView xWindow="2010" yWindow="1935" windowWidth="24645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2" l="1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D30" i="2"/>
  <c r="D29" i="2"/>
  <c r="J30" i="2" l="1"/>
  <c r="J36" i="2"/>
  <c r="I36" i="2"/>
  <c r="H36" i="2"/>
  <c r="F36" i="2"/>
  <c r="E36" i="2"/>
  <c r="D36" i="2"/>
  <c r="K23" i="2" l="1"/>
  <c r="K36" i="2" s="1"/>
  <c r="G23" i="2"/>
  <c r="G36" i="2" s="1"/>
  <c r="J12" i="2" l="1"/>
  <c r="I12" i="2"/>
  <c r="H12" i="2"/>
  <c r="F12" i="2"/>
  <c r="E12" i="2"/>
  <c r="D12" i="2"/>
  <c r="G24" i="2"/>
  <c r="G22" i="2"/>
  <c r="G21" i="2"/>
  <c r="G20" i="2"/>
  <c r="G18" i="2"/>
  <c r="G17" i="2"/>
  <c r="G16" i="2"/>
  <c r="K12" i="2" l="1"/>
  <c r="G12" i="2"/>
  <c r="G19" i="2"/>
  <c r="K19" i="2" l="1"/>
  <c r="J35" i="2" l="1"/>
  <c r="I35" i="2"/>
  <c r="H35" i="2"/>
  <c r="F35" i="2"/>
  <c r="E35" i="2"/>
  <c r="D35" i="2"/>
  <c r="K22" i="2"/>
  <c r="K35" i="2" s="1"/>
  <c r="G35" i="2"/>
  <c r="K24" i="2" l="1"/>
  <c r="K21" i="2"/>
  <c r="K20" i="2"/>
  <c r="K18" i="2"/>
  <c r="K17" i="2"/>
  <c r="K16" i="2"/>
  <c r="J34" i="2" l="1"/>
  <c r="I34" i="2"/>
  <c r="H34" i="2"/>
  <c r="F34" i="2"/>
  <c r="E34" i="2"/>
  <c r="D34" i="2"/>
  <c r="K34" i="2" l="1"/>
  <c r="G34" i="2"/>
  <c r="H25" i="2" l="1"/>
  <c r="J37" i="2" l="1"/>
  <c r="I37" i="2"/>
  <c r="H37" i="2"/>
  <c r="F37" i="2"/>
  <c r="E37" i="2"/>
  <c r="D37" i="2"/>
  <c r="J33" i="2"/>
  <c r="I33" i="2"/>
  <c r="H33" i="2"/>
  <c r="F33" i="2"/>
  <c r="E33" i="2"/>
  <c r="D33" i="2"/>
  <c r="J32" i="2"/>
  <c r="I32" i="2"/>
  <c r="H32" i="2"/>
  <c r="F32" i="2"/>
  <c r="E32" i="2"/>
  <c r="D32" i="2"/>
  <c r="J31" i="2"/>
  <c r="I31" i="2"/>
  <c r="H31" i="2"/>
  <c r="F31" i="2"/>
  <c r="E31" i="2"/>
  <c r="D31" i="2"/>
  <c r="I30" i="2"/>
  <c r="H30" i="2"/>
  <c r="F30" i="2"/>
  <c r="E30" i="2"/>
  <c r="J29" i="2"/>
  <c r="I29" i="2"/>
  <c r="H29" i="2"/>
  <c r="F29" i="2"/>
  <c r="E29" i="2"/>
  <c r="J25" i="2"/>
  <c r="I25" i="2"/>
  <c r="H38" i="2"/>
  <c r="F25" i="2"/>
  <c r="E25" i="2"/>
  <c r="D25" i="2"/>
  <c r="G31" i="2"/>
  <c r="G29" i="2"/>
  <c r="E38" i="2" l="1"/>
  <c r="D38" i="2"/>
  <c r="G37" i="2"/>
  <c r="G30" i="2"/>
  <c r="K29" i="2"/>
  <c r="G33" i="2"/>
  <c r="K33" i="2"/>
  <c r="K30" i="2"/>
  <c r="K37" i="2"/>
  <c r="G25" i="2"/>
  <c r="I38" i="2"/>
  <c r="K31" i="2"/>
  <c r="J38" i="2"/>
  <c r="G32" i="2"/>
  <c r="K32" i="2"/>
  <c r="K25" i="2"/>
  <c r="F38" i="2"/>
  <c r="K38" i="2" l="1"/>
  <c r="G38" i="2"/>
</calcChain>
</file>

<file path=xl/sharedStrings.xml><?xml version="1.0" encoding="utf-8"?>
<sst xmlns="http://schemas.openxmlformats.org/spreadsheetml/2006/main" count="66" uniqueCount="20">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</sst>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8"/>
  <sheetViews>
    <sheetView tabSelected="1" topLeftCell="A4" workbookViewId="0">
      <selection activeCell="I16" sqref="I16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45823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45829</v>
      </c>
      <c r="B3" s="5" t="s">
        <v>8</v>
      </c>
      <c r="C3" s="17">
        <v>25</v>
      </c>
      <c r="D3" s="10">
        <v>0</v>
      </c>
      <c r="E3" s="7">
        <v>0</v>
      </c>
      <c r="F3" s="7">
        <v>2.52</v>
      </c>
      <c r="G3" s="7" t="e">
        <f t="shared" ref="G3:G11" si="0">F3/D3</f>
        <v>#DIV/0!</v>
      </c>
      <c r="H3" s="12">
        <v>0</v>
      </c>
      <c r="I3" s="9">
        <v>0</v>
      </c>
      <c r="J3" s="9">
        <v>0</v>
      </c>
      <c r="K3" s="9" t="e">
        <f t="shared" ref="K3:K11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27</v>
      </c>
      <c r="E4" s="7">
        <v>1788.6</v>
      </c>
      <c r="F4" s="7">
        <v>443.89</v>
      </c>
      <c r="G4" s="7">
        <f t="shared" si="0"/>
        <v>16.440370370370371</v>
      </c>
      <c r="H4" s="11">
        <v>10</v>
      </c>
      <c r="I4" s="9">
        <v>649.5</v>
      </c>
      <c r="J4" s="9">
        <v>685.12</v>
      </c>
      <c r="K4" s="9">
        <f t="shared" si="1"/>
        <v>68.512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1">
        <v>7</v>
      </c>
      <c r="I5" s="9">
        <v>629.1</v>
      </c>
      <c r="J5" s="9">
        <v>116.44</v>
      </c>
      <c r="K5" s="9">
        <f t="shared" si="1"/>
        <v>16.634285714285713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43</v>
      </c>
      <c r="E7" s="27">
        <v>3257.35</v>
      </c>
      <c r="F7" s="27">
        <v>733.49</v>
      </c>
      <c r="G7" s="7">
        <f t="shared" si="0"/>
        <v>17.057906976744185</v>
      </c>
      <c r="H7" s="11">
        <v>9</v>
      </c>
      <c r="I7" s="9">
        <v>686.5</v>
      </c>
      <c r="J7" s="9">
        <v>632.37</v>
      </c>
      <c r="K7" s="9">
        <f t="shared" si="1"/>
        <v>70.263333333333335</v>
      </c>
    </row>
    <row r="8" spans="1:11" x14ac:dyDescent="0.25">
      <c r="A8" s="23"/>
      <c r="B8" s="5" t="s">
        <v>13</v>
      </c>
      <c r="C8" s="17">
        <v>35</v>
      </c>
      <c r="D8" s="10">
        <v>126</v>
      </c>
      <c r="E8" s="7">
        <v>9104.2000000000007</v>
      </c>
      <c r="F8" s="7">
        <v>2788.6099999999997</v>
      </c>
      <c r="G8" s="7">
        <f t="shared" si="0"/>
        <v>22.131825396825395</v>
      </c>
      <c r="H8" s="12">
        <v>19</v>
      </c>
      <c r="I8" s="9">
        <v>1177</v>
      </c>
      <c r="J8" s="9">
        <v>1156.3599999999999</v>
      </c>
      <c r="K8" s="9">
        <f t="shared" si="1"/>
        <v>60.861052631578943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0</v>
      </c>
      <c r="G9" s="7" t="e">
        <f t="shared" si="0"/>
        <v>#DIV/0!</v>
      </c>
      <c r="H9" s="11">
        <v>0</v>
      </c>
      <c r="I9" s="9">
        <v>0</v>
      </c>
      <c r="J9" s="9">
        <v>3.53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1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19</v>
      </c>
      <c r="C11" s="17">
        <v>35</v>
      </c>
      <c r="D11" s="10">
        <v>1</v>
      </c>
      <c r="E11" s="7">
        <v>14</v>
      </c>
      <c r="F11" s="7">
        <v>38.1</v>
      </c>
      <c r="G11" s="7">
        <f t="shared" si="0"/>
        <v>38.1</v>
      </c>
      <c r="H11" s="11">
        <v>8</v>
      </c>
      <c r="I11" s="9">
        <v>112</v>
      </c>
      <c r="J11" s="9">
        <v>441.07</v>
      </c>
      <c r="K11" s="9">
        <f t="shared" si="1"/>
        <v>55.133749999999999</v>
      </c>
    </row>
    <row r="12" spans="1:11" x14ac:dyDescent="0.25">
      <c r="A12" s="23"/>
      <c r="B12" s="5" t="s">
        <v>14</v>
      </c>
      <c r="C12" s="5"/>
      <c r="D12" s="13">
        <f>SUM(D3:D11)</f>
        <v>197</v>
      </c>
      <c r="E12" s="14">
        <f>SUM(E3:E11)</f>
        <v>14164.150000000001</v>
      </c>
      <c r="F12" s="14">
        <f>SUM(F3:F11)</f>
        <v>4006.6099999999997</v>
      </c>
      <c r="G12" s="14">
        <f>F12/D12</f>
        <v>20.338121827411165</v>
      </c>
      <c r="H12" s="15">
        <f>SUM(H3:H11)</f>
        <v>53</v>
      </c>
      <c r="I12" s="16">
        <f>SUM(I3:I11)</f>
        <v>3254.1</v>
      </c>
      <c r="J12" s="16">
        <f>SUM(J3:J11)</f>
        <v>3034.8900000000003</v>
      </c>
      <c r="K12" s="16">
        <f t="shared" ref="K12" si="2">J12/H12</f>
        <v>57.262075471698118</v>
      </c>
    </row>
    <row r="13" spans="1:11" x14ac:dyDescent="0.25">
      <c r="A13" s="23"/>
    </row>
    <row r="14" spans="1:11" x14ac:dyDescent="0.25">
      <c r="A14" s="25"/>
      <c r="B14" s="24"/>
      <c r="C14" s="24"/>
      <c r="D14" s="1" t="s">
        <v>0</v>
      </c>
      <c r="E14" s="2"/>
      <c r="F14" s="2"/>
      <c r="G14" s="2"/>
      <c r="H14" s="3" t="s">
        <v>1</v>
      </c>
      <c r="I14" s="4"/>
      <c r="J14" s="4"/>
      <c r="K14" s="4"/>
    </row>
    <row r="15" spans="1:11" x14ac:dyDescent="0.25">
      <c r="A15" s="26">
        <v>45830</v>
      </c>
      <c r="B15" s="5" t="s">
        <v>2</v>
      </c>
      <c r="C15" s="5" t="s">
        <v>15</v>
      </c>
      <c r="D15" s="6" t="s">
        <v>3</v>
      </c>
      <c r="E15" s="7" t="s">
        <v>4</v>
      </c>
      <c r="F15" s="7" t="s">
        <v>5</v>
      </c>
      <c r="G15" s="7" t="s">
        <v>6</v>
      </c>
      <c r="H15" s="8" t="s">
        <v>7</v>
      </c>
      <c r="I15" s="9" t="s">
        <v>4</v>
      </c>
      <c r="J15" s="9" t="s">
        <v>5</v>
      </c>
      <c r="K15" s="9" t="s">
        <v>6</v>
      </c>
    </row>
    <row r="16" spans="1:11" x14ac:dyDescent="0.25">
      <c r="A16" s="26">
        <v>45836</v>
      </c>
      <c r="B16" s="5" t="s">
        <v>8</v>
      </c>
      <c r="C16" s="17">
        <v>25</v>
      </c>
      <c r="D16" s="10">
        <v>0</v>
      </c>
      <c r="E16" s="7">
        <v>0</v>
      </c>
      <c r="F16" s="7">
        <v>0</v>
      </c>
      <c r="G16" s="7" t="e">
        <f t="shared" ref="G16:G24" si="3">F16/D16</f>
        <v>#DIV/0!</v>
      </c>
      <c r="H16" s="12">
        <v>0</v>
      </c>
      <c r="I16" s="9">
        <v>0</v>
      </c>
      <c r="J16" s="9">
        <v>1.84</v>
      </c>
      <c r="K16" s="9" t="e">
        <f t="shared" ref="K16:K24" si="4">J16/H16</f>
        <v>#DIV/0!</v>
      </c>
    </row>
    <row r="17" spans="1:11" x14ac:dyDescent="0.25">
      <c r="A17" s="23"/>
      <c r="B17" s="5" t="s">
        <v>9</v>
      </c>
      <c r="C17" s="17">
        <v>50</v>
      </c>
      <c r="D17" s="10">
        <v>31</v>
      </c>
      <c r="E17" s="7">
        <v>2408.1</v>
      </c>
      <c r="F17" s="7">
        <v>612.58000000000004</v>
      </c>
      <c r="G17" s="7">
        <f t="shared" si="3"/>
        <v>19.760645161290324</v>
      </c>
      <c r="H17" s="11">
        <v>8</v>
      </c>
      <c r="I17" s="9">
        <v>589.55000000000007</v>
      </c>
      <c r="J17" s="9">
        <v>599.34</v>
      </c>
      <c r="K17" s="9">
        <f t="shared" si="4"/>
        <v>74.917500000000004</v>
      </c>
    </row>
    <row r="18" spans="1:11" x14ac:dyDescent="0.25">
      <c r="A18" s="23"/>
      <c r="B18" s="5" t="s">
        <v>10</v>
      </c>
      <c r="C18" s="17">
        <v>31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9</v>
      </c>
      <c r="I18" s="9">
        <v>664.05</v>
      </c>
      <c r="J18" s="9">
        <v>91.74</v>
      </c>
      <c r="K18" s="9">
        <f t="shared" si="4"/>
        <v>10.193333333333333</v>
      </c>
    </row>
    <row r="19" spans="1:11" x14ac:dyDescent="0.25">
      <c r="A19" s="23"/>
      <c r="B19" s="5" t="s">
        <v>11</v>
      </c>
      <c r="C19" s="17">
        <v>15</v>
      </c>
      <c r="D19" s="10">
        <v>0</v>
      </c>
      <c r="E19" s="7">
        <v>0</v>
      </c>
      <c r="F19" s="7">
        <v>0</v>
      </c>
      <c r="G19" s="7" t="e">
        <f t="shared" si="3"/>
        <v>#DIV/0!</v>
      </c>
      <c r="H19" s="11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12</v>
      </c>
      <c r="C20" s="17">
        <v>42</v>
      </c>
      <c r="D20" s="6">
        <v>43</v>
      </c>
      <c r="E20" s="27">
        <v>2962.65</v>
      </c>
      <c r="F20" s="27">
        <v>882.57</v>
      </c>
      <c r="G20" s="7">
        <f t="shared" si="3"/>
        <v>20.524883720930234</v>
      </c>
      <c r="H20" s="11">
        <v>13</v>
      </c>
      <c r="I20" s="9">
        <v>819.35</v>
      </c>
      <c r="J20" s="9">
        <v>572.62</v>
      </c>
      <c r="K20" s="9">
        <f t="shared" si="4"/>
        <v>44.047692307692309</v>
      </c>
    </row>
    <row r="21" spans="1:11" x14ac:dyDescent="0.25">
      <c r="A21" s="23"/>
      <c r="B21" s="5" t="s">
        <v>13</v>
      </c>
      <c r="C21" s="17">
        <v>35</v>
      </c>
      <c r="D21" s="10">
        <v>109</v>
      </c>
      <c r="E21" s="7">
        <v>7648.35</v>
      </c>
      <c r="F21" s="7">
        <v>2622.09</v>
      </c>
      <c r="G21" s="7">
        <f t="shared" si="3"/>
        <v>24.055871559633029</v>
      </c>
      <c r="H21" s="12">
        <v>22</v>
      </c>
      <c r="I21" s="9">
        <v>1571.8</v>
      </c>
      <c r="J21" s="9">
        <v>1155.8800000000001</v>
      </c>
      <c r="K21" s="9">
        <f t="shared" si="4"/>
        <v>52.540000000000006</v>
      </c>
    </row>
    <row r="22" spans="1:11" x14ac:dyDescent="0.25">
      <c r="A22" s="23"/>
      <c r="B22" s="5" t="s">
        <v>17</v>
      </c>
      <c r="C22" s="17">
        <v>35</v>
      </c>
      <c r="D22" s="6">
        <v>0</v>
      </c>
      <c r="E22" s="27">
        <v>0</v>
      </c>
      <c r="F22" s="28">
        <v>0</v>
      </c>
      <c r="G22" s="7" t="e">
        <f t="shared" si="3"/>
        <v>#DIV/0!</v>
      </c>
      <c r="H22" s="11">
        <v>0</v>
      </c>
      <c r="I22" s="9">
        <v>0</v>
      </c>
      <c r="J22" s="9">
        <v>0.01</v>
      </c>
      <c r="K22" s="9" t="e">
        <f t="shared" ref="K22:K23" si="5">J22/H22</f>
        <v>#DIV/0!</v>
      </c>
    </row>
    <row r="23" spans="1:11" x14ac:dyDescent="0.25">
      <c r="A23" s="23"/>
      <c r="B23" s="5" t="s">
        <v>18</v>
      </c>
      <c r="C23" s="17">
        <v>35</v>
      </c>
      <c r="D23" s="10">
        <v>0</v>
      </c>
      <c r="E23" s="7">
        <v>0</v>
      </c>
      <c r="F23" s="7">
        <v>0</v>
      </c>
      <c r="G23" s="7" t="e">
        <f t="shared" ref="G23" si="6">F23/D23</f>
        <v>#DIV/0!</v>
      </c>
      <c r="H23" s="11">
        <v>0</v>
      </c>
      <c r="I23" s="9">
        <v>0</v>
      </c>
      <c r="J23" s="9">
        <v>0</v>
      </c>
      <c r="K23" s="9" t="e">
        <f t="shared" si="5"/>
        <v>#DIV/0!</v>
      </c>
    </row>
    <row r="24" spans="1:11" x14ac:dyDescent="0.25">
      <c r="A24" s="23"/>
      <c r="B24" s="5" t="s">
        <v>19</v>
      </c>
      <c r="C24" s="17">
        <v>35</v>
      </c>
      <c r="D24" s="10">
        <v>0</v>
      </c>
      <c r="E24" s="7">
        <v>0</v>
      </c>
      <c r="F24" s="7">
        <v>38.24</v>
      </c>
      <c r="G24" s="7" t="e">
        <f t="shared" si="3"/>
        <v>#DIV/0!</v>
      </c>
      <c r="H24" s="11">
        <v>1</v>
      </c>
      <c r="I24" s="9">
        <v>14</v>
      </c>
      <c r="J24" s="9">
        <v>186.2</v>
      </c>
      <c r="K24" s="9">
        <f t="shared" si="4"/>
        <v>186.2</v>
      </c>
    </row>
    <row r="25" spans="1:11" x14ac:dyDescent="0.25">
      <c r="A25" s="23"/>
      <c r="B25" s="5" t="s">
        <v>14</v>
      </c>
      <c r="C25" s="5"/>
      <c r="D25" s="13">
        <f>SUM(D16:D24)</f>
        <v>183</v>
      </c>
      <c r="E25" s="14">
        <f>SUM(E16:E24)</f>
        <v>13019.1</v>
      </c>
      <c r="F25" s="14">
        <f>SUM(F16:F24)</f>
        <v>4155.4799999999996</v>
      </c>
      <c r="G25" s="14">
        <f>F25/D25</f>
        <v>22.707540983606556</v>
      </c>
      <c r="H25" s="15">
        <f>SUM(H16:H24)</f>
        <v>53</v>
      </c>
      <c r="I25" s="16">
        <f>SUM(I16:I24)</f>
        <v>3658.75</v>
      </c>
      <c r="J25" s="16">
        <f>SUM(J16:J24)</f>
        <v>2607.63</v>
      </c>
      <c r="K25" s="16">
        <f t="shared" ref="K25" si="7">J25/H25</f>
        <v>49.200566037735854</v>
      </c>
    </row>
    <row r="26" spans="1:11" x14ac:dyDescent="0.25">
      <c r="A26" s="23"/>
      <c r="B26" s="18"/>
      <c r="C26" s="18"/>
      <c r="D26" s="19"/>
      <c r="E26" s="20"/>
      <c r="F26" s="20"/>
      <c r="G26" s="20"/>
      <c r="H26" s="19"/>
      <c r="I26" s="20"/>
      <c r="J26" s="20"/>
      <c r="K26" s="20"/>
    </row>
    <row r="27" spans="1:11" x14ac:dyDescent="0.25">
      <c r="A27" s="23"/>
      <c r="B27" s="18"/>
      <c r="D27" s="1" t="s">
        <v>0</v>
      </c>
      <c r="E27" s="2"/>
      <c r="F27" s="2"/>
      <c r="G27" s="2"/>
      <c r="H27" s="3" t="s">
        <v>1</v>
      </c>
      <c r="I27" s="4"/>
      <c r="J27" s="4"/>
      <c r="K27" s="4"/>
    </row>
    <row r="28" spans="1:11" x14ac:dyDescent="0.25">
      <c r="A28" s="23"/>
      <c r="C28" s="5" t="s">
        <v>15</v>
      </c>
      <c r="D28" s="6" t="s">
        <v>3</v>
      </c>
      <c r="E28" s="7" t="s">
        <v>4</v>
      </c>
      <c r="F28" s="7" t="s">
        <v>5</v>
      </c>
      <c r="G28" s="7" t="s">
        <v>6</v>
      </c>
      <c r="H28" s="8" t="s">
        <v>7</v>
      </c>
      <c r="I28" s="9" t="s">
        <v>4</v>
      </c>
      <c r="J28" s="9" t="s">
        <v>5</v>
      </c>
      <c r="K28" s="9" t="s">
        <v>6</v>
      </c>
    </row>
    <row r="29" spans="1:11" x14ac:dyDescent="0.25">
      <c r="A29" s="23" t="s">
        <v>16</v>
      </c>
      <c r="B29" s="5" t="s">
        <v>8</v>
      </c>
      <c r="C29" s="17">
        <v>25</v>
      </c>
      <c r="D29" s="21" t="e">
        <f>(D16-D3)/D16</f>
        <v>#DIV/0!</v>
      </c>
      <c r="E29" s="21" t="e">
        <f t="shared" ref="D29:K35" si="8">(E16-E3)/E16</f>
        <v>#DIV/0!</v>
      </c>
      <c r="F29" s="21" t="e">
        <f t="shared" si="8"/>
        <v>#DIV/0!</v>
      </c>
      <c r="G29" s="21" t="e">
        <f t="shared" si="8"/>
        <v>#DIV/0!</v>
      </c>
      <c r="H29" s="21" t="e">
        <f t="shared" si="8"/>
        <v>#DIV/0!</v>
      </c>
      <c r="I29" s="21" t="e">
        <f t="shared" si="8"/>
        <v>#DIV/0!</v>
      </c>
      <c r="J29" s="21">
        <f t="shared" si="8"/>
        <v>1</v>
      </c>
      <c r="K29" s="21" t="e">
        <f t="shared" si="8"/>
        <v>#DIV/0!</v>
      </c>
    </row>
    <row r="30" spans="1:11" x14ac:dyDescent="0.25">
      <c r="A30" s="23"/>
      <c r="B30" s="5" t="s">
        <v>9</v>
      </c>
      <c r="C30" s="17">
        <v>50</v>
      </c>
      <c r="D30" s="21">
        <f>(D17-D4)/D17</f>
        <v>0.12903225806451613</v>
      </c>
      <c r="E30" s="21">
        <f t="shared" si="8"/>
        <v>0.25725675844026413</v>
      </c>
      <c r="F30" s="21">
        <f t="shared" si="8"/>
        <v>0.27537627738417847</v>
      </c>
      <c r="G30" s="21">
        <f t="shared" si="8"/>
        <v>0.16802461477442707</v>
      </c>
      <c r="H30" s="21">
        <f t="shared" si="8"/>
        <v>-0.25</v>
      </c>
      <c r="I30" s="21">
        <f t="shared" si="8"/>
        <v>-0.10168772792808062</v>
      </c>
      <c r="J30" s="21">
        <f>(J17-J4)/J17</f>
        <v>-0.1431241031801648</v>
      </c>
      <c r="K30" s="21">
        <f t="shared" si="8"/>
        <v>8.5500717455868167E-2</v>
      </c>
    </row>
    <row r="31" spans="1:11" x14ac:dyDescent="0.25">
      <c r="A31" s="23"/>
      <c r="B31" s="5" t="s">
        <v>10</v>
      </c>
      <c r="C31" s="17">
        <v>31</v>
      </c>
      <c r="D31" s="21" t="e">
        <f t="shared" si="8"/>
        <v>#DIV/0!</v>
      </c>
      <c r="E31" s="21" t="e">
        <f t="shared" si="8"/>
        <v>#DIV/0!</v>
      </c>
      <c r="F31" s="21" t="e">
        <f t="shared" si="8"/>
        <v>#DIV/0!</v>
      </c>
      <c r="G31" s="21" t="e">
        <f t="shared" si="8"/>
        <v>#DIV/0!</v>
      </c>
      <c r="H31" s="21">
        <f t="shared" si="8"/>
        <v>0.22222222222222221</v>
      </c>
      <c r="I31" s="21">
        <f t="shared" si="8"/>
        <v>5.2631578947368321E-2</v>
      </c>
      <c r="J31" s="21">
        <f t="shared" si="8"/>
        <v>-0.2692391541312405</v>
      </c>
      <c r="K31" s="21">
        <f t="shared" si="8"/>
        <v>-0.63187891245445194</v>
      </c>
    </row>
    <row r="32" spans="1:11" x14ac:dyDescent="0.25">
      <c r="A32" s="23"/>
      <c r="B32" s="5" t="s">
        <v>11</v>
      </c>
      <c r="C32" s="17">
        <v>15</v>
      </c>
      <c r="D32" s="21" t="e">
        <f t="shared" si="8"/>
        <v>#DIV/0!</v>
      </c>
      <c r="E32" s="21" t="e">
        <f t="shared" si="8"/>
        <v>#DIV/0!</v>
      </c>
      <c r="F32" s="21" t="e">
        <f t="shared" si="8"/>
        <v>#DIV/0!</v>
      </c>
      <c r="G32" s="21" t="e">
        <f t="shared" si="8"/>
        <v>#DIV/0!</v>
      </c>
      <c r="H32" s="21" t="e">
        <f t="shared" si="8"/>
        <v>#DIV/0!</v>
      </c>
      <c r="I32" s="21" t="e">
        <f t="shared" si="8"/>
        <v>#DIV/0!</v>
      </c>
      <c r="J32" s="21" t="e">
        <f t="shared" si="8"/>
        <v>#DIV/0!</v>
      </c>
      <c r="K32" s="21" t="e">
        <f t="shared" si="8"/>
        <v>#DIV/0!</v>
      </c>
    </row>
    <row r="33" spans="1:11" x14ac:dyDescent="0.25">
      <c r="A33" s="23"/>
      <c r="B33" s="5" t="s">
        <v>12</v>
      </c>
      <c r="C33" s="17">
        <v>42</v>
      </c>
      <c r="D33" s="21">
        <f t="shared" si="8"/>
        <v>0</v>
      </c>
      <c r="E33" s="21">
        <f t="shared" si="8"/>
        <v>-9.9471756704301834E-2</v>
      </c>
      <c r="F33" s="21">
        <f t="shared" si="8"/>
        <v>0.16891578005144073</v>
      </c>
      <c r="G33" s="21">
        <f t="shared" si="8"/>
        <v>0.16891578005144078</v>
      </c>
      <c r="H33" s="21">
        <f t="shared" si="8"/>
        <v>0.30769230769230771</v>
      </c>
      <c r="I33" s="21">
        <f t="shared" si="8"/>
        <v>0.16214072130347229</v>
      </c>
      <c r="J33" s="21">
        <f t="shared" si="8"/>
        <v>-0.10434494079843526</v>
      </c>
      <c r="K33" s="21">
        <f t="shared" si="8"/>
        <v>-0.59516491448662878</v>
      </c>
    </row>
    <row r="34" spans="1:11" x14ac:dyDescent="0.25">
      <c r="A34" s="23"/>
      <c r="B34" s="5" t="s">
        <v>13</v>
      </c>
      <c r="C34" s="17">
        <v>35</v>
      </c>
      <c r="D34" s="21">
        <f t="shared" si="8"/>
        <v>-0.15596330275229359</v>
      </c>
      <c r="E34" s="21">
        <f t="shared" si="8"/>
        <v>-0.19034824504631723</v>
      </c>
      <c r="F34" s="21">
        <f t="shared" si="8"/>
        <v>-6.3506592069684689E-2</v>
      </c>
      <c r="G34" s="21">
        <f t="shared" si="8"/>
        <v>7.9982392574637851E-2</v>
      </c>
      <c r="H34" s="21">
        <f t="shared" si="8"/>
        <v>0.13636363636363635</v>
      </c>
      <c r="I34" s="21">
        <f t="shared" si="8"/>
        <v>0.25117699452856596</v>
      </c>
      <c r="J34" s="21">
        <f t="shared" si="8"/>
        <v>-4.1526802090164272E-4</v>
      </c>
      <c r="K34" s="21">
        <f t="shared" si="8"/>
        <v>-0.15837557349788609</v>
      </c>
    </row>
    <row r="35" spans="1:11" x14ac:dyDescent="0.25">
      <c r="A35" s="23"/>
      <c r="B35" s="5" t="s">
        <v>17</v>
      </c>
      <c r="C35" s="17">
        <v>35</v>
      </c>
      <c r="D35" s="21" t="e">
        <f t="shared" si="8"/>
        <v>#DIV/0!</v>
      </c>
      <c r="E35" s="21" t="e">
        <f t="shared" si="8"/>
        <v>#DIV/0!</v>
      </c>
      <c r="F35" s="21" t="e">
        <f t="shared" si="8"/>
        <v>#DIV/0!</v>
      </c>
      <c r="G35" s="21" t="e">
        <f t="shared" si="8"/>
        <v>#DIV/0!</v>
      </c>
      <c r="H35" s="21" t="e">
        <f t="shared" si="8"/>
        <v>#DIV/0!</v>
      </c>
      <c r="I35" s="21" t="e">
        <f t="shared" si="8"/>
        <v>#DIV/0!</v>
      </c>
      <c r="J35" s="21">
        <f t="shared" si="8"/>
        <v>-352</v>
      </c>
      <c r="K35" s="21" t="e">
        <f t="shared" si="8"/>
        <v>#DIV/0!</v>
      </c>
    </row>
    <row r="36" spans="1:11" x14ac:dyDescent="0.25">
      <c r="A36" s="23"/>
      <c r="B36" s="5" t="s">
        <v>18</v>
      </c>
      <c r="C36" s="17">
        <v>35</v>
      </c>
      <c r="D36" s="21" t="e">
        <f t="shared" ref="D36:K38" si="9">(D23-D10)/D23</f>
        <v>#DIV/0!</v>
      </c>
      <c r="E36" s="21" t="e">
        <f t="shared" si="9"/>
        <v>#DIV/0!</v>
      </c>
      <c r="F36" s="21" t="e">
        <f t="shared" si="9"/>
        <v>#DIV/0!</v>
      </c>
      <c r="G36" s="21" t="e">
        <f t="shared" si="9"/>
        <v>#DIV/0!</v>
      </c>
      <c r="H36" s="21" t="e">
        <f t="shared" si="9"/>
        <v>#DIV/0!</v>
      </c>
      <c r="I36" s="21" t="e">
        <f t="shared" si="9"/>
        <v>#DIV/0!</v>
      </c>
      <c r="J36" s="21" t="e">
        <f t="shared" si="9"/>
        <v>#DIV/0!</v>
      </c>
      <c r="K36" s="21" t="e">
        <f t="shared" si="9"/>
        <v>#DIV/0!</v>
      </c>
    </row>
    <row r="37" spans="1:11" x14ac:dyDescent="0.25">
      <c r="A37" s="23"/>
      <c r="B37" s="5" t="s">
        <v>19</v>
      </c>
      <c r="C37" s="17">
        <v>35</v>
      </c>
      <c r="D37" s="21" t="e">
        <f t="shared" si="9"/>
        <v>#DIV/0!</v>
      </c>
      <c r="E37" s="21" t="e">
        <f t="shared" si="9"/>
        <v>#DIV/0!</v>
      </c>
      <c r="F37" s="21">
        <f t="shared" si="9"/>
        <v>3.6610878661088014E-3</v>
      </c>
      <c r="G37" s="21" t="e">
        <f t="shared" si="9"/>
        <v>#DIV/0!</v>
      </c>
      <c r="H37" s="21">
        <f t="shared" si="9"/>
        <v>-7</v>
      </c>
      <c r="I37" s="21">
        <f t="shared" si="9"/>
        <v>-7</v>
      </c>
      <c r="J37" s="21">
        <f t="shared" si="9"/>
        <v>-1.3687969924812031</v>
      </c>
      <c r="K37" s="21">
        <f t="shared" si="9"/>
        <v>0.70390037593984967</v>
      </c>
    </row>
    <row r="38" spans="1:11" x14ac:dyDescent="0.25">
      <c r="A38" s="23"/>
      <c r="B38" s="5" t="s">
        <v>14</v>
      </c>
      <c r="C38" s="5"/>
      <c r="D38" s="22">
        <f t="shared" si="9"/>
        <v>-7.650273224043716E-2</v>
      </c>
      <c r="E38" s="22">
        <f t="shared" si="9"/>
        <v>-8.7951548110084501E-2</v>
      </c>
      <c r="F38" s="22">
        <f t="shared" si="9"/>
        <v>3.5824982914127827E-2</v>
      </c>
      <c r="G38" s="22">
        <f t="shared" si="9"/>
        <v>0.10434503488977366</v>
      </c>
      <c r="H38" s="22">
        <f t="shared" si="9"/>
        <v>0</v>
      </c>
      <c r="I38" s="22">
        <f t="shared" si="9"/>
        <v>0.11059788179022893</v>
      </c>
      <c r="J38" s="22">
        <f t="shared" si="9"/>
        <v>-0.163849932697507</v>
      </c>
      <c r="K38" s="22">
        <f t="shared" si="9"/>
        <v>-0.16384993269750692</v>
      </c>
    </row>
  </sheetData>
  <conditionalFormatting sqref="D29:K38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9:G38 J29:K38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2025-06-30T12:38:25Z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