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A9BD29D-8FBC-4E4D-86A9-BB54E781B9FA}" xr6:coauthVersionLast="47" xr6:coauthVersionMax="47" xr10:uidLastSave="{00000000-0000-0000-0000-000000000000}"/>
  <bookViews>
    <workbookView xWindow="4275" yWindow="2625" windowWidth="2011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3" i="2" l="1"/>
  <c r="G23" i="2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6" i="2" l="1"/>
  <c r="I36" i="2"/>
  <c r="H36" i="2"/>
  <c r="F36" i="2"/>
  <c r="E36" i="2"/>
  <c r="D36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5" i="2"/>
  <c r="I25" i="2"/>
  <c r="H37" i="2"/>
  <c r="F25" i="2"/>
  <c r="E25" i="2"/>
  <c r="D25" i="2"/>
  <c r="G31" i="2"/>
  <c r="G29" i="2"/>
  <c r="E37" i="2" l="1"/>
  <c r="D37" i="2"/>
  <c r="G36" i="2"/>
  <c r="G30" i="2"/>
  <c r="K29" i="2"/>
  <c r="G33" i="2"/>
  <c r="K33" i="2"/>
  <c r="K30" i="2"/>
  <c r="K36" i="2"/>
  <c r="G25" i="2"/>
  <c r="I37" i="2"/>
  <c r="K31" i="2"/>
  <c r="J37" i="2"/>
  <c r="G32" i="2"/>
  <c r="K32" i="2"/>
  <c r="K25" i="2"/>
  <c r="F37" i="2"/>
  <c r="K37" i="2" l="1"/>
  <c r="G37" i="2"/>
</calcChain>
</file>

<file path=xl/sharedStrings.xml><?xml version="1.0" encoding="utf-8"?>
<sst xmlns="http://schemas.openxmlformats.org/spreadsheetml/2006/main" count="65" uniqueCount="20">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</sst>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7"/>
  <sheetViews>
    <sheetView tabSelected="1" topLeftCell="A7" workbookViewId="0">
      <selection activeCell="E15" sqref="E15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45795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45801</v>
      </c>
      <c r="B3" s="5" t="s">
        <v>8</v>
      </c>
      <c r="C3" s="17">
        <v>25</v>
      </c>
      <c r="D3" s="10">
        <v>0</v>
      </c>
      <c r="E3" s="7">
        <v>0</v>
      </c>
      <c r="F3" s="7">
        <v>4.8899999999999997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41</v>
      </c>
      <c r="E4" s="7">
        <v>3207.3</v>
      </c>
      <c r="F4" s="7">
        <v>480.14</v>
      </c>
      <c r="G4" s="7">
        <f t="shared" si="0"/>
        <v>11.710731707317073</v>
      </c>
      <c r="H4" s="11">
        <v>14</v>
      </c>
      <c r="I4" s="9">
        <v>989.25</v>
      </c>
      <c r="J4" s="9">
        <v>1214.4599999999998</v>
      </c>
      <c r="K4" s="9">
        <f t="shared" si="1"/>
        <v>86.747142857142848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10</v>
      </c>
      <c r="I5" s="9">
        <v>384.45</v>
      </c>
      <c r="J5" s="9">
        <v>196.35</v>
      </c>
      <c r="K5" s="9">
        <f t="shared" si="1"/>
        <v>19.634999999999998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54</v>
      </c>
      <c r="E7" s="27">
        <v>3961.8</v>
      </c>
      <c r="F7" s="27">
        <v>1172.71</v>
      </c>
      <c r="G7" s="7">
        <f t="shared" si="0"/>
        <v>21.716851851851853</v>
      </c>
      <c r="H7" s="11">
        <v>8</v>
      </c>
      <c r="I7" s="9">
        <v>546.6</v>
      </c>
      <c r="J7" s="9">
        <v>873.07</v>
      </c>
      <c r="K7" s="9">
        <f t="shared" si="1"/>
        <v>109.13375000000001</v>
      </c>
    </row>
    <row r="8" spans="1:11" x14ac:dyDescent="0.25">
      <c r="A8" s="23"/>
      <c r="B8" s="5" t="s">
        <v>13</v>
      </c>
      <c r="C8" s="17">
        <v>35</v>
      </c>
      <c r="D8" s="10">
        <v>133</v>
      </c>
      <c r="E8" s="7">
        <v>8438</v>
      </c>
      <c r="F8" s="7">
        <v>2913.6</v>
      </c>
      <c r="G8" s="7">
        <f t="shared" si="0"/>
        <v>21.906766917293233</v>
      </c>
      <c r="H8" s="12">
        <v>21</v>
      </c>
      <c r="I8" s="9">
        <v>1349</v>
      </c>
      <c r="J8" s="9">
        <v>1412.75</v>
      </c>
      <c r="K8" s="9">
        <f t="shared" si="1"/>
        <v>67.273809523809518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0.06</v>
      </c>
      <c r="G9" s="7" t="e">
        <f t="shared" si="0"/>
        <v>#DIV/0!</v>
      </c>
      <c r="H9" s="11">
        <v>1</v>
      </c>
      <c r="I9" s="9">
        <v>36</v>
      </c>
      <c r="J9" s="9">
        <v>16.850000000000001</v>
      </c>
      <c r="K9" s="9">
        <f t="shared" si="1"/>
        <v>16.850000000000001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96.95</v>
      </c>
      <c r="F11" s="7">
        <v>35.22</v>
      </c>
      <c r="G11" s="7">
        <f t="shared" si="0"/>
        <v>35.22</v>
      </c>
      <c r="H11" s="11">
        <v>0</v>
      </c>
      <c r="I11" s="9">
        <v>0</v>
      </c>
      <c r="J11" s="9">
        <v>47.38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229</v>
      </c>
      <c r="E12" s="14">
        <f>SUM(E3:E11)</f>
        <v>15704.050000000001</v>
      </c>
      <c r="F12" s="14">
        <f>SUM(F3:F11)</f>
        <v>4606.6200000000008</v>
      </c>
      <c r="G12" s="14">
        <f>F12/D12</f>
        <v>20.116244541484718</v>
      </c>
      <c r="H12" s="15">
        <f>SUM(H3:H11)</f>
        <v>54</v>
      </c>
      <c r="I12" s="16">
        <f>SUM(I3:I11)</f>
        <v>3305.3</v>
      </c>
      <c r="J12" s="16">
        <f>SUM(J3:J11)</f>
        <v>3760.8599999999997</v>
      </c>
      <c r="K12" s="16">
        <f t="shared" ref="K12" si="2">J12/H12</f>
        <v>69.645555555555546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45802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45808</v>
      </c>
      <c r="B16" s="5" t="s">
        <v>8</v>
      </c>
      <c r="C16" s="17">
        <v>25</v>
      </c>
      <c r="D16" s="10">
        <v>1</v>
      </c>
      <c r="E16" s="7">
        <v>69.95</v>
      </c>
      <c r="F16" s="7">
        <v>3.25</v>
      </c>
      <c r="G16" s="7">
        <f t="shared" ref="G16:G24" si="3">F16/D16</f>
        <v>3.25</v>
      </c>
      <c r="H16" s="12">
        <v>0</v>
      </c>
      <c r="I16" s="9">
        <v>0</v>
      </c>
      <c r="J16" s="9">
        <v>1.84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30</v>
      </c>
      <c r="E17" s="7">
        <v>1958.5</v>
      </c>
      <c r="F17" s="7">
        <v>456.42</v>
      </c>
      <c r="G17" s="7">
        <f t="shared" si="3"/>
        <v>15.214</v>
      </c>
      <c r="H17" s="11">
        <v>18</v>
      </c>
      <c r="I17" s="9">
        <v>1249.1000000000001</v>
      </c>
      <c r="J17" s="9">
        <v>1227.9199999999998</v>
      </c>
      <c r="K17" s="9">
        <f t="shared" si="4"/>
        <v>68.217777777777769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11</v>
      </c>
      <c r="I18" s="9">
        <v>419.4</v>
      </c>
      <c r="J18" s="9">
        <v>173.71</v>
      </c>
      <c r="K18" s="9">
        <f t="shared" si="4"/>
        <v>15.791818181818183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55</v>
      </c>
      <c r="E20" s="27">
        <v>3617.1</v>
      </c>
      <c r="F20" s="27">
        <v>1175.26</v>
      </c>
      <c r="G20" s="7">
        <f t="shared" si="3"/>
        <v>21.368363636363636</v>
      </c>
      <c r="H20" s="11">
        <v>9</v>
      </c>
      <c r="I20" s="9">
        <v>556.6</v>
      </c>
      <c r="J20" s="9">
        <v>846.03</v>
      </c>
      <c r="K20" s="9">
        <f t="shared" si="4"/>
        <v>94.00333333333333</v>
      </c>
    </row>
    <row r="21" spans="1:11" x14ac:dyDescent="0.25">
      <c r="A21" s="23"/>
      <c r="B21" s="5" t="s">
        <v>13</v>
      </c>
      <c r="C21" s="17">
        <v>35</v>
      </c>
      <c r="D21" s="10">
        <v>115</v>
      </c>
      <c r="E21" s="7">
        <v>7962.5999999999995</v>
      </c>
      <c r="F21" s="7">
        <v>2983.84</v>
      </c>
      <c r="G21" s="7">
        <f t="shared" si="3"/>
        <v>25.946434782608698</v>
      </c>
      <c r="H21" s="12">
        <v>25</v>
      </c>
      <c r="I21" s="9">
        <v>1423</v>
      </c>
      <c r="J21" s="9">
        <v>1542.73</v>
      </c>
      <c r="K21" s="9">
        <f t="shared" si="4"/>
        <v>61.709200000000003</v>
      </c>
    </row>
    <row r="22" spans="1:11" x14ac:dyDescent="0.25">
      <c r="A22" s="23"/>
      <c r="B22" s="5" t="s">
        <v>17</v>
      </c>
      <c r="C22" s="17">
        <v>35</v>
      </c>
      <c r="D22" s="6">
        <v>2</v>
      </c>
      <c r="E22" s="27">
        <v>72</v>
      </c>
      <c r="F22" s="28">
        <v>13.87</v>
      </c>
      <c r="G22" s="7">
        <f t="shared" si="3"/>
        <v>6.9349999999999996</v>
      </c>
      <c r="H22" s="11">
        <v>0</v>
      </c>
      <c r="I22" s="9">
        <v>0</v>
      </c>
      <c r="J22" s="9">
        <v>115.71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2</v>
      </c>
      <c r="E24" s="7">
        <v>162.94999999999999</v>
      </c>
      <c r="F24" s="7">
        <v>20.61</v>
      </c>
      <c r="G24" s="7">
        <f t="shared" si="3"/>
        <v>10.305</v>
      </c>
      <c r="H24" s="11">
        <v>6</v>
      </c>
      <c r="I24" s="9">
        <v>130</v>
      </c>
      <c r="J24" s="9">
        <v>264.11</v>
      </c>
      <c r="K24" s="9">
        <f t="shared" si="4"/>
        <v>44.018333333333338</v>
      </c>
    </row>
    <row r="25" spans="1:11" x14ac:dyDescent="0.25">
      <c r="A25" s="23"/>
      <c r="B25" s="5" t="s">
        <v>14</v>
      </c>
      <c r="C25" s="5"/>
      <c r="D25" s="13">
        <f>SUM(D16:D24)</f>
        <v>205</v>
      </c>
      <c r="E25" s="14">
        <f>SUM(E16:E24)</f>
        <v>13843.1</v>
      </c>
      <c r="F25" s="14">
        <f>SUM(F16:F24)</f>
        <v>4653.25</v>
      </c>
      <c r="G25" s="14">
        <f>F25/D25</f>
        <v>22.698780487804878</v>
      </c>
      <c r="H25" s="15">
        <f>SUM(H16:H24)</f>
        <v>69</v>
      </c>
      <c r="I25" s="16">
        <f>SUM(I16:I24)</f>
        <v>3778.1</v>
      </c>
      <c r="J25" s="16">
        <f>SUM(J16:J24)</f>
        <v>4172.05</v>
      </c>
      <c r="K25" s="16">
        <f t="shared" ref="K25" si="7">J25/H25</f>
        <v>60.46449275362319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>
        <f t="shared" ref="D29:K35" si="8">(D16-D3)/D16</f>
        <v>1</v>
      </c>
      <c r="E29" s="21">
        <f t="shared" si="8"/>
        <v>1</v>
      </c>
      <c r="F29" s="21">
        <f t="shared" si="8"/>
        <v>-0.50461538461538447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>
        <f t="shared" si="8"/>
        <v>1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 t="shared" si="8"/>
        <v>-0.36666666666666664</v>
      </c>
      <c r="E30" s="21">
        <f t="shared" si="8"/>
        <v>-0.63763083992851677</v>
      </c>
      <c r="F30" s="21">
        <f t="shared" si="8"/>
        <v>-5.1969677051838151E-2</v>
      </c>
      <c r="G30" s="21">
        <f t="shared" si="8"/>
        <v>0.2302660899620696</v>
      </c>
      <c r="H30" s="21">
        <f t="shared" si="8"/>
        <v>0.22222222222222221</v>
      </c>
      <c r="I30" s="21">
        <f t="shared" si="8"/>
        <v>0.20802978144263878</v>
      </c>
      <c r="J30" s="21">
        <f t="shared" si="8"/>
        <v>1.0961626164571013E-2</v>
      </c>
      <c r="K30" s="21">
        <f t="shared" si="8"/>
        <v>-0.27162076635983734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9.0909090909090912E-2</v>
      </c>
      <c r="I31" s="21">
        <f t="shared" si="8"/>
        <v>8.3333333333333315E-2</v>
      </c>
      <c r="J31" s="21">
        <f t="shared" si="8"/>
        <v>-0.13033216280006898</v>
      </c>
      <c r="K31" s="21">
        <f t="shared" si="8"/>
        <v>-0.24336537908007577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1.8181818181818181E-2</v>
      </c>
      <c r="E33" s="21">
        <f t="shared" si="8"/>
        <v>-9.5297337646180716E-2</v>
      </c>
      <c r="F33" s="21">
        <f t="shared" si="8"/>
        <v>2.1697326549018556E-3</v>
      </c>
      <c r="G33" s="21">
        <f t="shared" si="8"/>
        <v>-1.630860562926667E-2</v>
      </c>
      <c r="H33" s="21">
        <f t="shared" si="8"/>
        <v>0.1111111111111111</v>
      </c>
      <c r="I33" s="21">
        <f t="shared" si="8"/>
        <v>1.7966223499820338E-2</v>
      </c>
      <c r="J33" s="21">
        <f t="shared" si="8"/>
        <v>-3.1961041570629976E-2</v>
      </c>
      <c r="K33" s="21">
        <f t="shared" si="8"/>
        <v>-0.16095617176695873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-0.15652173913043479</v>
      </c>
      <c r="E34" s="21">
        <f t="shared" si="8"/>
        <v>-5.9704116745786621E-2</v>
      </c>
      <c r="F34" s="21">
        <f t="shared" si="8"/>
        <v>2.3540136200332535E-2</v>
      </c>
      <c r="G34" s="21">
        <f t="shared" si="8"/>
        <v>0.15569259897021237</v>
      </c>
      <c r="H34" s="21">
        <f t="shared" si="8"/>
        <v>0.16</v>
      </c>
      <c r="I34" s="21">
        <f t="shared" si="8"/>
        <v>5.2002810962754741E-2</v>
      </c>
      <c r="J34" s="21">
        <f t="shared" si="8"/>
        <v>8.4253239387319892E-2</v>
      </c>
      <c r="K34" s="21">
        <f t="shared" si="8"/>
        <v>-9.0174715015095247E-2</v>
      </c>
    </row>
    <row r="35" spans="1:11" x14ac:dyDescent="0.25">
      <c r="A35" s="23"/>
      <c r="B35" s="5" t="s">
        <v>17</v>
      </c>
      <c r="C35" s="17">
        <v>35</v>
      </c>
      <c r="D35" s="21">
        <f t="shared" si="8"/>
        <v>1</v>
      </c>
      <c r="E35" s="21">
        <f t="shared" si="8"/>
        <v>1</v>
      </c>
      <c r="F35" s="21">
        <f t="shared" si="8"/>
        <v>0.99567411679884643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>
        <f t="shared" si="8"/>
        <v>0.85437732261688693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7" si="9">(D24-D11)/D24</f>
        <v>0.5</v>
      </c>
      <c r="E36" s="21">
        <f t="shared" si="9"/>
        <v>0.40503221847192383</v>
      </c>
      <c r="F36" s="21">
        <f t="shared" si="9"/>
        <v>-0.70887918486171764</v>
      </c>
      <c r="G36" s="21">
        <f t="shared" si="9"/>
        <v>-2.4177583697234351</v>
      </c>
      <c r="H36" s="21">
        <f t="shared" si="9"/>
        <v>1</v>
      </c>
      <c r="I36" s="21">
        <f t="shared" si="9"/>
        <v>1</v>
      </c>
      <c r="J36" s="21">
        <f t="shared" si="9"/>
        <v>0.82060505092575065</v>
      </c>
      <c r="K36" s="21" t="e">
        <f t="shared" si="9"/>
        <v>#DIV/0!</v>
      </c>
    </row>
    <row r="37" spans="1:11" x14ac:dyDescent="0.25">
      <c r="A37" s="23"/>
      <c r="B37" s="5" t="s">
        <v>14</v>
      </c>
      <c r="C37" s="5"/>
      <c r="D37" s="22">
        <f t="shared" si="9"/>
        <v>-0.11707317073170732</v>
      </c>
      <c r="E37" s="22">
        <f t="shared" si="9"/>
        <v>-0.13443159407936089</v>
      </c>
      <c r="F37" s="22">
        <f t="shared" si="9"/>
        <v>1.0020953097297416E-2</v>
      </c>
      <c r="G37" s="22">
        <f t="shared" si="9"/>
        <v>0.11377421565478596</v>
      </c>
      <c r="H37" s="22">
        <f t="shared" si="9"/>
        <v>0.21739130434782608</v>
      </c>
      <c r="I37" s="22">
        <f t="shared" si="9"/>
        <v>0.12514226727720276</v>
      </c>
      <c r="J37" s="22">
        <f t="shared" si="9"/>
        <v>9.8558262724559989E-2</v>
      </c>
      <c r="K37" s="22">
        <f t="shared" si="9"/>
        <v>-0.15184221985195109</v>
      </c>
    </row>
  </sheetData>
  <conditionalFormatting sqref="D29:K37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7 J29:K3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2025-06-02T12:43:31Z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