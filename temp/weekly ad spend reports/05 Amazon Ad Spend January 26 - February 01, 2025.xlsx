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F771D68-02CE-4867-B1C5-8E532FEB8BE4}" xr6:coauthVersionLast="47" xr6:coauthVersionMax="47" xr10:uidLastSave="{00000000-0000-0000-0000-000000000000}"/>
  <bookViews>
    <workbookView xWindow="780" yWindow="780" windowWidth="277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2" i="2"/>
  <c r="G21" i="2"/>
  <c r="G20" i="2"/>
  <c r="G19" i="2"/>
  <c r="G17" i="2"/>
  <c r="G16" i="2"/>
  <c r="G15" i="2"/>
  <c r="J11" i="2" l="1"/>
  <c r="I11" i="2"/>
  <c r="H11" i="2"/>
  <c r="F11" i="2"/>
  <c r="E11" i="2"/>
  <c r="D11" i="2"/>
  <c r="G18" i="2"/>
  <c r="G11" i="2" l="1"/>
  <c r="K11" i="2"/>
  <c r="K18" i="2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<sst xmlns="http://schemas.openxmlformats.org/spreadsheetml/2006/main" count="63" uniqueCount="19">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</sst>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45676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45682</v>
      </c>
      <c r="B3" s="5" t="s">
        <v>8</v>
      </c>
      <c r="C3" s="17">
        <v>25</v>
      </c>
      <c r="D3" s="10">
        <v>0</v>
      </c>
      <c r="E3" s="7">
        <v>0</v>
      </c>
      <c r="F3" s="7">
        <v>22.75</v>
      </c>
      <c r="G3" s="7" t="e">
        <f t="shared" ref="G3:G10" si="0">F3/D3</f>
        <v>#DIV/0!</v>
      </c>
      <c r="H3" s="12">
        <v>0</v>
      </c>
      <c r="I3" s="9">
        <v>0</v>
      </c>
      <c r="J3" s="9">
        <v>1.1299999999999999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37</v>
      </c>
      <c r="E4" s="7">
        <v>2408.1</v>
      </c>
      <c r="F4" s="7">
        <v>536.38</v>
      </c>
      <c r="G4" s="7">
        <f t="shared" si="0"/>
        <v>14.496756756756756</v>
      </c>
      <c r="H4" s="11">
        <v>22</v>
      </c>
      <c r="I4" s="9">
        <v>1608.9</v>
      </c>
      <c r="J4" s="9">
        <v>1447.17</v>
      </c>
      <c r="K4" s="9">
        <f t="shared" si="1"/>
        <v>65.780454545454546</v>
      </c>
    </row>
    <row r="5" spans="1:11" x14ac:dyDescent="0.25">
      <c r="A5" s="23"/>
      <c r="B5" s="5" t="s">
        <v>10</v>
      </c>
      <c r="C5" s="17">
        <v>31</v>
      </c>
      <c r="D5" s="10">
        <v>12</v>
      </c>
      <c r="E5" s="7">
        <v>489.3</v>
      </c>
      <c r="F5" s="7">
        <v>51.96</v>
      </c>
      <c r="G5" s="7">
        <f t="shared" si="0"/>
        <v>4.33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32</v>
      </c>
      <c r="E7" s="7">
        <v>2351.13</v>
      </c>
      <c r="F7" s="7">
        <v>724.22</v>
      </c>
      <c r="G7" s="7">
        <f t="shared" si="0"/>
        <v>22.631875000000001</v>
      </c>
      <c r="H7" s="11">
        <v>17</v>
      </c>
      <c r="I7" s="9">
        <v>1371.02</v>
      </c>
      <c r="J7" s="9">
        <v>694.41</v>
      </c>
      <c r="K7" s="9">
        <f t="shared" si="1"/>
        <v>40.847647058823526</v>
      </c>
    </row>
    <row r="8" spans="1:11" x14ac:dyDescent="0.25">
      <c r="A8" s="23"/>
      <c r="B8" s="5" t="s">
        <v>13</v>
      </c>
      <c r="C8" s="17">
        <v>35</v>
      </c>
      <c r="D8" s="10">
        <v>179</v>
      </c>
      <c r="E8" s="7">
        <v>11839.85</v>
      </c>
      <c r="F8" s="7">
        <v>3104.58</v>
      </c>
      <c r="G8" s="7">
        <f t="shared" si="0"/>
        <v>17.344022346368714</v>
      </c>
      <c r="H8" s="12">
        <v>38</v>
      </c>
      <c r="I8" s="9">
        <v>2363</v>
      </c>
      <c r="J8" s="9">
        <v>1728.5</v>
      </c>
      <c r="K8" s="9">
        <f t="shared" si="1"/>
        <v>45.486842105263158</v>
      </c>
    </row>
    <row r="9" spans="1:11" x14ac:dyDescent="0.25">
      <c r="A9" s="23"/>
      <c r="B9" s="5" t="s">
        <v>17</v>
      </c>
      <c r="C9" s="17">
        <v>35</v>
      </c>
      <c r="D9" s="10">
        <v>2</v>
      </c>
      <c r="E9" s="7">
        <v>72</v>
      </c>
      <c r="F9" s="7">
        <v>124.82</v>
      </c>
      <c r="G9" s="7">
        <f t="shared" si="0"/>
        <v>62.41</v>
      </c>
      <c r="H9" s="11">
        <v>7</v>
      </c>
      <c r="I9" s="9">
        <v>273</v>
      </c>
      <c r="J9" s="9">
        <v>318.83</v>
      </c>
      <c r="K9" s="9">
        <f t="shared" si="1"/>
        <v>45.547142857142852</v>
      </c>
    </row>
    <row r="10" spans="1:11" x14ac:dyDescent="0.25">
      <c r="A10" s="23"/>
      <c r="B10" s="5" t="s">
        <v>18</v>
      </c>
      <c r="C10" s="17">
        <v>35</v>
      </c>
      <c r="D10" s="10">
        <v>1</v>
      </c>
      <c r="E10" s="7">
        <v>54.95</v>
      </c>
      <c r="F10" s="7">
        <v>4.84</v>
      </c>
      <c r="G10" s="7">
        <f t="shared" si="0"/>
        <v>4.84</v>
      </c>
      <c r="H10" s="11">
        <v>0</v>
      </c>
      <c r="I10" s="9">
        <v>0</v>
      </c>
      <c r="J10" s="9">
        <v>64.92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263</v>
      </c>
      <c r="E11" s="14">
        <f>SUM(E3:E10)</f>
        <v>17215.330000000002</v>
      </c>
      <c r="F11" s="14">
        <f>SUM(F3:F10)</f>
        <v>4569.5499999999993</v>
      </c>
      <c r="G11" s="14">
        <f>F11/D11</f>
        <v>17.374714828897336</v>
      </c>
      <c r="H11" s="15">
        <f>SUM(H3:H10)</f>
        <v>84</v>
      </c>
      <c r="I11" s="16">
        <f>SUM(I3:I10)</f>
        <v>5615.92</v>
      </c>
      <c r="J11" s="16">
        <f>SUM(J3:J10)</f>
        <v>4254.96</v>
      </c>
      <c r="K11" s="16">
        <f t="shared" ref="K11" si="2">J11/H11</f>
        <v>50.654285714285713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45683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45689</v>
      </c>
      <c r="B15" s="5" t="s">
        <v>8</v>
      </c>
      <c r="C15" s="17">
        <v>25</v>
      </c>
      <c r="D15" s="10">
        <v>1</v>
      </c>
      <c r="E15" s="7">
        <v>69.95</v>
      </c>
      <c r="F15" s="7">
        <v>27.68</v>
      </c>
      <c r="G15" s="7">
        <f t="shared" ref="G15:G22" si="3">F15/D15</f>
        <v>27.68</v>
      </c>
      <c r="H15" s="12">
        <v>0</v>
      </c>
      <c r="I15" s="9">
        <v>0</v>
      </c>
      <c r="J15" s="9">
        <v>2.5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37</v>
      </c>
      <c r="E16" s="7">
        <v>2418.0500000000002</v>
      </c>
      <c r="F16" s="7">
        <v>613.79999999999995</v>
      </c>
      <c r="G16" s="7">
        <f t="shared" si="3"/>
        <v>16.589189189189188</v>
      </c>
      <c r="H16" s="11">
        <v>23</v>
      </c>
      <c r="I16" s="9">
        <v>1578.8500000000001</v>
      </c>
      <c r="J16" s="9">
        <v>1275.55</v>
      </c>
      <c r="K16" s="9">
        <f t="shared" si="4"/>
        <v>55.458695652173908</v>
      </c>
    </row>
    <row r="17" spans="1:11" x14ac:dyDescent="0.25">
      <c r="A17" s="23"/>
      <c r="B17" s="5" t="s">
        <v>10</v>
      </c>
      <c r="C17" s="17">
        <v>31</v>
      </c>
      <c r="D17" s="10">
        <v>6</v>
      </c>
      <c r="E17" s="7">
        <v>279.60000000000002</v>
      </c>
      <c r="F17" s="7">
        <v>57.32</v>
      </c>
      <c r="G17" s="7">
        <f t="shared" si="3"/>
        <v>9.5533333333333328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34</v>
      </c>
      <c r="E19" s="7">
        <v>2423.14</v>
      </c>
      <c r="F19" s="7">
        <v>457.49</v>
      </c>
      <c r="G19" s="7">
        <f t="shared" si="3"/>
        <v>13.455588235294117</v>
      </c>
      <c r="H19" s="11">
        <v>5</v>
      </c>
      <c r="I19" s="9">
        <v>368.72</v>
      </c>
      <c r="J19" s="9">
        <v>578.55999999999995</v>
      </c>
      <c r="K19" s="9">
        <f t="shared" si="4"/>
        <v>115.71199999999999</v>
      </c>
    </row>
    <row r="20" spans="1:11" x14ac:dyDescent="0.25">
      <c r="A20" s="23"/>
      <c r="B20" s="5" t="s">
        <v>13</v>
      </c>
      <c r="C20" s="17">
        <v>35</v>
      </c>
      <c r="D20" s="10">
        <v>191</v>
      </c>
      <c r="E20" s="7">
        <v>12229</v>
      </c>
      <c r="F20" s="7">
        <v>3996.44</v>
      </c>
      <c r="G20" s="7">
        <f t="shared" si="3"/>
        <v>20.923769633507852</v>
      </c>
      <c r="H20" s="12">
        <v>32</v>
      </c>
      <c r="I20" s="9">
        <v>1925.95</v>
      </c>
      <c r="J20" s="9">
        <v>1842.78</v>
      </c>
      <c r="K20" s="9">
        <f t="shared" si="4"/>
        <v>57.586874999999999</v>
      </c>
    </row>
    <row r="21" spans="1:11" x14ac:dyDescent="0.25">
      <c r="A21" s="23"/>
      <c r="B21" s="5" t="s">
        <v>17</v>
      </c>
      <c r="C21" s="17">
        <v>35</v>
      </c>
      <c r="D21" s="6">
        <v>1</v>
      </c>
      <c r="E21" s="27">
        <v>36</v>
      </c>
      <c r="F21" s="28">
        <v>134.91</v>
      </c>
      <c r="G21" s="7">
        <f t="shared" si="3"/>
        <v>134.91</v>
      </c>
      <c r="H21" s="11">
        <v>9</v>
      </c>
      <c r="I21" s="9">
        <v>345</v>
      </c>
      <c r="J21" s="9">
        <v>244.76</v>
      </c>
      <c r="K21" s="9">
        <f t="shared" ref="K21" si="5">J21/H21</f>
        <v>27.195555555555554</v>
      </c>
    </row>
    <row r="22" spans="1:11" x14ac:dyDescent="0.25">
      <c r="A22" s="23"/>
      <c r="B22" s="5" t="s">
        <v>18</v>
      </c>
      <c r="C22" s="17">
        <v>35</v>
      </c>
      <c r="D22" s="10">
        <v>1</v>
      </c>
      <c r="E22" s="7">
        <v>54.95</v>
      </c>
      <c r="F22" s="7">
        <v>9.35</v>
      </c>
      <c r="G22" s="7">
        <f t="shared" si="3"/>
        <v>9.35</v>
      </c>
      <c r="H22" s="11">
        <v>0</v>
      </c>
      <c r="I22" s="9">
        <v>0</v>
      </c>
      <c r="J22" s="9">
        <v>168.74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271</v>
      </c>
      <c r="E23" s="14">
        <f>SUM(E15:E22)</f>
        <v>17510.689999999999</v>
      </c>
      <c r="F23" s="14">
        <f>SUM(F15:F22)</f>
        <v>5296.99</v>
      </c>
      <c r="G23" s="14">
        <f>F23/D23</f>
        <v>19.546088560885607</v>
      </c>
      <c r="H23" s="15">
        <f>SUM(H15:H22)</f>
        <v>69</v>
      </c>
      <c r="I23" s="16">
        <f>SUM(I15:I22)</f>
        <v>4218.5200000000004</v>
      </c>
      <c r="J23" s="16">
        <f>SUM(J15:J22)</f>
        <v>4112.8899999999994</v>
      </c>
      <c r="K23" s="16">
        <f t="shared" ref="K23" si="6">J23/H23</f>
        <v>59.607101449275355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>
        <f t="shared" ref="D27:K35" si="7">(D15-D3)/D15</f>
        <v>1</v>
      </c>
      <c r="E27" s="21">
        <f t="shared" si="7"/>
        <v>1</v>
      </c>
      <c r="F27" s="21">
        <f t="shared" si="7"/>
        <v>0.17810693641618497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0.54800000000000004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0</v>
      </c>
      <c r="E28" s="21">
        <f t="shared" si="7"/>
        <v>4.1148859618288592E-3</v>
      </c>
      <c r="F28" s="21">
        <f t="shared" si="7"/>
        <v>0.12613229064841963</v>
      </c>
      <c r="G28" s="21">
        <f t="shared" si="7"/>
        <v>0.12613229064841966</v>
      </c>
      <c r="H28" s="21">
        <f t="shared" si="7"/>
        <v>4.3478260869565216E-2</v>
      </c>
      <c r="I28" s="21">
        <f t="shared" si="7"/>
        <v>-1.9032840358488744E-2</v>
      </c>
      <c r="J28" s="21">
        <f t="shared" si="7"/>
        <v>-0.13454588216847643</v>
      </c>
      <c r="K28" s="21">
        <f t="shared" si="7"/>
        <v>-0.18611614953977085</v>
      </c>
    </row>
    <row r="29" spans="1:11" x14ac:dyDescent="0.25">
      <c r="A29" s="23"/>
      <c r="B29" s="5" t="s">
        <v>10</v>
      </c>
      <c r="C29" s="17">
        <v>31</v>
      </c>
      <c r="D29" s="21">
        <f t="shared" si="7"/>
        <v>-1</v>
      </c>
      <c r="E29" s="21">
        <f t="shared" si="7"/>
        <v>-0.74999999999999989</v>
      </c>
      <c r="F29" s="21">
        <f t="shared" si="7"/>
        <v>9.3510118632240041E-2</v>
      </c>
      <c r="G29" s="21">
        <f t="shared" si="7"/>
        <v>0.54675505931612001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5.8823529411764705E-2</v>
      </c>
      <c r="E31" s="21">
        <f t="shared" si="7"/>
        <v>2.9717639096378982E-2</v>
      </c>
      <c r="F31" s="21">
        <f t="shared" si="7"/>
        <v>-0.5830291372489016</v>
      </c>
      <c r="G31" s="21">
        <f t="shared" si="7"/>
        <v>-0.68196845832695807</v>
      </c>
      <c r="H31" s="21">
        <f t="shared" si="7"/>
        <v>-2.4</v>
      </c>
      <c r="I31" s="21">
        <f t="shared" si="7"/>
        <v>-2.7183228466044693</v>
      </c>
      <c r="J31" s="21">
        <f t="shared" si="7"/>
        <v>-0.20023852323008856</v>
      </c>
      <c r="K31" s="21">
        <f t="shared" si="7"/>
        <v>0.64698866963820922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6.2827225130890049E-2</v>
      </c>
      <c r="E32" s="21">
        <f t="shared" si="7"/>
        <v>3.1821898765230158E-2</v>
      </c>
      <c r="F32" s="21">
        <f t="shared" si="7"/>
        <v>0.22316361561789996</v>
      </c>
      <c r="G32" s="21">
        <f t="shared" si="7"/>
        <v>0.17108519878781503</v>
      </c>
      <c r="H32" s="21">
        <f t="shared" si="7"/>
        <v>-0.1875</v>
      </c>
      <c r="I32" s="21">
        <f t="shared" si="7"/>
        <v>-0.22692697110516885</v>
      </c>
      <c r="J32" s="21">
        <f t="shared" si="7"/>
        <v>6.2014999077480752E-2</v>
      </c>
      <c r="K32" s="21">
        <f t="shared" si="7"/>
        <v>0.21011789395998379</v>
      </c>
    </row>
    <row r="33" spans="1:11" x14ac:dyDescent="0.25">
      <c r="A33" s="23"/>
      <c r="B33" s="5" t="s">
        <v>17</v>
      </c>
      <c r="C33" s="17">
        <v>35</v>
      </c>
      <c r="D33" s="21">
        <f t="shared" si="7"/>
        <v>-1</v>
      </c>
      <c r="E33" s="21">
        <f t="shared" si="7"/>
        <v>-1</v>
      </c>
      <c r="F33" s="21">
        <f t="shared" si="7"/>
        <v>7.4790601141501767E-2</v>
      </c>
      <c r="G33" s="21">
        <f t="shared" si="7"/>
        <v>0.53739530057075091</v>
      </c>
      <c r="H33" s="21">
        <f t="shared" si="7"/>
        <v>0.22222222222222221</v>
      </c>
      <c r="I33" s="21">
        <f t="shared" si="7"/>
        <v>0.20869565217391303</v>
      </c>
      <c r="J33" s="21">
        <f t="shared" si="7"/>
        <v>-0.30262297761072071</v>
      </c>
      <c r="K33" s="21">
        <f t="shared" si="7"/>
        <v>-0.67480097121378368</v>
      </c>
    </row>
    <row r="34" spans="1:11" x14ac:dyDescent="0.25">
      <c r="A34" s="23"/>
      <c r="B34" s="5" t="s">
        <v>18</v>
      </c>
      <c r="C34" s="17">
        <v>35</v>
      </c>
      <c r="D34" s="21">
        <f t="shared" si="7"/>
        <v>0</v>
      </c>
      <c r="E34" s="21">
        <f t="shared" si="7"/>
        <v>0</v>
      </c>
      <c r="F34" s="21">
        <f t="shared" si="7"/>
        <v>0.4823529411764706</v>
      </c>
      <c r="G34" s="21">
        <f t="shared" si="7"/>
        <v>0.4823529411764706</v>
      </c>
      <c r="H34" s="21" t="e">
        <f t="shared" si="7"/>
        <v>#DIV/0!</v>
      </c>
      <c r="I34" s="21" t="e">
        <f t="shared" si="7"/>
        <v>#DIV/0!</v>
      </c>
      <c r="J34" s="21">
        <f t="shared" si="7"/>
        <v>0.61526608984236109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2.9520295202952029E-2</v>
      </c>
      <c r="E35" s="22">
        <f t="shared" si="7"/>
        <v>1.686741070740199E-2</v>
      </c>
      <c r="F35" s="22">
        <f t="shared" si="7"/>
        <v>0.13733082373196864</v>
      </c>
      <c r="G35" s="22">
        <f t="shared" si="7"/>
        <v>0.11108993624092582</v>
      </c>
      <c r="H35" s="22">
        <f t="shared" si="7"/>
        <v>-0.21739130434782608</v>
      </c>
      <c r="I35" s="22">
        <f t="shared" si="7"/>
        <v>-0.33125361501189976</v>
      </c>
      <c r="J35" s="22">
        <f t="shared" si="7"/>
        <v>-3.4542620882153582E-2</v>
      </c>
      <c r="K35" s="22">
        <f t="shared" si="7"/>
        <v>0.15019713284680244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2025-02-03T13:03:52Z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