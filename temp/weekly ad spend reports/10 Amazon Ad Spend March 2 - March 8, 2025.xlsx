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7FB01AD-D391-47F0-B8EA-32A1B61D486D}" xr6:coauthVersionLast="47" xr6:coauthVersionMax="47" xr10:uidLastSave="{00000000-0000-0000-0000-000000000000}"/>
  <bookViews>
    <workbookView xWindow="510" yWindow="1650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K11" i="2" s="1"/>
  <c r="I11" i="2"/>
  <c r="H11" i="2"/>
  <c r="F11" i="2"/>
  <c r="E11" i="2"/>
  <c r="D11" i="2"/>
  <c r="G22" i="2"/>
  <c r="G21" i="2"/>
  <c r="G20" i="2"/>
  <c r="G19" i="2"/>
  <c r="G17" i="2"/>
  <c r="G16" i="2"/>
  <c r="G15" i="2"/>
  <c r="G11" i="2" l="1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<sst xmlns="http://schemas.openxmlformats.org/spreadsheetml/2006/main" count="63" uniqueCount="19">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</sst>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45711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45717</v>
      </c>
      <c r="B3" s="5" t="s">
        <v>8</v>
      </c>
      <c r="C3" s="17">
        <v>25</v>
      </c>
      <c r="D3" s="10">
        <v>0</v>
      </c>
      <c r="E3" s="7">
        <v>0</v>
      </c>
      <c r="F3" s="7">
        <v>30.82</v>
      </c>
      <c r="G3" s="7" t="e">
        <f t="shared" ref="G3:G10" si="0">F3/D3</f>
        <v>#DIV/0!</v>
      </c>
      <c r="H3" s="12">
        <v>0</v>
      </c>
      <c r="I3" s="9">
        <v>0</v>
      </c>
      <c r="J3" s="9">
        <v>7.52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36</v>
      </c>
      <c r="E4" s="7">
        <v>2487.9499999999998</v>
      </c>
      <c r="F4" s="7">
        <v>586.02</v>
      </c>
      <c r="G4" s="7">
        <f t="shared" si="0"/>
        <v>16.278333333333332</v>
      </c>
      <c r="H4" s="11">
        <v>17</v>
      </c>
      <c r="I4" s="9">
        <v>1169.0999999999999</v>
      </c>
      <c r="J4" s="9">
        <v>1304.6300000000001</v>
      </c>
      <c r="K4" s="9">
        <f t="shared" si="1"/>
        <v>76.742941176470595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26.69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51</v>
      </c>
      <c r="E7" s="7">
        <v>3549.2</v>
      </c>
      <c r="F7" s="7">
        <v>890.31</v>
      </c>
      <c r="G7" s="7">
        <f t="shared" si="0"/>
        <v>17.457058823529412</v>
      </c>
      <c r="H7" s="11">
        <v>14</v>
      </c>
      <c r="I7" s="9">
        <v>1077.29</v>
      </c>
      <c r="J7" s="9">
        <v>781.81999999999994</v>
      </c>
      <c r="K7" s="9">
        <f t="shared" si="1"/>
        <v>55.844285714285711</v>
      </c>
    </row>
    <row r="8" spans="1:11" x14ac:dyDescent="0.25">
      <c r="A8" s="23"/>
      <c r="B8" s="5" t="s">
        <v>13</v>
      </c>
      <c r="C8" s="17">
        <v>35</v>
      </c>
      <c r="D8" s="10">
        <v>133</v>
      </c>
      <c r="E8" s="7">
        <v>8601</v>
      </c>
      <c r="F8" s="7">
        <v>2559.66</v>
      </c>
      <c r="G8" s="7">
        <f t="shared" si="0"/>
        <v>19.245563909774436</v>
      </c>
      <c r="H8" s="12">
        <v>34</v>
      </c>
      <c r="I8" s="9">
        <v>2112</v>
      </c>
      <c r="J8" s="9">
        <v>1814.48</v>
      </c>
      <c r="K8" s="9">
        <f t="shared" si="1"/>
        <v>53.367058823529412</v>
      </c>
    </row>
    <row r="9" spans="1:11" x14ac:dyDescent="0.25">
      <c r="A9" s="23"/>
      <c r="B9" s="5" t="s">
        <v>17</v>
      </c>
      <c r="C9" s="17">
        <v>35</v>
      </c>
      <c r="D9" s="6">
        <v>11</v>
      </c>
      <c r="E9" s="27">
        <v>459</v>
      </c>
      <c r="F9" s="28">
        <v>742.88</v>
      </c>
      <c r="G9" s="7">
        <f t="shared" si="0"/>
        <v>67.534545454545452</v>
      </c>
      <c r="H9" s="11">
        <v>7</v>
      </c>
      <c r="I9" s="9">
        <v>267</v>
      </c>
      <c r="J9" s="9">
        <v>250.65</v>
      </c>
      <c r="K9" s="9">
        <f t="shared" si="1"/>
        <v>35.807142857142857</v>
      </c>
    </row>
    <row r="10" spans="1:11" x14ac:dyDescent="0.25">
      <c r="A10" s="23"/>
      <c r="B10" s="5" t="s">
        <v>18</v>
      </c>
      <c r="C10" s="17">
        <v>35</v>
      </c>
      <c r="D10" s="10">
        <v>2</v>
      </c>
      <c r="E10" s="7">
        <v>109.9</v>
      </c>
      <c r="F10" s="7">
        <v>5.52</v>
      </c>
      <c r="G10" s="7">
        <f t="shared" si="0"/>
        <v>2.76</v>
      </c>
      <c r="H10" s="11">
        <v>3</v>
      </c>
      <c r="I10" s="9">
        <v>164.85</v>
      </c>
      <c r="J10" s="9">
        <v>547.17999999999995</v>
      </c>
      <c r="K10" s="9">
        <f t="shared" si="1"/>
        <v>182.39333333333332</v>
      </c>
    </row>
    <row r="11" spans="1:11" x14ac:dyDescent="0.25">
      <c r="A11" s="23"/>
      <c r="B11" s="5" t="s">
        <v>14</v>
      </c>
      <c r="C11" s="5"/>
      <c r="D11" s="13">
        <f>SUM(D3:D10)</f>
        <v>233</v>
      </c>
      <c r="E11" s="14">
        <f>SUM(E3:E10)</f>
        <v>15207.05</v>
      </c>
      <c r="F11" s="14">
        <f>SUM(F3:F10)</f>
        <v>4841.9000000000005</v>
      </c>
      <c r="G11" s="14">
        <f>F11/D11</f>
        <v>20.780686695278973</v>
      </c>
      <c r="H11" s="15">
        <f>SUM(H3:H10)</f>
        <v>75</v>
      </c>
      <c r="I11" s="16">
        <f>SUM(I3:I10)</f>
        <v>4790.24</v>
      </c>
      <c r="J11" s="16">
        <f>SUM(J3:J10)</f>
        <v>4706.2800000000007</v>
      </c>
      <c r="K11" s="16">
        <f t="shared" ref="K11" si="2">J11/H11</f>
        <v>62.750400000000006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45718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45724</v>
      </c>
      <c r="B15" s="5" t="s">
        <v>8</v>
      </c>
      <c r="C15" s="17">
        <v>25</v>
      </c>
      <c r="D15" s="10">
        <v>0</v>
      </c>
      <c r="E15" s="7">
        <v>0</v>
      </c>
      <c r="F15" s="7">
        <v>40.409999999999997</v>
      </c>
      <c r="G15" s="7" t="e">
        <f t="shared" ref="G15:G22" si="3">F15/D15</f>
        <v>#DIV/0!</v>
      </c>
      <c r="H15" s="12">
        <v>0</v>
      </c>
      <c r="I15" s="9">
        <v>0</v>
      </c>
      <c r="J15" s="9">
        <v>1.34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53</v>
      </c>
      <c r="E16" s="7">
        <v>4126.7</v>
      </c>
      <c r="F16" s="7">
        <v>399</v>
      </c>
      <c r="G16" s="7">
        <f t="shared" si="3"/>
        <v>7.5283018867924527</v>
      </c>
      <c r="H16" s="11">
        <v>26</v>
      </c>
      <c r="I16" s="9">
        <v>1778.7</v>
      </c>
      <c r="J16" s="9">
        <v>1313.61</v>
      </c>
      <c r="K16" s="9">
        <f t="shared" si="4"/>
        <v>50.523461538461532</v>
      </c>
    </row>
    <row r="17" spans="1:11" x14ac:dyDescent="0.25">
      <c r="A17" s="23"/>
      <c r="B17" s="5" t="s">
        <v>10</v>
      </c>
      <c r="C17" s="17">
        <v>31</v>
      </c>
      <c r="D17" s="10">
        <v>1</v>
      </c>
      <c r="E17" s="7">
        <v>9.9499999999999993</v>
      </c>
      <c r="F17" s="7">
        <v>18.649999999999999</v>
      </c>
      <c r="G17" s="7">
        <f t="shared" si="3"/>
        <v>18.649999999999999</v>
      </c>
      <c r="H17" s="11">
        <v>0</v>
      </c>
      <c r="I17" s="9">
        <v>0</v>
      </c>
      <c r="J17" s="9">
        <v>0</v>
      </c>
      <c r="K17" s="9" t="e">
        <f t="shared" si="4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36</v>
      </c>
      <c r="E19" s="7">
        <v>2541.9899999999998</v>
      </c>
      <c r="F19" s="7">
        <v>951.22</v>
      </c>
      <c r="G19" s="7">
        <f t="shared" si="3"/>
        <v>26.422777777777778</v>
      </c>
      <c r="H19" s="11">
        <v>5</v>
      </c>
      <c r="I19" s="9">
        <v>509.6</v>
      </c>
      <c r="J19" s="9">
        <v>813.64</v>
      </c>
      <c r="K19" s="9">
        <f t="shared" si="4"/>
        <v>162.72800000000001</v>
      </c>
    </row>
    <row r="20" spans="1:11" x14ac:dyDescent="0.25">
      <c r="A20" s="23"/>
      <c r="B20" s="5" t="s">
        <v>13</v>
      </c>
      <c r="C20" s="17">
        <v>35</v>
      </c>
      <c r="D20" s="10">
        <v>149</v>
      </c>
      <c r="E20" s="7">
        <v>9863.9500000000007</v>
      </c>
      <c r="F20" s="7">
        <v>2859.59</v>
      </c>
      <c r="G20" s="7">
        <f t="shared" si="3"/>
        <v>19.191879194630875</v>
      </c>
      <c r="H20" s="12">
        <v>21</v>
      </c>
      <c r="I20" s="9">
        <v>1282</v>
      </c>
      <c r="J20" s="9">
        <v>1690.66</v>
      </c>
      <c r="K20" s="9">
        <f t="shared" si="4"/>
        <v>80.507619047619045</v>
      </c>
    </row>
    <row r="21" spans="1:11" x14ac:dyDescent="0.25">
      <c r="A21" s="23"/>
      <c r="B21" s="5" t="s">
        <v>17</v>
      </c>
      <c r="C21" s="17">
        <v>35</v>
      </c>
      <c r="D21" s="6">
        <v>2</v>
      </c>
      <c r="E21" s="27">
        <v>117</v>
      </c>
      <c r="F21" s="28">
        <v>159.66999999999999</v>
      </c>
      <c r="G21" s="7">
        <f t="shared" si="3"/>
        <v>79.834999999999994</v>
      </c>
      <c r="H21" s="11">
        <v>7</v>
      </c>
      <c r="I21" s="9">
        <v>258</v>
      </c>
      <c r="J21" s="9">
        <v>158.66</v>
      </c>
      <c r="K21" s="9">
        <f t="shared" ref="K21" si="5">J21/H21</f>
        <v>22.665714285714284</v>
      </c>
    </row>
    <row r="22" spans="1:11" x14ac:dyDescent="0.25">
      <c r="A22" s="23"/>
      <c r="B22" s="5" t="s">
        <v>18</v>
      </c>
      <c r="C22" s="17">
        <v>35</v>
      </c>
      <c r="D22" s="10">
        <v>2</v>
      </c>
      <c r="E22" s="7">
        <v>109.9</v>
      </c>
      <c r="F22" s="7">
        <v>1.88</v>
      </c>
      <c r="G22" s="7">
        <f t="shared" si="3"/>
        <v>0.94</v>
      </c>
      <c r="H22" s="11">
        <v>3</v>
      </c>
      <c r="I22" s="9">
        <v>219.8</v>
      </c>
      <c r="J22" s="9">
        <v>419.61</v>
      </c>
      <c r="K22" s="9">
        <f t="shared" si="4"/>
        <v>139.87</v>
      </c>
    </row>
    <row r="23" spans="1:11" x14ac:dyDescent="0.25">
      <c r="A23" s="23"/>
      <c r="B23" s="5" t="s">
        <v>14</v>
      </c>
      <c r="C23" s="5"/>
      <c r="D23" s="13">
        <f>SUM(D15:D22)</f>
        <v>243</v>
      </c>
      <c r="E23" s="14">
        <f>SUM(E15:E22)</f>
        <v>16769.490000000002</v>
      </c>
      <c r="F23" s="14">
        <f>SUM(F15:F22)</f>
        <v>4430.42</v>
      </c>
      <c r="G23" s="14">
        <f>F23/D23</f>
        <v>18.232181069958848</v>
      </c>
      <c r="H23" s="15">
        <f>SUM(H15:H22)</f>
        <v>62</v>
      </c>
      <c r="I23" s="16">
        <f>SUM(I15:I22)</f>
        <v>4048.1000000000004</v>
      </c>
      <c r="J23" s="16">
        <f>SUM(J15:J22)</f>
        <v>4397.5199999999995</v>
      </c>
      <c r="K23" s="16">
        <f t="shared" ref="K23" si="6">J23/H23</f>
        <v>70.927741935483866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7">(D15-D3)/D15</f>
        <v>#DIV/0!</v>
      </c>
      <c r="E27" s="21" t="e">
        <f t="shared" si="7"/>
        <v>#DIV/0!</v>
      </c>
      <c r="F27" s="21">
        <f t="shared" si="7"/>
        <v>0.2373174956693887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-4.611940298507462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0.32075471698113206</v>
      </c>
      <c r="E28" s="21">
        <f t="shared" si="7"/>
        <v>0.39710907020137159</v>
      </c>
      <c r="F28" s="21">
        <f t="shared" si="7"/>
        <v>-0.46872180451127815</v>
      </c>
      <c r="G28" s="21">
        <f t="shared" si="7"/>
        <v>-1.1622848788638263</v>
      </c>
      <c r="H28" s="21">
        <f t="shared" si="7"/>
        <v>0.34615384615384615</v>
      </c>
      <c r="I28" s="21">
        <f t="shared" si="7"/>
        <v>0.34272221285208304</v>
      </c>
      <c r="J28" s="21">
        <f t="shared" si="7"/>
        <v>6.8361233547246077E-3</v>
      </c>
      <c r="K28" s="21">
        <f t="shared" si="7"/>
        <v>-0.51895651722218594</v>
      </c>
    </row>
    <row r="29" spans="1:11" x14ac:dyDescent="0.25">
      <c r="A29" s="23"/>
      <c r="B29" s="5" t="s">
        <v>10</v>
      </c>
      <c r="C29" s="17">
        <v>31</v>
      </c>
      <c r="D29" s="21">
        <f t="shared" si="7"/>
        <v>1</v>
      </c>
      <c r="E29" s="21">
        <f t="shared" si="7"/>
        <v>1</v>
      </c>
      <c r="F29" s="21">
        <f t="shared" si="7"/>
        <v>-0.43109919571045596</v>
      </c>
      <c r="G29" s="21" t="e">
        <f t="shared" si="7"/>
        <v>#DIV/0!</v>
      </c>
      <c r="H29" s="21" t="e">
        <f t="shared" si="7"/>
        <v>#DIV/0!</v>
      </c>
      <c r="I29" s="21" t="e">
        <f t="shared" si="7"/>
        <v>#DIV/0!</v>
      </c>
      <c r="J29" s="21" t="e">
        <f t="shared" si="7"/>
        <v>#DIV/0!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-0.41666666666666669</v>
      </c>
      <c r="E31" s="21">
        <f t="shared" si="7"/>
        <v>-0.39622893874484166</v>
      </c>
      <c r="F31" s="21">
        <f t="shared" si="7"/>
        <v>6.4033556905868344E-2</v>
      </c>
      <c r="G31" s="21">
        <f t="shared" si="7"/>
        <v>0.33931780487473057</v>
      </c>
      <c r="H31" s="21">
        <f t="shared" si="7"/>
        <v>-1.8</v>
      </c>
      <c r="I31" s="21">
        <f t="shared" si="7"/>
        <v>-1.1139913657770799</v>
      </c>
      <c r="J31" s="21">
        <f t="shared" si="7"/>
        <v>3.9108205102994016E-2</v>
      </c>
      <c r="K31" s="21">
        <f t="shared" si="7"/>
        <v>0.65682435896535496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0.10738255033557047</v>
      </c>
      <c r="E32" s="21">
        <f t="shared" si="7"/>
        <v>0.12803694260412923</v>
      </c>
      <c r="F32" s="21">
        <f t="shared" si="7"/>
        <v>0.10488566542756139</v>
      </c>
      <c r="G32" s="21">
        <f t="shared" si="7"/>
        <v>-2.7972620397996111E-3</v>
      </c>
      <c r="H32" s="21">
        <f t="shared" si="7"/>
        <v>-0.61904761904761907</v>
      </c>
      <c r="I32" s="21">
        <f t="shared" si="7"/>
        <v>-0.64742589703588138</v>
      </c>
      <c r="J32" s="21">
        <f t="shared" si="7"/>
        <v>-7.3237670495546081E-2</v>
      </c>
      <c r="K32" s="21">
        <f t="shared" si="7"/>
        <v>0.33711790939980973</v>
      </c>
    </row>
    <row r="33" spans="1:11" x14ac:dyDescent="0.25">
      <c r="A33" s="23"/>
      <c r="B33" s="5" t="s">
        <v>17</v>
      </c>
      <c r="C33" s="17">
        <v>35</v>
      </c>
      <c r="D33" s="21">
        <f t="shared" si="7"/>
        <v>-4.5</v>
      </c>
      <c r="E33" s="21">
        <f t="shared" si="7"/>
        <v>-2.9230769230769229</v>
      </c>
      <c r="F33" s="21">
        <f t="shared" si="7"/>
        <v>-3.6525959792071152</v>
      </c>
      <c r="G33" s="21">
        <f t="shared" si="7"/>
        <v>0.15407345832597913</v>
      </c>
      <c r="H33" s="21">
        <f t="shared" si="7"/>
        <v>0</v>
      </c>
      <c r="I33" s="21">
        <f t="shared" si="7"/>
        <v>-3.4883720930232558E-2</v>
      </c>
      <c r="J33" s="21">
        <f t="shared" si="7"/>
        <v>-0.57979326862473224</v>
      </c>
      <c r="K33" s="21">
        <f t="shared" si="7"/>
        <v>-0.57979326862473224</v>
      </c>
    </row>
    <row r="34" spans="1:11" x14ac:dyDescent="0.25">
      <c r="A34" s="23"/>
      <c r="B34" s="5" t="s">
        <v>18</v>
      </c>
      <c r="C34" s="17">
        <v>35</v>
      </c>
      <c r="D34" s="21">
        <f t="shared" si="7"/>
        <v>0</v>
      </c>
      <c r="E34" s="21">
        <f t="shared" si="7"/>
        <v>0</v>
      </c>
      <c r="F34" s="21">
        <f t="shared" si="7"/>
        <v>-1.9361702127659575</v>
      </c>
      <c r="G34" s="21">
        <f t="shared" si="7"/>
        <v>-1.9361702127659575</v>
      </c>
      <c r="H34" s="21">
        <f t="shared" si="7"/>
        <v>0</v>
      </c>
      <c r="I34" s="21">
        <f t="shared" si="7"/>
        <v>0.25000000000000006</v>
      </c>
      <c r="J34" s="21">
        <f t="shared" si="7"/>
        <v>-0.30402039989514057</v>
      </c>
      <c r="K34" s="21">
        <f t="shared" si="7"/>
        <v>-0.30402039989514057</v>
      </c>
    </row>
    <row r="35" spans="1:11" x14ac:dyDescent="0.25">
      <c r="A35" s="23"/>
      <c r="B35" s="5" t="s">
        <v>14</v>
      </c>
      <c r="C35" s="5"/>
      <c r="D35" s="22">
        <f t="shared" si="7"/>
        <v>4.1152263374485597E-2</v>
      </c>
      <c r="E35" s="22">
        <f t="shared" si="7"/>
        <v>9.3171587209867568E-2</v>
      </c>
      <c r="F35" s="22">
        <f t="shared" si="7"/>
        <v>-9.2876070440274391E-2</v>
      </c>
      <c r="G35" s="22">
        <f t="shared" si="7"/>
        <v>-0.13978062281968534</v>
      </c>
      <c r="H35" s="22">
        <f t="shared" si="7"/>
        <v>-0.20967741935483872</v>
      </c>
      <c r="I35" s="22">
        <f t="shared" si="7"/>
        <v>-0.18333045132284265</v>
      </c>
      <c r="J35" s="22">
        <f t="shared" si="7"/>
        <v>-7.0212301479015707E-2</v>
      </c>
      <c r="K35" s="22">
        <f t="shared" si="7"/>
        <v>0.11529116411068041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2025-03-10T13:28:31Z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