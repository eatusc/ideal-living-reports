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3F3F866-60A3-4B9D-A68E-4215D7D21517}" xr6:coauthVersionLast="47" xr6:coauthVersionMax="47" xr10:uidLastSave="{00000000-0000-0000-0000-000000000000}"/>
  <bookViews>
    <workbookView xWindow="2505" yWindow="2505" windowWidth="2464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<sst xmlns="http://schemas.openxmlformats.org/spreadsheetml/2006/main" count="66" uniqueCount="20">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</sst>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7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45837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45843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56</v>
      </c>
      <c r="E4" s="7">
        <v>3906.85</v>
      </c>
      <c r="F4" s="7">
        <v>589.91999999999996</v>
      </c>
      <c r="G4" s="7">
        <f t="shared" si="0"/>
        <v>10.534285714285714</v>
      </c>
      <c r="H4" s="11">
        <v>9</v>
      </c>
      <c r="I4" s="9">
        <v>589.55000000000007</v>
      </c>
      <c r="J4" s="9">
        <v>552.58000000000004</v>
      </c>
      <c r="K4" s="9">
        <f t="shared" si="1"/>
        <v>61.397777777777783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9</v>
      </c>
      <c r="I5" s="9">
        <v>349.5</v>
      </c>
      <c r="J5" s="9">
        <v>118.94</v>
      </c>
      <c r="K5" s="9">
        <f t="shared" si="1"/>
        <v>13.215555555555556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55</v>
      </c>
      <c r="E7" s="27">
        <v>3642.1</v>
      </c>
      <c r="F7" s="27">
        <v>948.48</v>
      </c>
      <c r="G7" s="7">
        <f t="shared" si="0"/>
        <v>17.245090909090909</v>
      </c>
      <c r="H7" s="11">
        <v>11</v>
      </c>
      <c r="I7" s="9">
        <v>669.45</v>
      </c>
      <c r="J7" s="9">
        <v>629.85</v>
      </c>
      <c r="K7" s="9">
        <f t="shared" si="1"/>
        <v>57.259090909090908</v>
      </c>
    </row>
    <row r="8" spans="1:11" x14ac:dyDescent="0.25">
      <c r="A8" s="23"/>
      <c r="B8" s="5" t="s">
        <v>13</v>
      </c>
      <c r="C8" s="17">
        <v>35</v>
      </c>
      <c r="D8" s="10">
        <v>122</v>
      </c>
      <c r="E8" s="7">
        <v>8122.75</v>
      </c>
      <c r="F8" s="7">
        <v>2653.8399999999997</v>
      </c>
      <c r="G8" s="7">
        <f t="shared" si="0"/>
        <v>21.7527868852459</v>
      </c>
      <c r="H8" s="12">
        <v>18</v>
      </c>
      <c r="I8" s="9">
        <v>1329.85</v>
      </c>
      <c r="J8" s="9">
        <v>1173.8399999999999</v>
      </c>
      <c r="K8" s="9">
        <f t="shared" si="1"/>
        <v>65.213333333333324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1.65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0</v>
      </c>
      <c r="E11" s="7">
        <v>0</v>
      </c>
      <c r="F11" s="7">
        <v>32.17</v>
      </c>
      <c r="G11" s="7" t="e">
        <f t="shared" si="0"/>
        <v>#DIV/0!</v>
      </c>
      <c r="H11" s="11">
        <v>1</v>
      </c>
      <c r="I11" s="9">
        <v>30</v>
      </c>
      <c r="J11" s="9">
        <v>195.36</v>
      </c>
      <c r="K11" s="9">
        <f t="shared" si="1"/>
        <v>195.36</v>
      </c>
    </row>
    <row r="12" spans="1:11" x14ac:dyDescent="0.25">
      <c r="A12" s="23"/>
      <c r="B12" s="5" t="s">
        <v>14</v>
      </c>
      <c r="C12" s="5"/>
      <c r="D12" s="13">
        <f>SUM(D3:D11)</f>
        <v>233</v>
      </c>
      <c r="E12" s="14">
        <f>SUM(E3:E11)</f>
        <v>15671.7</v>
      </c>
      <c r="F12" s="14">
        <f>SUM(F3:F11)</f>
        <v>4224.41</v>
      </c>
      <c r="G12" s="14">
        <f>F12/D12</f>
        <v>18.130515021459228</v>
      </c>
      <c r="H12" s="15">
        <f>SUM(H3:H11)</f>
        <v>48</v>
      </c>
      <c r="I12" s="16">
        <f>SUM(I3:I11)</f>
        <v>2968.35</v>
      </c>
      <c r="J12" s="16">
        <f>SUM(J3:J11)</f>
        <v>2672.2200000000003</v>
      </c>
      <c r="K12" s="16">
        <f t="shared" ref="K12" si="2">J12/H12</f>
        <v>55.671250000000008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45844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45850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42</v>
      </c>
      <c r="E17" s="7">
        <v>2987.6</v>
      </c>
      <c r="F17" s="7">
        <v>756.92</v>
      </c>
      <c r="G17" s="7">
        <f t="shared" si="3"/>
        <v>18.021904761904761</v>
      </c>
      <c r="H17" s="11">
        <v>10</v>
      </c>
      <c r="I17" s="9">
        <v>709.45</v>
      </c>
      <c r="J17" s="9">
        <v>547.69000000000005</v>
      </c>
      <c r="K17" s="9">
        <f t="shared" si="4"/>
        <v>54.769000000000005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12</v>
      </c>
      <c r="I18" s="9">
        <v>838.8</v>
      </c>
      <c r="J18" s="9">
        <v>130.36000000000001</v>
      </c>
      <c r="K18" s="9">
        <f t="shared" si="4"/>
        <v>10.863333333333335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50</v>
      </c>
      <c r="E20" s="27">
        <v>3367.25</v>
      </c>
      <c r="F20" s="27">
        <v>897.86</v>
      </c>
      <c r="G20" s="7">
        <f t="shared" si="3"/>
        <v>17.9572</v>
      </c>
      <c r="H20" s="11">
        <v>12</v>
      </c>
      <c r="I20" s="9">
        <v>839.4</v>
      </c>
      <c r="J20" s="9">
        <v>716.24</v>
      </c>
      <c r="K20" s="9">
        <f t="shared" si="4"/>
        <v>59.686666666666667</v>
      </c>
    </row>
    <row r="21" spans="1:11" x14ac:dyDescent="0.25">
      <c r="A21" s="23"/>
      <c r="B21" s="5" t="s">
        <v>13</v>
      </c>
      <c r="C21" s="17">
        <v>35</v>
      </c>
      <c r="D21" s="10">
        <v>140</v>
      </c>
      <c r="E21" s="7">
        <v>9791.25</v>
      </c>
      <c r="F21" s="7">
        <v>3154.91</v>
      </c>
      <c r="G21" s="7">
        <f t="shared" si="3"/>
        <v>22.535071428571428</v>
      </c>
      <c r="H21" s="12">
        <v>24</v>
      </c>
      <c r="I21" s="9">
        <v>1588.9</v>
      </c>
      <c r="J21" s="9">
        <v>1455.7</v>
      </c>
      <c r="K21" s="9">
        <f t="shared" si="4"/>
        <v>60.654166666666669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11</v>
      </c>
      <c r="E24" s="7">
        <v>491</v>
      </c>
      <c r="F24" s="7">
        <v>71.510000000000005</v>
      </c>
      <c r="G24" s="7">
        <f t="shared" si="3"/>
        <v>6.500909090909091</v>
      </c>
      <c r="H24" s="11">
        <v>0</v>
      </c>
      <c r="I24" s="9">
        <v>0</v>
      </c>
      <c r="J24" s="9">
        <v>159.24</v>
      </c>
      <c r="K24" s="9" t="e">
        <f t="shared" si="4"/>
        <v>#DIV/0!</v>
      </c>
    </row>
    <row r="25" spans="1:11" x14ac:dyDescent="0.25">
      <c r="A25" s="23"/>
      <c r="B25" s="5" t="s">
        <v>14</v>
      </c>
      <c r="C25" s="5"/>
      <c r="D25" s="13">
        <f>SUM(D16:D24)</f>
        <v>243</v>
      </c>
      <c r="E25" s="14">
        <f>SUM(E16:E24)</f>
        <v>16637.099999999999</v>
      </c>
      <c r="F25" s="14">
        <f>SUM(F16:F24)</f>
        <v>4881.2</v>
      </c>
      <c r="G25" s="14">
        <f>F25/D25</f>
        <v>20.087242798353909</v>
      </c>
      <c r="H25" s="15">
        <f>SUM(H16:H24)</f>
        <v>58</v>
      </c>
      <c r="I25" s="16">
        <f>SUM(I16:I24)</f>
        <v>3976.55</v>
      </c>
      <c r="J25" s="16">
        <f>SUM(J16:J24)</f>
        <v>3009.2299999999996</v>
      </c>
      <c r="K25" s="16">
        <f t="shared" ref="K25" si="7">J25/H25</f>
        <v>51.883275862068956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-0.33333333333333331</v>
      </c>
      <c r="E30" s="21">
        <f t="shared" si="8"/>
        <v>-0.30768844557504355</v>
      </c>
      <c r="F30" s="21">
        <f t="shared" si="8"/>
        <v>0.22063097817470803</v>
      </c>
      <c r="G30" s="21">
        <f t="shared" si="8"/>
        <v>0.415473233631031</v>
      </c>
      <c r="H30" s="21">
        <f t="shared" si="8"/>
        <v>0.1</v>
      </c>
      <c r="I30" s="21">
        <f t="shared" si="8"/>
        <v>0.16900415815068007</v>
      </c>
      <c r="J30" s="21">
        <f>(J17-J4)/J17</f>
        <v>-8.9284084062151697E-3</v>
      </c>
      <c r="K30" s="21">
        <f t="shared" si="8"/>
        <v>-0.12103156489579464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0.25</v>
      </c>
      <c r="I31" s="21">
        <f t="shared" si="8"/>
        <v>0.58333333333333326</v>
      </c>
      <c r="J31" s="21">
        <f t="shared" si="8"/>
        <v>8.7603559374041226E-2</v>
      </c>
      <c r="K31" s="21">
        <f t="shared" si="8"/>
        <v>-0.21652858750127832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-0.1</v>
      </c>
      <c r="E33" s="21">
        <f t="shared" si="8"/>
        <v>-8.1624471007498672E-2</v>
      </c>
      <c r="F33" s="21">
        <f t="shared" si="8"/>
        <v>-5.6378499988862407E-2</v>
      </c>
      <c r="G33" s="21">
        <f t="shared" si="8"/>
        <v>3.9655909101034219E-2</v>
      </c>
      <c r="H33" s="21">
        <f t="shared" si="8"/>
        <v>8.3333333333333329E-2</v>
      </c>
      <c r="I33" s="21">
        <f t="shared" si="8"/>
        <v>0.20246604717655461</v>
      </c>
      <c r="J33" s="21">
        <f t="shared" si="8"/>
        <v>0.12061599463866858</v>
      </c>
      <c r="K33" s="21">
        <f t="shared" si="8"/>
        <v>4.0671994151274871E-2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0.12857142857142856</v>
      </c>
      <c r="E34" s="21">
        <f t="shared" si="8"/>
        <v>0.17040725137239882</v>
      </c>
      <c r="F34" s="21">
        <f t="shared" si="8"/>
        <v>0.15882228019182804</v>
      </c>
      <c r="G34" s="21">
        <f t="shared" si="8"/>
        <v>3.4714092023409179E-2</v>
      </c>
      <c r="H34" s="21">
        <f t="shared" si="8"/>
        <v>0.25</v>
      </c>
      <c r="I34" s="21">
        <f t="shared" si="8"/>
        <v>0.16303732141733285</v>
      </c>
      <c r="J34" s="21">
        <f t="shared" si="8"/>
        <v>0.19362506010853892</v>
      </c>
      <c r="K34" s="21">
        <f t="shared" si="8"/>
        <v>-7.516658652194802E-2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1</v>
      </c>
      <c r="E37" s="21">
        <f t="shared" si="9"/>
        <v>1</v>
      </c>
      <c r="F37" s="21">
        <f t="shared" si="9"/>
        <v>0.55013284855264999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>
        <f t="shared" si="9"/>
        <v>-0.22682743029389602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4.1152263374485597E-2</v>
      </c>
      <c r="E38" s="22">
        <f t="shared" si="9"/>
        <v>5.8026939791189447E-2</v>
      </c>
      <c r="F38" s="22">
        <f t="shared" si="9"/>
        <v>0.13455502745226583</v>
      </c>
      <c r="G38" s="22">
        <f t="shared" si="9"/>
        <v>9.7411466398714966E-2</v>
      </c>
      <c r="H38" s="22">
        <f t="shared" si="9"/>
        <v>0.17241379310344829</v>
      </c>
      <c r="I38" s="22">
        <f t="shared" si="9"/>
        <v>0.25353635689228105</v>
      </c>
      <c r="J38" s="22">
        <f t="shared" si="9"/>
        <v>0.11199210429245998</v>
      </c>
      <c r="K38" s="22">
        <f t="shared" si="9"/>
        <v>-7.3009540646610943E-2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2025-07-14T14:04:54Z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