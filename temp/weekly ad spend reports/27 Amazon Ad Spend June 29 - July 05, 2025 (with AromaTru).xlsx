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1C92339-A3E9-4341-912A-C0B5699D81BF}" xr6:coauthVersionLast="47" xr6:coauthVersionMax="47" xr10:uidLastSave="{00000000-0000-0000-0000-000000000000}"/>
  <bookViews>
    <workbookView xWindow="1560" yWindow="1560" windowWidth="2464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<sst xmlns="http://schemas.openxmlformats.org/spreadsheetml/2006/main" count="66" uniqueCount="20">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</sst>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45830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45836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1.84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31</v>
      </c>
      <c r="E4" s="7">
        <v>2408.1</v>
      </c>
      <c r="F4" s="7">
        <v>612.58000000000004</v>
      </c>
      <c r="G4" s="7">
        <f t="shared" si="0"/>
        <v>19.760645161290324</v>
      </c>
      <c r="H4" s="11">
        <v>8</v>
      </c>
      <c r="I4" s="9">
        <v>589.55000000000007</v>
      </c>
      <c r="J4" s="9">
        <v>599.34</v>
      </c>
      <c r="K4" s="9">
        <f t="shared" si="1"/>
        <v>74.917500000000004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9</v>
      </c>
      <c r="I5" s="9">
        <v>664.05</v>
      </c>
      <c r="J5" s="9">
        <v>91.74</v>
      </c>
      <c r="K5" s="9">
        <f t="shared" si="1"/>
        <v>10.193333333333333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43</v>
      </c>
      <c r="E7" s="27">
        <v>2962.65</v>
      </c>
      <c r="F7" s="27">
        <v>882.57</v>
      </c>
      <c r="G7" s="7">
        <f t="shared" si="0"/>
        <v>20.524883720930234</v>
      </c>
      <c r="H7" s="11">
        <v>13</v>
      </c>
      <c r="I7" s="9">
        <v>819.35</v>
      </c>
      <c r="J7" s="9">
        <v>572.62</v>
      </c>
      <c r="K7" s="9">
        <f t="shared" si="1"/>
        <v>44.047692307692309</v>
      </c>
    </row>
    <row r="8" spans="1:11" x14ac:dyDescent="0.25">
      <c r="A8" s="23"/>
      <c r="B8" s="5" t="s">
        <v>13</v>
      </c>
      <c r="C8" s="17">
        <v>35</v>
      </c>
      <c r="D8" s="10">
        <v>109</v>
      </c>
      <c r="E8" s="7">
        <v>7648.35</v>
      </c>
      <c r="F8" s="7">
        <v>2622.09</v>
      </c>
      <c r="G8" s="7">
        <f t="shared" si="0"/>
        <v>24.055871559633029</v>
      </c>
      <c r="H8" s="12">
        <v>22</v>
      </c>
      <c r="I8" s="9">
        <v>1571.8</v>
      </c>
      <c r="J8" s="9">
        <v>1155.8800000000001</v>
      </c>
      <c r="K8" s="9">
        <f t="shared" si="1"/>
        <v>52.540000000000006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0.01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0</v>
      </c>
      <c r="E11" s="7">
        <v>0</v>
      </c>
      <c r="F11" s="7">
        <v>38.24</v>
      </c>
      <c r="G11" s="7" t="e">
        <f t="shared" si="0"/>
        <v>#DIV/0!</v>
      </c>
      <c r="H11" s="11">
        <v>1</v>
      </c>
      <c r="I11" s="9">
        <v>14</v>
      </c>
      <c r="J11" s="9">
        <v>186.2</v>
      </c>
      <c r="K11" s="9">
        <f t="shared" si="1"/>
        <v>186.2</v>
      </c>
    </row>
    <row r="12" spans="1:11" x14ac:dyDescent="0.25">
      <c r="A12" s="23"/>
      <c r="B12" s="5" t="s">
        <v>14</v>
      </c>
      <c r="C12" s="5"/>
      <c r="D12" s="13">
        <f>SUM(D3:D11)</f>
        <v>183</v>
      </c>
      <c r="E12" s="14">
        <f>SUM(E3:E11)</f>
        <v>13019.1</v>
      </c>
      <c r="F12" s="14">
        <f>SUM(F3:F11)</f>
        <v>4155.4799999999996</v>
      </c>
      <c r="G12" s="14">
        <f>F12/D12</f>
        <v>22.707540983606556</v>
      </c>
      <c r="H12" s="15">
        <f>SUM(H3:H11)</f>
        <v>53</v>
      </c>
      <c r="I12" s="16">
        <f>SUM(I3:I11)</f>
        <v>3658.75</v>
      </c>
      <c r="J12" s="16">
        <f>SUM(J3:J11)</f>
        <v>2607.63</v>
      </c>
      <c r="K12" s="16">
        <f t="shared" ref="K12" si="2">J12/H12</f>
        <v>49.200566037735854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45837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45843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56</v>
      </c>
      <c r="E17" s="7">
        <v>3906.85</v>
      </c>
      <c r="F17" s="7">
        <v>589.91999999999996</v>
      </c>
      <c r="G17" s="7">
        <f t="shared" si="3"/>
        <v>10.534285714285714</v>
      </c>
      <c r="H17" s="11">
        <v>9</v>
      </c>
      <c r="I17" s="9">
        <v>589.55000000000007</v>
      </c>
      <c r="J17" s="9">
        <v>552.58000000000004</v>
      </c>
      <c r="K17" s="9">
        <f t="shared" si="4"/>
        <v>61.397777777777783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9</v>
      </c>
      <c r="I18" s="9">
        <v>349.5</v>
      </c>
      <c r="J18" s="9">
        <v>118.94</v>
      </c>
      <c r="K18" s="9">
        <f t="shared" si="4"/>
        <v>13.215555555555556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55</v>
      </c>
      <c r="E20" s="27">
        <v>3642.1</v>
      </c>
      <c r="F20" s="27">
        <v>948.48</v>
      </c>
      <c r="G20" s="7">
        <f t="shared" si="3"/>
        <v>17.245090909090909</v>
      </c>
      <c r="H20" s="11">
        <v>11</v>
      </c>
      <c r="I20" s="9">
        <v>669.45</v>
      </c>
      <c r="J20" s="9">
        <v>629.85</v>
      </c>
      <c r="K20" s="9">
        <f t="shared" si="4"/>
        <v>57.259090909090908</v>
      </c>
    </row>
    <row r="21" spans="1:11" x14ac:dyDescent="0.25">
      <c r="A21" s="23"/>
      <c r="B21" s="5" t="s">
        <v>13</v>
      </c>
      <c r="C21" s="17">
        <v>35</v>
      </c>
      <c r="D21" s="10">
        <v>122</v>
      </c>
      <c r="E21" s="7">
        <v>8122.75</v>
      </c>
      <c r="F21" s="7">
        <v>2653.8399999999997</v>
      </c>
      <c r="G21" s="7">
        <f t="shared" si="3"/>
        <v>21.7527868852459</v>
      </c>
      <c r="H21" s="12">
        <v>18</v>
      </c>
      <c r="I21" s="9">
        <v>1329.85</v>
      </c>
      <c r="J21" s="9">
        <v>1173.8399999999999</v>
      </c>
      <c r="K21" s="9">
        <f t="shared" si="4"/>
        <v>65.213333333333324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1.65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0</v>
      </c>
      <c r="E24" s="7">
        <v>0</v>
      </c>
      <c r="F24" s="7">
        <v>32.17</v>
      </c>
      <c r="G24" s="7" t="e">
        <f t="shared" si="3"/>
        <v>#DIV/0!</v>
      </c>
      <c r="H24" s="11">
        <v>1</v>
      </c>
      <c r="I24" s="9">
        <v>30</v>
      </c>
      <c r="J24" s="9">
        <v>195.36</v>
      </c>
      <c r="K24" s="9">
        <f t="shared" si="4"/>
        <v>195.36</v>
      </c>
    </row>
    <row r="25" spans="1:11" x14ac:dyDescent="0.25">
      <c r="A25" s="23"/>
      <c r="B25" s="5" t="s">
        <v>14</v>
      </c>
      <c r="C25" s="5"/>
      <c r="D25" s="13">
        <f>SUM(D16:D24)</f>
        <v>233</v>
      </c>
      <c r="E25" s="14">
        <f>SUM(E16:E24)</f>
        <v>15671.7</v>
      </c>
      <c r="F25" s="14">
        <f>SUM(F16:F24)</f>
        <v>4224.41</v>
      </c>
      <c r="G25" s="14">
        <f>F25/D25</f>
        <v>18.130515021459228</v>
      </c>
      <c r="H25" s="15">
        <f>SUM(H16:H24)</f>
        <v>48</v>
      </c>
      <c r="I25" s="16">
        <f>SUM(I16:I24)</f>
        <v>2968.35</v>
      </c>
      <c r="J25" s="16">
        <f>SUM(J16:J24)</f>
        <v>2672.2200000000003</v>
      </c>
      <c r="K25" s="16">
        <f t="shared" ref="K25" si="7">J25/H25</f>
        <v>55.671250000000008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0.44642857142857145</v>
      </c>
      <c r="E30" s="21">
        <f t="shared" si="8"/>
        <v>0.38362107580275673</v>
      </c>
      <c r="F30" s="21">
        <f t="shared" si="8"/>
        <v>-3.8411988066178605E-2</v>
      </c>
      <c r="G30" s="21">
        <f t="shared" si="8"/>
        <v>-0.87584101070019349</v>
      </c>
      <c r="H30" s="21">
        <f t="shared" si="8"/>
        <v>0.1111111111111111</v>
      </c>
      <c r="I30" s="21">
        <f t="shared" si="8"/>
        <v>0</v>
      </c>
      <c r="J30" s="21">
        <f>(J17-J4)/J17</f>
        <v>-8.4621231314922704E-2</v>
      </c>
      <c r="K30" s="21">
        <f t="shared" si="8"/>
        <v>-0.22019888522928802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0</v>
      </c>
      <c r="I31" s="21">
        <f t="shared" si="8"/>
        <v>-0.89999999999999991</v>
      </c>
      <c r="J31" s="21">
        <f t="shared" si="8"/>
        <v>0.22868673280645707</v>
      </c>
      <c r="K31" s="21">
        <f t="shared" si="8"/>
        <v>0.22868673280645704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0.21818181818181817</v>
      </c>
      <c r="E33" s="21">
        <f t="shared" si="8"/>
        <v>0.18655446033881548</v>
      </c>
      <c r="F33" s="21">
        <f t="shared" si="8"/>
        <v>6.9490131578947331E-2</v>
      </c>
      <c r="G33" s="21">
        <f t="shared" si="8"/>
        <v>-0.19018704100367206</v>
      </c>
      <c r="H33" s="21">
        <f t="shared" si="8"/>
        <v>-0.18181818181818182</v>
      </c>
      <c r="I33" s="21">
        <f t="shared" si="8"/>
        <v>-0.22391515423108518</v>
      </c>
      <c r="J33" s="21">
        <f t="shared" si="8"/>
        <v>9.0862903865999864E-2</v>
      </c>
      <c r="K33" s="21">
        <f t="shared" si="8"/>
        <v>0.23073014942507675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0.10655737704918032</v>
      </c>
      <c r="E34" s="21">
        <f t="shared" si="8"/>
        <v>5.8403865685882198E-2</v>
      </c>
      <c r="F34" s="21">
        <f t="shared" si="8"/>
        <v>1.1963795858077182E-2</v>
      </c>
      <c r="G34" s="21">
        <f t="shared" si="8"/>
        <v>-0.10587538445242735</v>
      </c>
      <c r="H34" s="21">
        <f t="shared" si="8"/>
        <v>-0.22222222222222221</v>
      </c>
      <c r="I34" s="21">
        <f t="shared" si="8"/>
        <v>-0.18193781253524838</v>
      </c>
      <c r="J34" s="21">
        <f t="shared" si="8"/>
        <v>1.5300211272404936E-2</v>
      </c>
      <c r="K34" s="21">
        <f t="shared" si="8"/>
        <v>0.19433653649560395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>
        <f t="shared" si="8"/>
        <v>0.9939393939393939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-0.18868511035125893</v>
      </c>
      <c r="G37" s="21" t="e">
        <f t="shared" si="9"/>
        <v>#DIV/0!</v>
      </c>
      <c r="H37" s="21">
        <f t="shared" si="9"/>
        <v>0</v>
      </c>
      <c r="I37" s="21">
        <f t="shared" si="9"/>
        <v>0.53333333333333333</v>
      </c>
      <c r="J37" s="21">
        <f t="shared" si="9"/>
        <v>4.6887796887797012E-2</v>
      </c>
      <c r="K37" s="21">
        <f t="shared" si="9"/>
        <v>4.6887796887797012E-2</v>
      </c>
    </row>
    <row r="38" spans="1:11" x14ac:dyDescent="0.25">
      <c r="A38" s="23"/>
      <c r="B38" s="5" t="s">
        <v>14</v>
      </c>
      <c r="C38" s="5"/>
      <c r="D38" s="22">
        <f t="shared" si="9"/>
        <v>0.21459227467811159</v>
      </c>
      <c r="E38" s="22">
        <f t="shared" si="9"/>
        <v>0.16926051417523308</v>
      </c>
      <c r="F38" s="22">
        <f t="shared" si="9"/>
        <v>1.6317071496374711E-2</v>
      </c>
      <c r="G38" s="22">
        <f t="shared" si="9"/>
        <v>-0.25244875596363214</v>
      </c>
      <c r="H38" s="22">
        <f t="shared" si="9"/>
        <v>-0.10416666666666667</v>
      </c>
      <c r="I38" s="22">
        <f t="shared" si="9"/>
        <v>-0.23258712752876182</v>
      </c>
      <c r="J38" s="22">
        <f t="shared" si="9"/>
        <v>2.4170914071446264E-2</v>
      </c>
      <c r="K38" s="22">
        <f t="shared" si="9"/>
        <v>0.1162302618005551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2025-07-07T12:25:35Z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