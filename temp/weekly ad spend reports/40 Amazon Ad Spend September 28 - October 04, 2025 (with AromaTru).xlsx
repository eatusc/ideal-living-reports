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AD7E6AD-60C1-49AE-BAF7-D4589924155B}" xr6:coauthVersionLast="47" xr6:coauthVersionMax="47" xr10:uidLastSave="{00000000-0000-0000-0000-000000000000}"/>
  <bookViews>
    <workbookView xWindow="2505" yWindow="2505" windowWidth="2289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<sst xmlns="http://schemas.openxmlformats.org/spreadsheetml/2006/main" count="66" uniqueCount="20">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</sst>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workbookViewId="0">
      <selection activeCell="H24" sqref="H24:J24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45921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45927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41</v>
      </c>
      <c r="E4" s="7">
        <v>2557.9</v>
      </c>
      <c r="F4" s="7">
        <v>784.01</v>
      </c>
      <c r="G4" s="7">
        <f t="shared" si="0"/>
        <v>19.122195121951219</v>
      </c>
      <c r="H4" s="11">
        <v>13</v>
      </c>
      <c r="I4" s="9">
        <v>909.30000000000007</v>
      </c>
      <c r="J4" s="9">
        <v>760.18999999999994</v>
      </c>
      <c r="K4" s="9">
        <f t="shared" si="1"/>
        <v>58.476153846153842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31</v>
      </c>
      <c r="E7" s="27">
        <v>2108.3000000000002</v>
      </c>
      <c r="F7" s="27">
        <v>575.32000000000005</v>
      </c>
      <c r="G7" s="7">
        <f t="shared" si="0"/>
        <v>18.558709677419355</v>
      </c>
      <c r="H7" s="11">
        <v>6</v>
      </c>
      <c r="I7" s="9">
        <v>386.75</v>
      </c>
      <c r="J7" s="9">
        <v>534.07000000000005</v>
      </c>
      <c r="K7" s="9">
        <f t="shared" si="1"/>
        <v>89.01166666666667</v>
      </c>
    </row>
    <row r="8" spans="1:11" x14ac:dyDescent="0.25">
      <c r="A8" s="23"/>
      <c r="B8" s="5" t="s">
        <v>13</v>
      </c>
      <c r="C8" s="17">
        <v>35</v>
      </c>
      <c r="D8" s="10">
        <v>105</v>
      </c>
      <c r="E8" s="7">
        <v>6859.95</v>
      </c>
      <c r="F8" s="7">
        <v>3330.84</v>
      </c>
      <c r="G8" s="7">
        <f t="shared" si="0"/>
        <v>31.722285714285714</v>
      </c>
      <c r="H8" s="12">
        <v>28</v>
      </c>
      <c r="I8" s="9">
        <v>1758.9</v>
      </c>
      <c r="J8" s="9">
        <v>1431.58</v>
      </c>
      <c r="K8" s="9">
        <f t="shared" si="1"/>
        <v>51.127857142857138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2</v>
      </c>
      <c r="E11" s="7">
        <v>70</v>
      </c>
      <c r="F11" s="7">
        <v>15.87</v>
      </c>
      <c r="G11" s="7">
        <f t="shared" si="0"/>
        <v>7.9349999999999996</v>
      </c>
      <c r="H11" s="11">
        <v>2</v>
      </c>
      <c r="I11" s="9">
        <v>62.5</v>
      </c>
      <c r="J11" s="9">
        <v>122.84</v>
      </c>
      <c r="K11" s="9">
        <f t="shared" si="1"/>
        <v>61.42</v>
      </c>
    </row>
    <row r="12" spans="1:11" x14ac:dyDescent="0.25">
      <c r="A12" s="23"/>
      <c r="B12" s="5" t="s">
        <v>14</v>
      </c>
      <c r="C12" s="5"/>
      <c r="D12" s="13">
        <f>SUM(D3:D11)</f>
        <v>179</v>
      </c>
      <c r="E12" s="14">
        <f>SUM(E3:E11)</f>
        <v>11596.150000000001</v>
      </c>
      <c r="F12" s="14">
        <f>SUM(F3:F11)</f>
        <v>4706.04</v>
      </c>
      <c r="G12" s="14">
        <f>F12/D12</f>
        <v>26.290726256983241</v>
      </c>
      <c r="H12" s="15">
        <f>SUM(H3:H11)</f>
        <v>49</v>
      </c>
      <c r="I12" s="16">
        <f>SUM(I3:I11)</f>
        <v>3117.4500000000003</v>
      </c>
      <c r="J12" s="16">
        <f>SUM(J3:J11)</f>
        <v>2848.6800000000003</v>
      </c>
      <c r="K12" s="16">
        <f t="shared" ref="K12" si="2">J12/H12</f>
        <v>58.136326530612251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45928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45934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36</v>
      </c>
      <c r="E17" s="7">
        <v>2607.9</v>
      </c>
      <c r="F17" s="7">
        <v>779.98</v>
      </c>
      <c r="G17" s="7">
        <f t="shared" si="3"/>
        <v>21.66611111111111</v>
      </c>
      <c r="H17" s="11">
        <v>19</v>
      </c>
      <c r="I17" s="9">
        <v>1269.0500000000002</v>
      </c>
      <c r="J17" s="9">
        <v>647.7299999999999</v>
      </c>
      <c r="K17" s="9">
        <f t="shared" si="4"/>
        <v>34.09105263157894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34</v>
      </c>
      <c r="E20" s="27">
        <v>2265.1999999999998</v>
      </c>
      <c r="F20" s="27">
        <v>636.11</v>
      </c>
      <c r="G20" s="7">
        <f t="shared" si="3"/>
        <v>18.709117647058825</v>
      </c>
      <c r="H20" s="11">
        <v>8</v>
      </c>
      <c r="I20" s="9">
        <v>554.6</v>
      </c>
      <c r="J20" s="9">
        <v>458.91</v>
      </c>
      <c r="K20" s="9">
        <f t="shared" si="4"/>
        <v>57.363750000000003</v>
      </c>
    </row>
    <row r="21" spans="1:11" x14ac:dyDescent="0.25">
      <c r="A21" s="23"/>
      <c r="B21" s="5" t="s">
        <v>13</v>
      </c>
      <c r="C21" s="17">
        <v>35</v>
      </c>
      <c r="D21" s="10">
        <v>131</v>
      </c>
      <c r="E21" s="7">
        <v>8709</v>
      </c>
      <c r="F21" s="7">
        <v>3830.35</v>
      </c>
      <c r="G21" s="7">
        <f t="shared" si="3"/>
        <v>29.239312977099235</v>
      </c>
      <c r="H21" s="12">
        <v>27</v>
      </c>
      <c r="I21" s="9">
        <v>1689</v>
      </c>
      <c r="J21" s="9">
        <v>1539.11</v>
      </c>
      <c r="K21" s="9">
        <f t="shared" si="4"/>
        <v>57.004074074074069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6">F23/D23</f>
        <v>#DIV/0!</v>
      </c>
      <c r="H23" s="11">
        <v>0</v>
      </c>
      <c r="I23" s="9">
        <v>0</v>
      </c>
      <c r="J23" s="9">
        <v>0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2</v>
      </c>
      <c r="E24" s="7">
        <v>131.97</v>
      </c>
      <c r="F24" s="7">
        <v>9.9499999999999993</v>
      </c>
      <c r="G24" s="7">
        <f t="shared" si="3"/>
        <v>4.9749999999999996</v>
      </c>
      <c r="H24" s="11">
        <v>0</v>
      </c>
      <c r="I24" s="9">
        <v>0</v>
      </c>
      <c r="J24" s="9">
        <v>233.78</v>
      </c>
      <c r="K24" s="9" t="e">
        <f t="shared" si="4"/>
        <v>#DIV/0!</v>
      </c>
    </row>
    <row r="25" spans="1:11" x14ac:dyDescent="0.25">
      <c r="A25" s="23"/>
      <c r="B25" s="5" t="s">
        <v>14</v>
      </c>
      <c r="C25" s="5"/>
      <c r="D25" s="13">
        <f>SUM(D16:D24)</f>
        <v>203</v>
      </c>
      <c r="E25" s="14">
        <f>SUM(E16:E24)</f>
        <v>13714.07</v>
      </c>
      <c r="F25" s="14">
        <f>SUM(F16:F24)</f>
        <v>5256.39</v>
      </c>
      <c r="G25" s="14">
        <f>F25/D25</f>
        <v>25.893546798029558</v>
      </c>
      <c r="H25" s="15">
        <f>SUM(H16:H24)</f>
        <v>54</v>
      </c>
      <c r="I25" s="16">
        <f>SUM(I16:I24)</f>
        <v>3512.65</v>
      </c>
      <c r="J25" s="16">
        <f>SUM(J16:J24)</f>
        <v>2879.53</v>
      </c>
      <c r="K25" s="16">
        <f t="shared" ref="K25" si="7">J25/H25</f>
        <v>53.324629629629634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-0.1388888888888889</v>
      </c>
      <c r="E30" s="21">
        <f t="shared" si="8"/>
        <v>1.9172514283523141E-2</v>
      </c>
      <c r="F30" s="21">
        <f t="shared" si="8"/>
        <v>-5.1667991486960855E-3</v>
      </c>
      <c r="G30" s="21">
        <f t="shared" si="8"/>
        <v>0.11741451782065708</v>
      </c>
      <c r="H30" s="21">
        <f t="shared" si="8"/>
        <v>0.31578947368421051</v>
      </c>
      <c r="I30" s="21">
        <f t="shared" si="8"/>
        <v>0.28347976833064109</v>
      </c>
      <c r="J30" s="21">
        <f>(J17-J4)/J17</f>
        <v>-0.17362172510150842</v>
      </c>
      <c r="K30" s="21">
        <f t="shared" si="8"/>
        <v>-0.71529329053297397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 t="e">
        <f t="shared" si="8"/>
        <v>#DIV/0!</v>
      </c>
      <c r="I31" s="21" t="e">
        <f t="shared" si="8"/>
        <v>#DIV/0!</v>
      </c>
      <c r="J31" s="21" t="e">
        <f t="shared" si="8"/>
        <v>#DIV/0!</v>
      </c>
      <c r="K31" s="21" t="e">
        <f t="shared" si="8"/>
        <v>#DIV/0!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8.8235294117647065E-2</v>
      </c>
      <c r="E33" s="21">
        <f t="shared" si="8"/>
        <v>6.9265407028076834E-2</v>
      </c>
      <c r="F33" s="21">
        <f t="shared" si="8"/>
        <v>9.5565232428353533E-2</v>
      </c>
      <c r="G33" s="21">
        <f t="shared" si="8"/>
        <v>8.0392871794846728E-3</v>
      </c>
      <c r="H33" s="21">
        <f t="shared" si="8"/>
        <v>0.25</v>
      </c>
      <c r="I33" s="21">
        <f t="shared" si="8"/>
        <v>0.30265055896141368</v>
      </c>
      <c r="J33" s="21">
        <f t="shared" si="8"/>
        <v>-0.16377939029439328</v>
      </c>
      <c r="K33" s="21">
        <f t="shared" si="8"/>
        <v>-0.55170585372585768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0.19847328244274809</v>
      </c>
      <c r="E34" s="21">
        <f t="shared" si="8"/>
        <v>0.21231484671029971</v>
      </c>
      <c r="F34" s="21">
        <f t="shared" si="8"/>
        <v>0.13040844831412268</v>
      </c>
      <c r="G34" s="21">
        <f t="shared" si="8"/>
        <v>-8.491898353190408E-2</v>
      </c>
      <c r="H34" s="21">
        <f t="shared" si="8"/>
        <v>-3.7037037037037035E-2</v>
      </c>
      <c r="I34" s="21">
        <f t="shared" si="8"/>
        <v>-4.1385435168738952E-2</v>
      </c>
      <c r="J34" s="21">
        <f t="shared" si="8"/>
        <v>6.9865051880632301E-2</v>
      </c>
      <c r="K34" s="21">
        <f t="shared" si="8"/>
        <v>0.10308415717060973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 t="e">
        <f t="shared" ref="D36:K38" si="9">(D23-D10)/D23</f>
        <v>#DIV/0!</v>
      </c>
      <c r="E36" s="21" t="e">
        <f t="shared" si="9"/>
        <v>#DIV/0!</v>
      </c>
      <c r="F36" s="21" t="e">
        <f t="shared" si="9"/>
        <v>#DIV/0!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 t="e">
        <f t="shared" si="9"/>
        <v>#DIV/0!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0</v>
      </c>
      <c r="E37" s="21">
        <f t="shared" si="9"/>
        <v>0.46957641888307949</v>
      </c>
      <c r="F37" s="21">
        <f t="shared" si="9"/>
        <v>-0.59497487437185936</v>
      </c>
      <c r="G37" s="21">
        <f t="shared" si="9"/>
        <v>-0.59497487437185936</v>
      </c>
      <c r="H37" s="21" t="e">
        <f t="shared" si="9"/>
        <v>#DIV/0!</v>
      </c>
      <c r="I37" s="21" t="e">
        <f t="shared" si="9"/>
        <v>#DIV/0!</v>
      </c>
      <c r="J37" s="21">
        <f t="shared" si="9"/>
        <v>0.47454872101976214</v>
      </c>
      <c r="K37" s="21" t="e">
        <f t="shared" si="9"/>
        <v>#DIV/0!</v>
      </c>
    </row>
    <row r="38" spans="1:11" x14ac:dyDescent="0.25">
      <c r="A38" s="23"/>
      <c r="B38" s="5" t="s">
        <v>14</v>
      </c>
      <c r="C38" s="5"/>
      <c r="D38" s="22">
        <f t="shared" si="9"/>
        <v>0.11822660098522167</v>
      </c>
      <c r="E38" s="22">
        <f t="shared" si="9"/>
        <v>0.15443409578629819</v>
      </c>
      <c r="F38" s="22">
        <f t="shared" si="9"/>
        <v>0.10470113518974054</v>
      </c>
      <c r="G38" s="22">
        <f t="shared" si="9"/>
        <v>-1.5338936069735644E-2</v>
      </c>
      <c r="H38" s="22">
        <f t="shared" si="9"/>
        <v>9.2592592592592587E-2</v>
      </c>
      <c r="I38" s="22">
        <f t="shared" si="9"/>
        <v>0.11250765091882192</v>
      </c>
      <c r="J38" s="22">
        <f t="shared" si="9"/>
        <v>1.0713553948040098E-2</v>
      </c>
      <c r="K38" s="22">
        <f t="shared" si="9"/>
        <v>-9.023404258787418E-2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2025-10-06T13:55:38Z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