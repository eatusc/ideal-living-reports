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51CE853-D0C8-4632-A03E-7D3C16B6882B}" xr6:coauthVersionLast="47" xr6:coauthVersionMax="47" xr10:uidLastSave="{00000000-0000-0000-0000-000000000000}"/>
  <bookViews>
    <workbookView xWindow="3120" yWindow="2625" windowWidth="2289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<sst xmlns="http://schemas.openxmlformats.org/spreadsheetml/2006/main" count="66" uniqueCount="20">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</sst>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topLeftCell="A7" workbookViewId="0">
      <selection activeCell="E22" sqref="E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45879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45885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27</v>
      </c>
      <c r="E4" s="7">
        <v>2008.4</v>
      </c>
      <c r="F4" s="7">
        <v>375.73</v>
      </c>
      <c r="G4" s="7">
        <f t="shared" si="0"/>
        <v>13.915925925925926</v>
      </c>
      <c r="H4" s="11">
        <v>13</v>
      </c>
      <c r="I4" s="9">
        <v>601.7700000000001</v>
      </c>
      <c r="J4" s="9">
        <v>907.56000000000006</v>
      </c>
      <c r="K4" s="9">
        <f t="shared" si="1"/>
        <v>69.812307692307698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29</v>
      </c>
      <c r="E7" s="27">
        <v>2028.35</v>
      </c>
      <c r="F7" s="27">
        <v>612.62</v>
      </c>
      <c r="G7" s="7">
        <f t="shared" si="0"/>
        <v>21.124827586206898</v>
      </c>
      <c r="H7" s="11">
        <v>14</v>
      </c>
      <c r="I7" s="9">
        <v>969.2</v>
      </c>
      <c r="J7" s="9">
        <v>960.71</v>
      </c>
      <c r="K7" s="9">
        <f t="shared" si="1"/>
        <v>68.622142857142862</v>
      </c>
    </row>
    <row r="8" spans="1:11" x14ac:dyDescent="0.25">
      <c r="A8" s="23"/>
      <c r="B8" s="5" t="s">
        <v>13</v>
      </c>
      <c r="C8" s="17">
        <v>35</v>
      </c>
      <c r="D8" s="10">
        <v>92</v>
      </c>
      <c r="E8" s="7">
        <v>6077.7</v>
      </c>
      <c r="F8" s="7">
        <v>2767.8700000000003</v>
      </c>
      <c r="G8" s="7">
        <f t="shared" si="0"/>
        <v>30.085543478260874</v>
      </c>
      <c r="H8" s="12">
        <v>33</v>
      </c>
      <c r="I8" s="9">
        <v>2244.9499999999998</v>
      </c>
      <c r="J8" s="9">
        <v>1473.27</v>
      </c>
      <c r="K8" s="9">
        <f t="shared" si="1"/>
        <v>44.644545454545451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2</v>
      </c>
      <c r="E10" s="7">
        <v>329.7</v>
      </c>
      <c r="F10" s="7">
        <v>9.9600000000000009</v>
      </c>
      <c r="G10" s="7">
        <f t="shared" si="0"/>
        <v>4.9800000000000004</v>
      </c>
      <c r="H10" s="11">
        <v>0</v>
      </c>
      <c r="I10" s="9">
        <v>0</v>
      </c>
      <c r="J10" s="9">
        <v>77.88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1</v>
      </c>
      <c r="E11" s="7">
        <v>35</v>
      </c>
      <c r="F11" s="7">
        <v>21.5</v>
      </c>
      <c r="G11" s="7">
        <f t="shared" si="0"/>
        <v>21.5</v>
      </c>
      <c r="H11" s="11">
        <v>4</v>
      </c>
      <c r="I11" s="9">
        <v>152.56</v>
      </c>
      <c r="J11" s="9">
        <v>82.32</v>
      </c>
      <c r="K11" s="9">
        <f t="shared" si="1"/>
        <v>20.58</v>
      </c>
    </row>
    <row r="12" spans="1:11" x14ac:dyDescent="0.25">
      <c r="A12" s="23"/>
      <c r="B12" s="5" t="s">
        <v>14</v>
      </c>
      <c r="C12" s="5"/>
      <c r="D12" s="13">
        <f>SUM(D3:D11)</f>
        <v>151</v>
      </c>
      <c r="E12" s="14">
        <f>SUM(E3:E11)</f>
        <v>10479.150000000001</v>
      </c>
      <c r="F12" s="14">
        <f>SUM(F3:F11)</f>
        <v>3787.6800000000003</v>
      </c>
      <c r="G12" s="14">
        <f>F12/D12</f>
        <v>25.083973509933777</v>
      </c>
      <c r="H12" s="15">
        <f>SUM(H3:H11)</f>
        <v>64</v>
      </c>
      <c r="I12" s="16">
        <f>SUM(I3:I11)</f>
        <v>3968.48</v>
      </c>
      <c r="J12" s="16">
        <f>SUM(J3:J11)</f>
        <v>3501.7400000000002</v>
      </c>
      <c r="K12" s="16">
        <f t="shared" ref="K12" si="2">J12/H12</f>
        <v>54.714687500000004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45886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45892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30</v>
      </c>
      <c r="E17" s="7">
        <v>1998.35</v>
      </c>
      <c r="F17" s="7">
        <v>465.45</v>
      </c>
      <c r="G17" s="7">
        <f t="shared" si="3"/>
        <v>15.514999999999999</v>
      </c>
      <c r="H17" s="11">
        <v>16</v>
      </c>
      <c r="I17" s="9">
        <v>1139.1000000000001</v>
      </c>
      <c r="J17" s="9">
        <v>667.57</v>
      </c>
      <c r="K17" s="9">
        <f t="shared" si="4"/>
        <v>41.723125000000003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49</v>
      </c>
      <c r="E20" s="27">
        <v>3647.05</v>
      </c>
      <c r="F20" s="27">
        <v>584.4</v>
      </c>
      <c r="G20" s="7">
        <f t="shared" si="3"/>
        <v>11.926530612244898</v>
      </c>
      <c r="H20" s="11">
        <v>11</v>
      </c>
      <c r="I20" s="9">
        <v>769.4</v>
      </c>
      <c r="J20" s="9">
        <v>806.15</v>
      </c>
      <c r="K20" s="9">
        <f t="shared" si="4"/>
        <v>73.286363636363632</v>
      </c>
    </row>
    <row r="21" spans="1:11" x14ac:dyDescent="0.25">
      <c r="A21" s="23"/>
      <c r="B21" s="5" t="s">
        <v>13</v>
      </c>
      <c r="C21" s="17">
        <v>35</v>
      </c>
      <c r="D21" s="10">
        <v>135</v>
      </c>
      <c r="E21" s="7">
        <v>9702.0500000000011</v>
      </c>
      <c r="F21" s="7">
        <v>2724.93</v>
      </c>
      <c r="G21" s="7">
        <f t="shared" si="3"/>
        <v>20.184666666666665</v>
      </c>
      <c r="H21" s="12">
        <v>18</v>
      </c>
      <c r="I21" s="9">
        <v>1105</v>
      </c>
      <c r="J21" s="9">
        <v>1358.41</v>
      </c>
      <c r="K21" s="9">
        <f t="shared" si="4"/>
        <v>75.467222222222233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4</v>
      </c>
      <c r="E23" s="7">
        <v>219.8</v>
      </c>
      <c r="F23" s="7">
        <v>15.69</v>
      </c>
      <c r="G23" s="7">
        <f t="shared" ref="G23" si="6">F23/D23</f>
        <v>3.9224999999999999</v>
      </c>
      <c r="H23" s="11">
        <v>1</v>
      </c>
      <c r="I23" s="9">
        <v>54.95</v>
      </c>
      <c r="J23" s="9">
        <v>56.21</v>
      </c>
      <c r="K23" s="9">
        <f t="shared" si="5"/>
        <v>56.21</v>
      </c>
    </row>
    <row r="24" spans="1:11" x14ac:dyDescent="0.25">
      <c r="A24" s="23"/>
      <c r="B24" s="5" t="s">
        <v>19</v>
      </c>
      <c r="C24" s="17">
        <v>35</v>
      </c>
      <c r="D24" s="10">
        <v>1</v>
      </c>
      <c r="E24" s="7">
        <v>20</v>
      </c>
      <c r="F24" s="7">
        <v>18.059999999999999</v>
      </c>
      <c r="G24" s="7">
        <f t="shared" si="3"/>
        <v>18.059999999999999</v>
      </c>
      <c r="H24" s="11">
        <v>6</v>
      </c>
      <c r="I24" s="9">
        <v>153.1</v>
      </c>
      <c r="J24" s="9">
        <v>274.06</v>
      </c>
      <c r="K24" s="9">
        <f t="shared" si="4"/>
        <v>45.676666666666669</v>
      </c>
    </row>
    <row r="25" spans="1:11" x14ac:dyDescent="0.25">
      <c r="A25" s="23"/>
      <c r="B25" s="5" t="s">
        <v>14</v>
      </c>
      <c r="C25" s="5"/>
      <c r="D25" s="13">
        <f>SUM(D16:D24)</f>
        <v>219</v>
      </c>
      <c r="E25" s="14">
        <f>SUM(E16:E24)</f>
        <v>15587.25</v>
      </c>
      <c r="F25" s="14">
        <f>SUM(F16:F24)</f>
        <v>3808.5299999999997</v>
      </c>
      <c r="G25" s="14">
        <f>F25/D25</f>
        <v>17.39054794520548</v>
      </c>
      <c r="H25" s="15">
        <f>SUM(H16:H24)</f>
        <v>52</v>
      </c>
      <c r="I25" s="16">
        <f>SUM(I16:I24)</f>
        <v>3221.5499999999997</v>
      </c>
      <c r="J25" s="16">
        <f>SUM(J16:J24)</f>
        <v>3162.4</v>
      </c>
      <c r="K25" s="16">
        <f t="shared" ref="K25" si="7">J25/H25</f>
        <v>60.815384615384616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0.1</v>
      </c>
      <c r="E30" s="21">
        <f t="shared" si="8"/>
        <v>-5.0291490479646619E-3</v>
      </c>
      <c r="F30" s="21">
        <f t="shared" si="8"/>
        <v>0.19275969491889564</v>
      </c>
      <c r="G30" s="21">
        <f t="shared" si="8"/>
        <v>0.10306632768766182</v>
      </c>
      <c r="H30" s="21">
        <f t="shared" si="8"/>
        <v>0.1875</v>
      </c>
      <c r="I30" s="21">
        <f t="shared" si="8"/>
        <v>0.47171451145641291</v>
      </c>
      <c r="J30" s="21">
        <f>(J17-J4)/J17</f>
        <v>-0.35949788037209579</v>
      </c>
      <c r="K30" s="21">
        <f t="shared" si="8"/>
        <v>-0.67322816045796408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 t="e">
        <f t="shared" si="8"/>
        <v>#DIV/0!</v>
      </c>
      <c r="I31" s="21" t="e">
        <f t="shared" si="8"/>
        <v>#DIV/0!</v>
      </c>
      <c r="J31" s="21" t="e">
        <f t="shared" si="8"/>
        <v>#DIV/0!</v>
      </c>
      <c r="K31" s="21" t="e">
        <f t="shared" si="8"/>
        <v>#DIV/0!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0.40816326530612246</v>
      </c>
      <c r="E33" s="21">
        <f t="shared" si="8"/>
        <v>0.44383817057621922</v>
      </c>
      <c r="F33" s="21">
        <f t="shared" si="8"/>
        <v>-4.8288843258042488E-2</v>
      </c>
      <c r="G33" s="21">
        <f t="shared" si="8"/>
        <v>-0.77124666619462356</v>
      </c>
      <c r="H33" s="21">
        <f t="shared" si="8"/>
        <v>-0.27272727272727271</v>
      </c>
      <c r="I33" s="21">
        <f t="shared" si="8"/>
        <v>-0.25968286976865101</v>
      </c>
      <c r="J33" s="21">
        <f t="shared" si="8"/>
        <v>-0.19172610556348083</v>
      </c>
      <c r="K33" s="21">
        <f t="shared" si="8"/>
        <v>6.3643774200122155E-2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0.31851851851851853</v>
      </c>
      <c r="E34" s="21">
        <f t="shared" si="8"/>
        <v>0.37356538051236604</v>
      </c>
      <c r="F34" s="21">
        <f t="shared" si="8"/>
        <v>-1.5758202963012082E-2</v>
      </c>
      <c r="G34" s="21">
        <f t="shared" si="8"/>
        <v>-0.49051475434789821</v>
      </c>
      <c r="H34" s="21">
        <f t="shared" si="8"/>
        <v>-0.83333333333333337</v>
      </c>
      <c r="I34" s="21">
        <f t="shared" si="8"/>
        <v>-1.0316289592760179</v>
      </c>
      <c r="J34" s="21">
        <f t="shared" si="8"/>
        <v>-8.4554736787862197E-2</v>
      </c>
      <c r="K34" s="21">
        <f t="shared" si="8"/>
        <v>0.4084246890248025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>
        <f t="shared" ref="D36:K38" si="9">(D23-D10)/D23</f>
        <v>0.5</v>
      </c>
      <c r="E36" s="21">
        <f t="shared" si="9"/>
        <v>-0.49999999999999989</v>
      </c>
      <c r="F36" s="21">
        <f t="shared" si="9"/>
        <v>0.36520076481835556</v>
      </c>
      <c r="G36" s="21">
        <f t="shared" si="9"/>
        <v>-0.26959847036328888</v>
      </c>
      <c r="H36" s="21">
        <f t="shared" si="9"/>
        <v>1</v>
      </c>
      <c r="I36" s="21">
        <f t="shared" si="9"/>
        <v>1</v>
      </c>
      <c r="J36" s="21">
        <f t="shared" si="9"/>
        <v>-0.38551859099804298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>
        <f t="shared" si="9"/>
        <v>0</v>
      </c>
      <c r="E37" s="21">
        <f t="shared" si="9"/>
        <v>-0.75</v>
      </c>
      <c r="F37" s="21">
        <f t="shared" si="9"/>
        <v>-0.19047619047619055</v>
      </c>
      <c r="G37" s="21">
        <f t="shared" si="9"/>
        <v>-0.19047619047619055</v>
      </c>
      <c r="H37" s="21">
        <f t="shared" si="9"/>
        <v>0.33333333333333331</v>
      </c>
      <c r="I37" s="21">
        <f t="shared" si="9"/>
        <v>3.5271064663618032E-3</v>
      </c>
      <c r="J37" s="21">
        <f t="shared" si="9"/>
        <v>0.69962781872582647</v>
      </c>
      <c r="K37" s="21">
        <f t="shared" si="9"/>
        <v>0.54944172808873981</v>
      </c>
    </row>
    <row r="38" spans="1:11" x14ac:dyDescent="0.25">
      <c r="A38" s="23"/>
      <c r="B38" s="5" t="s">
        <v>14</v>
      </c>
      <c r="C38" s="5"/>
      <c r="D38" s="22">
        <f t="shared" si="9"/>
        <v>0.31050228310502281</v>
      </c>
      <c r="E38" s="22">
        <f t="shared" si="9"/>
        <v>0.32771014771688389</v>
      </c>
      <c r="F38" s="22">
        <f t="shared" si="9"/>
        <v>5.4745531740591396E-3</v>
      </c>
      <c r="G38" s="22">
        <f t="shared" si="9"/>
        <v>-0.44239121095947703</v>
      </c>
      <c r="H38" s="22">
        <f t="shared" si="9"/>
        <v>-0.23076923076923078</v>
      </c>
      <c r="I38" s="22">
        <f t="shared" si="9"/>
        <v>-0.23185423165867372</v>
      </c>
      <c r="J38" s="22">
        <f t="shared" si="9"/>
        <v>-0.10730457880091074</v>
      </c>
      <c r="K38" s="22">
        <f t="shared" si="9"/>
        <v>0.10031502972426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2025-08-25T12:29:32Z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