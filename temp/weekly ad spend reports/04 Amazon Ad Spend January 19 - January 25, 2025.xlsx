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jaypond/Library/CloudStorage/GoogleDrive-jay@dielon.com/Shared drives/Dielon/response_direct/amazon_rpd/amazon_reports/weekly_reports/2025 ad spend reports/"/>
    </mc:Choice>
  </mc:AlternateContent>
  <xr:revisionPtr revIDLastSave="0" documentId="8_{6AC02DA6-85E3-0D41-B5A6-5C6ED655577B}" xr6:coauthVersionLast="47" xr6:coauthVersionMax="47" xr10:uidLastSave="{00000000-0000-0000-0000-000000000000}"/>
  <bookViews>
    <workbookView xWindow="1820" yWindow="2780" windowWidth="21180" windowHeight="1130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2" l="1"/>
  <c r="G21" i="2"/>
  <c r="G20" i="2"/>
  <c r="G19" i="2"/>
  <c r="G17" i="2"/>
  <c r="G16" i="2"/>
  <c r="G15" i="2"/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K11" i="2" s="1"/>
  <c r="I11" i="2"/>
  <c r="H11" i="2"/>
  <c r="F11" i="2"/>
  <c r="G11" i="2" s="1"/>
  <c r="E11" i="2"/>
  <c r="D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<sst xmlns="http://schemas.openxmlformats.org/spreadsheetml/2006/main" count="63" uniqueCount="19">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</sst>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topLeftCell="A7" workbookViewId="0">
      <selection activeCell="H22" sqref="H22:J22"/>
    </sheetView>
  </sheetViews>
  <sheetFormatPr baseColWidth="10" defaultColWidth="8.83203125" defaultRowHeight="15" x14ac:dyDescent="0.2"/>
  <cols>
    <col min="1" max="1" width="15.83203125" customWidth="1"/>
    <col min="2" max="2" width="14" customWidth="1"/>
    <col min="3" max="3" width="12.5" customWidth="1"/>
    <col min="5" max="5" width="13.5" customWidth="1"/>
    <col min="6" max="6" width="12.83203125" customWidth="1"/>
    <col min="9" max="9" width="14.6640625" customWidth="1"/>
    <col min="10" max="10" width="12.83203125" customWidth="1"/>
  </cols>
  <sheetData>
    <row r="1" spans="1:11" x14ac:dyDescent="0.2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">
      <c r="A2" s="26">
        <v>45669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">
      <c r="A3" s="26">
        <v>45675</v>
      </c>
      <c r="B3" s="5" t="s">
        <v>8</v>
      </c>
      <c r="C3" s="17">
        <v>25</v>
      </c>
      <c r="D3" s="10">
        <v>1</v>
      </c>
      <c r="E3" s="7">
        <v>69.95</v>
      </c>
      <c r="F3" s="7">
        <v>19.27</v>
      </c>
      <c r="G3" s="7">
        <f t="shared" ref="G3:G10" si="0">F3/D3</f>
        <v>19.27</v>
      </c>
      <c r="H3" s="12">
        <v>0</v>
      </c>
      <c r="I3" s="9">
        <v>0</v>
      </c>
      <c r="J3" s="9">
        <v>1.76</v>
      </c>
      <c r="K3" s="9" t="e">
        <f t="shared" ref="K3:K10" si="1">J3/H3</f>
        <v>#DIV/0!</v>
      </c>
    </row>
    <row r="4" spans="1:11" x14ac:dyDescent="0.2">
      <c r="A4" s="23"/>
      <c r="B4" s="5" t="s">
        <v>9</v>
      </c>
      <c r="C4" s="17">
        <v>50</v>
      </c>
      <c r="D4" s="10">
        <v>41</v>
      </c>
      <c r="E4" s="7">
        <v>3117.65</v>
      </c>
      <c r="F4" s="7">
        <v>559.01</v>
      </c>
      <c r="G4" s="7">
        <f t="shared" si="0"/>
        <v>13.634390243902439</v>
      </c>
      <c r="H4" s="11">
        <v>23</v>
      </c>
      <c r="I4" s="9">
        <v>1648.8</v>
      </c>
      <c r="J4" s="9">
        <v>1524.0700000000002</v>
      </c>
      <c r="K4" s="9">
        <f t="shared" si="1"/>
        <v>66.263913043478269</v>
      </c>
    </row>
    <row r="5" spans="1:11" x14ac:dyDescent="0.2">
      <c r="A5" s="23"/>
      <c r="B5" s="5" t="s">
        <v>10</v>
      </c>
      <c r="C5" s="17">
        <v>31</v>
      </c>
      <c r="D5" s="10">
        <v>15</v>
      </c>
      <c r="E5" s="7">
        <v>729.18</v>
      </c>
      <c r="F5" s="7">
        <v>126.13</v>
      </c>
      <c r="G5" s="7">
        <f t="shared" si="0"/>
        <v>8.408666666666667</v>
      </c>
      <c r="H5" s="11">
        <v>1</v>
      </c>
      <c r="I5" s="9">
        <v>64.95</v>
      </c>
      <c r="J5" s="9">
        <v>27.79</v>
      </c>
      <c r="K5" s="9">
        <f t="shared" si="1"/>
        <v>27.79</v>
      </c>
    </row>
    <row r="6" spans="1:11" x14ac:dyDescent="0.2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">
      <c r="A7" s="23"/>
      <c r="B7" s="5" t="s">
        <v>12</v>
      </c>
      <c r="C7" s="17">
        <v>42</v>
      </c>
      <c r="D7" s="10">
        <v>41</v>
      </c>
      <c r="E7" s="7">
        <v>2739.87</v>
      </c>
      <c r="F7" s="7">
        <v>689</v>
      </c>
      <c r="G7" s="7">
        <f t="shared" si="0"/>
        <v>16.804878048780488</v>
      </c>
      <c r="H7" s="11">
        <v>9</v>
      </c>
      <c r="I7" s="9">
        <v>615.57000000000005</v>
      </c>
      <c r="J7" s="9">
        <v>966.02</v>
      </c>
      <c r="K7" s="9">
        <f t="shared" si="1"/>
        <v>107.33555555555556</v>
      </c>
    </row>
    <row r="8" spans="1:11" x14ac:dyDescent="0.2">
      <c r="A8" s="23"/>
      <c r="B8" s="5" t="s">
        <v>13</v>
      </c>
      <c r="C8" s="17">
        <v>35</v>
      </c>
      <c r="D8" s="10">
        <v>162</v>
      </c>
      <c r="E8" s="7">
        <v>10660</v>
      </c>
      <c r="F8" s="7">
        <v>2923.47</v>
      </c>
      <c r="G8" s="7">
        <f t="shared" si="0"/>
        <v>18.046111111111109</v>
      </c>
      <c r="H8" s="12">
        <v>38</v>
      </c>
      <c r="I8" s="9">
        <v>2320</v>
      </c>
      <c r="J8" s="9">
        <v>1669.8</v>
      </c>
      <c r="K8" s="9">
        <f t="shared" si="1"/>
        <v>43.942105263157892</v>
      </c>
    </row>
    <row r="9" spans="1:11" x14ac:dyDescent="0.2">
      <c r="A9" s="23"/>
      <c r="B9" s="5" t="s">
        <v>17</v>
      </c>
      <c r="C9" s="17">
        <v>35</v>
      </c>
      <c r="D9" s="10">
        <v>5</v>
      </c>
      <c r="E9" s="7">
        <v>255</v>
      </c>
      <c r="F9" s="7">
        <v>76.040000000000006</v>
      </c>
      <c r="G9" s="7">
        <f t="shared" si="0"/>
        <v>15.208000000000002</v>
      </c>
      <c r="H9" s="11">
        <v>5</v>
      </c>
      <c r="I9" s="9">
        <v>189</v>
      </c>
      <c r="J9" s="9">
        <v>276.63</v>
      </c>
      <c r="K9" s="9">
        <f t="shared" si="1"/>
        <v>55.326000000000001</v>
      </c>
    </row>
    <row r="10" spans="1:11" x14ac:dyDescent="0.2">
      <c r="A10" s="23"/>
      <c r="B10" s="5" t="s">
        <v>18</v>
      </c>
      <c r="C10" s="17">
        <v>35</v>
      </c>
      <c r="D10" s="10">
        <v>1</v>
      </c>
      <c r="E10" s="7">
        <v>54.95</v>
      </c>
      <c r="F10" s="7">
        <v>0.83000000000000007</v>
      </c>
      <c r="G10" s="7">
        <f t="shared" si="0"/>
        <v>0.83000000000000007</v>
      </c>
      <c r="H10" s="11">
        <v>0</v>
      </c>
      <c r="I10" s="9">
        <v>0</v>
      </c>
      <c r="J10" s="9">
        <v>66.16</v>
      </c>
      <c r="K10" s="9" t="e">
        <f t="shared" si="1"/>
        <v>#DIV/0!</v>
      </c>
    </row>
    <row r="11" spans="1:11" x14ac:dyDescent="0.2">
      <c r="A11" s="23"/>
      <c r="B11" s="5" t="s">
        <v>14</v>
      </c>
      <c r="C11" s="5"/>
      <c r="D11" s="13">
        <f>SUM(D3:D10)</f>
        <v>266</v>
      </c>
      <c r="E11" s="14">
        <f>SUM(E3:E10)</f>
        <v>17626.600000000002</v>
      </c>
      <c r="F11" s="14">
        <f>SUM(F3:F10)</f>
        <v>4393.7499999999991</v>
      </c>
      <c r="G11" s="14">
        <f>F11/D11</f>
        <v>16.517857142857139</v>
      </c>
      <c r="H11" s="15">
        <f>SUM(H3:H10)</f>
        <v>76</v>
      </c>
      <c r="I11" s="16">
        <f>SUM(I3:I10)</f>
        <v>4838.32</v>
      </c>
      <c r="J11" s="16">
        <f>SUM(J3:J10)</f>
        <v>4532.2300000000005</v>
      </c>
      <c r="K11" s="16">
        <f t="shared" ref="K11" si="2">J11/H11</f>
        <v>59.634605263157901</v>
      </c>
    </row>
    <row r="12" spans="1:11" x14ac:dyDescent="0.2">
      <c r="A12" s="23"/>
    </row>
    <row r="13" spans="1:11" x14ac:dyDescent="0.2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">
      <c r="A14" s="26">
        <v>45676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">
      <c r="A15" s="26">
        <v>45682</v>
      </c>
      <c r="B15" s="5" t="s">
        <v>8</v>
      </c>
      <c r="C15" s="17">
        <v>25</v>
      </c>
      <c r="D15" s="10">
        <v>0</v>
      </c>
      <c r="E15" s="7">
        <v>0</v>
      </c>
      <c r="F15" s="7">
        <v>22.75</v>
      </c>
      <c r="G15" s="7" t="e">
        <f t="shared" ref="G15:G22" si="3">F15/D15</f>
        <v>#DIV/0!</v>
      </c>
      <c r="H15" s="12">
        <v>0</v>
      </c>
      <c r="I15" s="9">
        <v>0</v>
      </c>
      <c r="J15" s="9">
        <v>1.1299999999999999</v>
      </c>
      <c r="K15" s="9" t="e">
        <f t="shared" ref="K15:K22" si="4">J15/H15</f>
        <v>#DIV/0!</v>
      </c>
    </row>
    <row r="16" spans="1:11" x14ac:dyDescent="0.2">
      <c r="A16" s="23"/>
      <c r="B16" s="5" t="s">
        <v>9</v>
      </c>
      <c r="C16" s="17">
        <v>50</v>
      </c>
      <c r="D16" s="10">
        <v>37</v>
      </c>
      <c r="E16" s="7">
        <v>2408.1</v>
      </c>
      <c r="F16" s="7">
        <v>536.38</v>
      </c>
      <c r="G16" s="7">
        <f t="shared" si="3"/>
        <v>14.496756756756756</v>
      </c>
      <c r="H16" s="11">
        <v>22</v>
      </c>
      <c r="I16" s="9">
        <v>1608.9</v>
      </c>
      <c r="J16" s="9">
        <v>1447.17</v>
      </c>
      <c r="K16" s="9">
        <f t="shared" si="4"/>
        <v>65.780454545454546</v>
      </c>
    </row>
    <row r="17" spans="1:11" x14ac:dyDescent="0.2">
      <c r="A17" s="23"/>
      <c r="B17" s="5" t="s">
        <v>10</v>
      </c>
      <c r="C17" s="17">
        <v>31</v>
      </c>
      <c r="D17" s="10">
        <v>12</v>
      </c>
      <c r="E17" s="7">
        <v>489.3</v>
      </c>
      <c r="F17" s="7">
        <v>51.96</v>
      </c>
      <c r="G17" s="7">
        <f t="shared" si="3"/>
        <v>4.33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">
      <c r="A19" s="23"/>
      <c r="B19" s="5" t="s">
        <v>12</v>
      </c>
      <c r="C19" s="17">
        <v>42</v>
      </c>
      <c r="D19" s="10">
        <v>32</v>
      </c>
      <c r="E19" s="7">
        <v>2351.13</v>
      </c>
      <c r="F19" s="7">
        <v>724.22</v>
      </c>
      <c r="G19" s="7">
        <f t="shared" si="3"/>
        <v>22.631875000000001</v>
      </c>
      <c r="H19" s="11">
        <v>17</v>
      </c>
      <c r="I19" s="9">
        <v>1371.02</v>
      </c>
      <c r="J19" s="9">
        <v>694.41</v>
      </c>
      <c r="K19" s="9">
        <f t="shared" si="4"/>
        <v>40.847647058823526</v>
      </c>
    </row>
    <row r="20" spans="1:11" x14ac:dyDescent="0.2">
      <c r="A20" s="23"/>
      <c r="B20" s="5" t="s">
        <v>13</v>
      </c>
      <c r="C20" s="17">
        <v>35</v>
      </c>
      <c r="D20" s="10">
        <v>179</v>
      </c>
      <c r="E20" s="7">
        <v>11839.85</v>
      </c>
      <c r="F20" s="7">
        <v>3104.58</v>
      </c>
      <c r="G20" s="7">
        <f t="shared" si="3"/>
        <v>17.344022346368714</v>
      </c>
      <c r="H20" s="12">
        <v>38</v>
      </c>
      <c r="I20" s="9">
        <v>2363</v>
      </c>
      <c r="J20" s="9">
        <v>1728.5</v>
      </c>
      <c r="K20" s="9">
        <f t="shared" si="4"/>
        <v>45.486842105263158</v>
      </c>
    </row>
    <row r="21" spans="1:11" x14ac:dyDescent="0.2">
      <c r="A21" s="23"/>
      <c r="B21" s="5" t="s">
        <v>17</v>
      </c>
      <c r="C21" s="17">
        <v>35</v>
      </c>
      <c r="D21" s="10">
        <v>2</v>
      </c>
      <c r="E21" s="7">
        <v>72</v>
      </c>
      <c r="F21" s="7">
        <v>124.82</v>
      </c>
      <c r="G21" s="7">
        <f t="shared" si="3"/>
        <v>62.41</v>
      </c>
      <c r="H21" s="11">
        <v>7</v>
      </c>
      <c r="I21" s="9">
        <v>273</v>
      </c>
      <c r="J21" s="9">
        <v>318.83</v>
      </c>
      <c r="K21" s="9">
        <f t="shared" ref="K21" si="5">J21/H21</f>
        <v>45.547142857142852</v>
      </c>
    </row>
    <row r="22" spans="1:11" x14ac:dyDescent="0.2">
      <c r="A22" s="23"/>
      <c r="B22" s="5" t="s">
        <v>18</v>
      </c>
      <c r="C22" s="17">
        <v>35</v>
      </c>
      <c r="D22" s="10">
        <v>1</v>
      </c>
      <c r="E22" s="7">
        <v>54.95</v>
      </c>
      <c r="F22" s="7">
        <v>4.84</v>
      </c>
      <c r="G22" s="7">
        <f t="shared" si="3"/>
        <v>4.84</v>
      </c>
      <c r="H22" s="11">
        <v>0</v>
      </c>
      <c r="I22" s="9">
        <v>0</v>
      </c>
      <c r="J22" s="9">
        <v>64.92</v>
      </c>
      <c r="K22" s="9" t="e">
        <f t="shared" si="4"/>
        <v>#DIV/0!</v>
      </c>
    </row>
    <row r="23" spans="1:11" x14ac:dyDescent="0.2">
      <c r="A23" s="23"/>
      <c r="B23" s="5" t="s">
        <v>14</v>
      </c>
      <c r="C23" s="5"/>
      <c r="D23" s="13">
        <f>SUM(D15:D22)</f>
        <v>263</v>
      </c>
      <c r="E23" s="14">
        <f>SUM(E15:E22)</f>
        <v>17215.330000000002</v>
      </c>
      <c r="F23" s="14">
        <f>SUM(F15:F22)</f>
        <v>4569.5499999999993</v>
      </c>
      <c r="G23" s="14">
        <f>F23/D23</f>
        <v>17.374714828897336</v>
      </c>
      <c r="H23" s="15">
        <f>SUM(H15:H22)</f>
        <v>84</v>
      </c>
      <c r="I23" s="16">
        <f>SUM(I15:I22)</f>
        <v>5615.92</v>
      </c>
      <c r="J23" s="16">
        <f>SUM(J15:J22)</f>
        <v>4254.96</v>
      </c>
      <c r="K23" s="16">
        <f t="shared" ref="K23" si="6">J23/H23</f>
        <v>50.654285714285713</v>
      </c>
    </row>
    <row r="24" spans="1:11" x14ac:dyDescent="0.2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0.15296703296703298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-0.55752212389380551</v>
      </c>
      <c r="K27" s="21" t="e">
        <f t="shared" si="7"/>
        <v>#DIV/0!</v>
      </c>
    </row>
    <row r="28" spans="1:11" x14ac:dyDescent="0.2">
      <c r="A28" s="23"/>
      <c r="B28" s="5" t="s">
        <v>9</v>
      </c>
      <c r="C28" s="17">
        <v>50</v>
      </c>
      <c r="D28" s="21">
        <f t="shared" si="7"/>
        <v>-0.10810810810810811</v>
      </c>
      <c r="E28" s="21">
        <f t="shared" si="7"/>
        <v>-0.29465138490926468</v>
      </c>
      <c r="F28" s="21">
        <f t="shared" si="7"/>
        <v>-4.2190238263917365E-2</v>
      </c>
      <c r="G28" s="21">
        <f t="shared" si="7"/>
        <v>5.9486858152074516E-2</v>
      </c>
      <c r="H28" s="21">
        <f t="shared" si="7"/>
        <v>-4.5454545454545456E-2</v>
      </c>
      <c r="I28" s="21">
        <f t="shared" si="7"/>
        <v>-2.4799552489278304E-2</v>
      </c>
      <c r="J28" s="21">
        <f t="shared" si="7"/>
        <v>-5.3138193854212076E-2</v>
      </c>
      <c r="K28" s="21">
        <f t="shared" si="7"/>
        <v>-7.349576730115946E-3</v>
      </c>
    </row>
    <row r="29" spans="1:11" x14ac:dyDescent="0.2">
      <c r="A29" s="23"/>
      <c r="B29" s="5" t="s">
        <v>10</v>
      </c>
      <c r="C29" s="17">
        <v>31</v>
      </c>
      <c r="D29" s="21">
        <f t="shared" si="7"/>
        <v>-0.25</v>
      </c>
      <c r="E29" s="21">
        <f t="shared" si="7"/>
        <v>-0.49025137952176567</v>
      </c>
      <c r="F29" s="21">
        <f t="shared" si="7"/>
        <v>-1.4274441878367972</v>
      </c>
      <c r="G29" s="21">
        <f t="shared" si="7"/>
        <v>-0.94195535026943811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">
      <c r="A31" s="23"/>
      <c r="B31" s="5" t="s">
        <v>12</v>
      </c>
      <c r="C31" s="17">
        <v>42</v>
      </c>
      <c r="D31" s="21">
        <f t="shared" si="7"/>
        <v>-0.28125</v>
      </c>
      <c r="E31" s="21">
        <f t="shared" si="7"/>
        <v>-0.16534177182886517</v>
      </c>
      <c r="F31" s="21">
        <f t="shared" si="7"/>
        <v>4.8631631272265372E-2</v>
      </c>
      <c r="G31" s="21">
        <f t="shared" si="7"/>
        <v>0.25746859026128027</v>
      </c>
      <c r="H31" s="21">
        <f t="shared" si="7"/>
        <v>0.47058823529411764</v>
      </c>
      <c r="I31" s="21">
        <f t="shared" si="7"/>
        <v>0.55101311432364219</v>
      </c>
      <c r="J31" s="21">
        <f t="shared" si="7"/>
        <v>-0.39113780043490159</v>
      </c>
      <c r="K31" s="21">
        <f t="shared" si="7"/>
        <v>-1.6277047341548143</v>
      </c>
    </row>
    <row r="32" spans="1:11" x14ac:dyDescent="0.2">
      <c r="A32" s="23"/>
      <c r="B32" s="5" t="s">
        <v>13</v>
      </c>
      <c r="C32" s="17">
        <v>35</v>
      </c>
      <c r="D32" s="21">
        <f t="shared" si="7"/>
        <v>9.4972067039106142E-2</v>
      </c>
      <c r="E32" s="21">
        <f t="shared" si="7"/>
        <v>9.9650755710587582E-2</v>
      </c>
      <c r="F32" s="21">
        <f t="shared" si="7"/>
        <v>5.8336393328566223E-2</v>
      </c>
      <c r="G32" s="21">
        <f t="shared" si="7"/>
        <v>-4.048015798880647E-2</v>
      </c>
      <c r="H32" s="21">
        <f t="shared" si="7"/>
        <v>0</v>
      </c>
      <c r="I32" s="21">
        <f t="shared" si="7"/>
        <v>1.8197206940330089E-2</v>
      </c>
      <c r="J32" s="21">
        <f t="shared" si="7"/>
        <v>3.3960080995082464E-2</v>
      </c>
      <c r="K32" s="21">
        <f t="shared" si="7"/>
        <v>3.3960080995082499E-2</v>
      </c>
    </row>
    <row r="33" spans="1:11" x14ac:dyDescent="0.2">
      <c r="A33" s="23"/>
      <c r="B33" s="5" t="s">
        <v>17</v>
      </c>
      <c r="C33" s="17">
        <v>35</v>
      </c>
      <c r="D33" s="21">
        <f t="shared" si="7"/>
        <v>-1.5</v>
      </c>
      <c r="E33" s="21">
        <f t="shared" si="7"/>
        <v>-2.5416666666666665</v>
      </c>
      <c r="F33" s="21">
        <f t="shared" si="7"/>
        <v>0.39080275596859471</v>
      </c>
      <c r="G33" s="21">
        <f t="shared" si="7"/>
        <v>0.75632110238743788</v>
      </c>
      <c r="H33" s="21">
        <f t="shared" si="7"/>
        <v>0.2857142857142857</v>
      </c>
      <c r="I33" s="21">
        <f t="shared" si="7"/>
        <v>0.30769230769230771</v>
      </c>
      <c r="J33" s="21">
        <f t="shared" si="7"/>
        <v>0.1323589373647398</v>
      </c>
      <c r="K33" s="21">
        <f t="shared" si="7"/>
        <v>-0.21469748768936439</v>
      </c>
    </row>
    <row r="34" spans="1:11" x14ac:dyDescent="0.2">
      <c r="A34" s="23"/>
      <c r="B34" s="5" t="s">
        <v>18</v>
      </c>
      <c r="C34" s="17">
        <v>35</v>
      </c>
      <c r="D34" s="21">
        <f t="shared" si="7"/>
        <v>0</v>
      </c>
      <c r="E34" s="21">
        <f t="shared" si="7"/>
        <v>0</v>
      </c>
      <c r="F34" s="21">
        <f t="shared" si="7"/>
        <v>0.82851239669421484</v>
      </c>
      <c r="G34" s="21">
        <f t="shared" si="7"/>
        <v>0.82851239669421484</v>
      </c>
      <c r="H34" s="21" t="e">
        <f t="shared" si="7"/>
        <v>#DIV/0!</v>
      </c>
      <c r="I34" s="21" t="e">
        <f t="shared" si="7"/>
        <v>#DIV/0!</v>
      </c>
      <c r="J34" s="21">
        <f t="shared" si="7"/>
        <v>-1.9100431300061536E-2</v>
      </c>
      <c r="K34" s="21" t="e">
        <f t="shared" si="7"/>
        <v>#DIV/0!</v>
      </c>
    </row>
    <row r="35" spans="1:11" x14ac:dyDescent="0.2">
      <c r="A35" s="23"/>
      <c r="B35" s="5" t="s">
        <v>14</v>
      </c>
      <c r="C35" s="5"/>
      <c r="D35" s="22">
        <f t="shared" si="7"/>
        <v>-1.1406844106463879E-2</v>
      </c>
      <c r="E35" s="22">
        <f t="shared" si="7"/>
        <v>-2.3889754073840024E-2</v>
      </c>
      <c r="F35" s="22">
        <f t="shared" si="7"/>
        <v>3.8472059611996852E-2</v>
      </c>
      <c r="G35" s="22">
        <f t="shared" si="7"/>
        <v>4.9316359691560833E-2</v>
      </c>
      <c r="H35" s="22">
        <f t="shared" si="7"/>
        <v>9.5238095238095233E-2</v>
      </c>
      <c r="I35" s="22">
        <f t="shared" si="7"/>
        <v>0.13846351087622338</v>
      </c>
      <c r="J35" s="22">
        <f t="shared" si="7"/>
        <v>-6.5163949837366369E-2</v>
      </c>
      <c r="K35" s="22">
        <f t="shared" si="7"/>
        <v>-0.17728647087287866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Jay Pond</cp:lastModifiedBy>
  <dcterms:created xsi:type="dcterms:W3CDTF">2022-02-21T21:31:53Z</dcterms:created>
  <dcterms:modified xsi:type="dcterms:W3CDTF">2025-01-27T21:44:29Z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