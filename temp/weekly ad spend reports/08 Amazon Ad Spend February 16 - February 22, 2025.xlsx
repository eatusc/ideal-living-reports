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58ECA13-9ADA-48AF-8EB1-08DCADBF8E4A}" xr6:coauthVersionLast="47" xr6:coauthVersionMax="47" xr10:uidLastSave="{00000000-0000-0000-0000-000000000000}"/>
  <bookViews>
    <workbookView xWindow="390" yWindow="39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E11" i="2"/>
  <c r="D11" i="2"/>
  <c r="G22" i="2"/>
  <c r="G21" i="2"/>
  <c r="G20" i="2"/>
  <c r="G19" i="2"/>
  <c r="G17" i="2"/>
  <c r="G16" i="2"/>
  <c r="G15" i="2"/>
  <c r="G11" i="2" l="1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<sst xmlns="http://schemas.openxmlformats.org/spreadsheetml/2006/main" count="63" uniqueCount="19">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</sst>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45697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45703</v>
      </c>
      <c r="B3" s="5" t="s">
        <v>8</v>
      </c>
      <c r="C3" s="17">
        <v>25</v>
      </c>
      <c r="D3" s="10">
        <v>0</v>
      </c>
      <c r="E3" s="7">
        <v>0</v>
      </c>
      <c r="F3" s="7">
        <v>45.9</v>
      </c>
      <c r="G3" s="7" t="e">
        <f t="shared" ref="G3:G10" si="0">F3/D3</f>
        <v>#DIV/0!</v>
      </c>
      <c r="H3" s="12">
        <v>0</v>
      </c>
      <c r="I3" s="9">
        <v>0</v>
      </c>
      <c r="J3" s="9">
        <v>7.2799999999999994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34</v>
      </c>
      <c r="E4" s="7">
        <v>2258.15</v>
      </c>
      <c r="F4" s="7">
        <v>501.89</v>
      </c>
      <c r="G4" s="7">
        <f t="shared" si="0"/>
        <v>14.761470588235294</v>
      </c>
      <c r="H4" s="11">
        <v>23</v>
      </c>
      <c r="I4" s="9">
        <v>1628.8</v>
      </c>
      <c r="J4" s="9">
        <v>1345.15</v>
      </c>
      <c r="K4" s="9">
        <f t="shared" si="1"/>
        <v>58.484782608695653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36.4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28</v>
      </c>
      <c r="E7" s="7">
        <v>2328.16</v>
      </c>
      <c r="F7" s="7">
        <v>646.12</v>
      </c>
      <c r="G7" s="7">
        <f t="shared" si="0"/>
        <v>23.075714285714287</v>
      </c>
      <c r="H7" s="11">
        <v>4</v>
      </c>
      <c r="I7" s="9">
        <v>355.72</v>
      </c>
      <c r="J7" s="9">
        <v>841.09</v>
      </c>
      <c r="K7" s="9">
        <f t="shared" si="1"/>
        <v>210.27250000000001</v>
      </c>
    </row>
    <row r="8" spans="1:11" x14ac:dyDescent="0.25">
      <c r="A8" s="23"/>
      <c r="B8" s="5" t="s">
        <v>13</v>
      </c>
      <c r="C8" s="17">
        <v>35</v>
      </c>
      <c r="D8" s="10">
        <v>145</v>
      </c>
      <c r="E8" s="7">
        <v>9557.9500000000007</v>
      </c>
      <c r="F8" s="7">
        <v>2298.38</v>
      </c>
      <c r="G8" s="7">
        <f t="shared" si="0"/>
        <v>15.850896551724139</v>
      </c>
      <c r="H8" s="12">
        <v>29</v>
      </c>
      <c r="I8" s="9">
        <v>1861</v>
      </c>
      <c r="J8" s="9">
        <v>1605.49</v>
      </c>
      <c r="K8" s="9">
        <f t="shared" si="1"/>
        <v>55.361724137931034</v>
      </c>
    </row>
    <row r="9" spans="1:11" x14ac:dyDescent="0.25">
      <c r="A9" s="23"/>
      <c r="B9" s="5" t="s">
        <v>17</v>
      </c>
      <c r="C9" s="17">
        <v>35</v>
      </c>
      <c r="D9" s="6">
        <v>3</v>
      </c>
      <c r="E9" s="27">
        <v>108</v>
      </c>
      <c r="F9" s="28">
        <v>237.07</v>
      </c>
      <c r="G9" s="7">
        <f t="shared" si="0"/>
        <v>79.023333333333326</v>
      </c>
      <c r="H9" s="11">
        <v>5</v>
      </c>
      <c r="I9" s="9">
        <v>231</v>
      </c>
      <c r="J9" s="9">
        <v>252.29</v>
      </c>
      <c r="K9" s="9">
        <f t="shared" si="1"/>
        <v>50.457999999999998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164.85000000000002</v>
      </c>
      <c r="F10" s="7">
        <v>1.76</v>
      </c>
      <c r="G10" s="7">
        <f t="shared" si="0"/>
        <v>0.88</v>
      </c>
      <c r="H10" s="11">
        <v>3</v>
      </c>
      <c r="I10" s="9">
        <v>164.85000000000002</v>
      </c>
      <c r="J10" s="9">
        <v>406.03000000000003</v>
      </c>
      <c r="K10" s="9">
        <f t="shared" si="1"/>
        <v>135.34333333333333</v>
      </c>
    </row>
    <row r="11" spans="1:11" x14ac:dyDescent="0.25">
      <c r="A11" s="23"/>
      <c r="B11" s="5" t="s">
        <v>14</v>
      </c>
      <c r="C11" s="5"/>
      <c r="D11" s="13">
        <f>SUM(D3:D10)</f>
        <v>212</v>
      </c>
      <c r="E11" s="14">
        <f>SUM(E3:E10)</f>
        <v>14417.11</v>
      </c>
      <c r="F11" s="14">
        <f>SUM(F3:F10)</f>
        <v>3767.5200000000004</v>
      </c>
      <c r="G11" s="14">
        <f>F11/D11</f>
        <v>17.771320754716982</v>
      </c>
      <c r="H11" s="15">
        <f>SUM(H3:H10)</f>
        <v>64</v>
      </c>
      <c r="I11" s="16">
        <f>SUM(I3:I10)</f>
        <v>4241.37</v>
      </c>
      <c r="J11" s="16">
        <f>SUM(J3:J10)</f>
        <v>4457.33</v>
      </c>
      <c r="K11" s="16">
        <f t="shared" ref="K11" si="2">J11/H11</f>
        <v>69.645781249999999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45704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45710</v>
      </c>
      <c r="B15" s="5" t="s">
        <v>8</v>
      </c>
      <c r="C15" s="17">
        <v>25</v>
      </c>
      <c r="D15" s="10">
        <v>1</v>
      </c>
      <c r="E15" s="7">
        <v>69.95</v>
      </c>
      <c r="F15" s="7">
        <v>29.81</v>
      </c>
      <c r="G15" s="7">
        <f t="shared" ref="G15:G22" si="3">F15/D15</f>
        <v>29.81</v>
      </c>
      <c r="H15" s="12">
        <v>0</v>
      </c>
      <c r="I15" s="9">
        <v>0</v>
      </c>
      <c r="J15" s="9">
        <v>1.61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34</v>
      </c>
      <c r="E16" s="7">
        <v>2338.1999999999998</v>
      </c>
      <c r="F16" s="7">
        <v>545.66</v>
      </c>
      <c r="G16" s="7">
        <f t="shared" si="3"/>
        <v>16.048823529411763</v>
      </c>
      <c r="H16" s="11">
        <v>25</v>
      </c>
      <c r="I16" s="9">
        <v>1788.7</v>
      </c>
      <c r="J16" s="9">
        <v>1517.07</v>
      </c>
      <c r="K16" s="9">
        <f t="shared" si="4"/>
        <v>60.6828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34.729999999999997</v>
      </c>
      <c r="G17" s="7" t="e">
        <f t="shared" si="3"/>
        <v>#DIV/0!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36</v>
      </c>
      <c r="E19" s="7">
        <v>2384.1</v>
      </c>
      <c r="F19" s="7">
        <v>799.49</v>
      </c>
      <c r="G19" s="7">
        <f t="shared" si="3"/>
        <v>22.208055555555557</v>
      </c>
      <c r="H19" s="11">
        <v>16</v>
      </c>
      <c r="I19" s="9">
        <v>1150.23</v>
      </c>
      <c r="J19" s="9">
        <v>1019.43</v>
      </c>
      <c r="K19" s="9">
        <f t="shared" si="4"/>
        <v>63.714374999999997</v>
      </c>
    </row>
    <row r="20" spans="1:11" x14ac:dyDescent="0.25">
      <c r="A20" s="23"/>
      <c r="B20" s="5" t="s">
        <v>13</v>
      </c>
      <c r="C20" s="17">
        <v>35</v>
      </c>
      <c r="D20" s="10">
        <v>132</v>
      </c>
      <c r="E20" s="7">
        <v>8620</v>
      </c>
      <c r="F20" s="7">
        <v>2824.36</v>
      </c>
      <c r="G20" s="7">
        <f t="shared" si="3"/>
        <v>21.396666666666668</v>
      </c>
      <c r="H20" s="12">
        <v>32</v>
      </c>
      <c r="I20" s="9">
        <v>1887</v>
      </c>
      <c r="J20" s="9">
        <v>2238.2399999999998</v>
      </c>
      <c r="K20" s="9">
        <f t="shared" si="4"/>
        <v>69.944999999999993</v>
      </c>
    </row>
    <row r="21" spans="1:11" x14ac:dyDescent="0.25">
      <c r="A21" s="23"/>
      <c r="B21" s="5" t="s">
        <v>17</v>
      </c>
      <c r="C21" s="17">
        <v>35</v>
      </c>
      <c r="D21" s="6">
        <v>4</v>
      </c>
      <c r="E21" s="27">
        <v>153</v>
      </c>
      <c r="F21" s="28">
        <v>494.97</v>
      </c>
      <c r="G21" s="7">
        <f t="shared" si="3"/>
        <v>123.74250000000001</v>
      </c>
      <c r="H21" s="11">
        <v>14</v>
      </c>
      <c r="I21" s="9">
        <v>711</v>
      </c>
      <c r="J21" s="9">
        <v>310.12</v>
      </c>
      <c r="K21" s="9">
        <f t="shared" ref="K21" si="5">J21/H21</f>
        <v>22.151428571428571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6.18</v>
      </c>
      <c r="G22" s="7" t="e">
        <f t="shared" si="3"/>
        <v>#DIV/0!</v>
      </c>
      <c r="H22" s="11">
        <v>1</v>
      </c>
      <c r="I22" s="9">
        <v>54.95</v>
      </c>
      <c r="J22" s="9">
        <v>450.09</v>
      </c>
      <c r="K22" s="9">
        <f t="shared" si="4"/>
        <v>450.09</v>
      </c>
    </row>
    <row r="23" spans="1:11" x14ac:dyDescent="0.25">
      <c r="A23" s="23"/>
      <c r="B23" s="5" t="s">
        <v>14</v>
      </c>
      <c r="C23" s="5"/>
      <c r="D23" s="13">
        <f>SUM(D15:D22)</f>
        <v>207</v>
      </c>
      <c r="E23" s="14">
        <f>SUM(E15:E22)</f>
        <v>13565.25</v>
      </c>
      <c r="F23" s="14">
        <f>SUM(F15:F22)</f>
        <v>4735.2000000000007</v>
      </c>
      <c r="G23" s="14">
        <f>F23/D23</f>
        <v>22.875362318840583</v>
      </c>
      <c r="H23" s="15">
        <f>SUM(H15:H22)</f>
        <v>88</v>
      </c>
      <c r="I23" s="16">
        <f>SUM(I15:I22)</f>
        <v>5591.88</v>
      </c>
      <c r="J23" s="16">
        <f>SUM(J15:J22)</f>
        <v>5536.5599999999995</v>
      </c>
      <c r="K23" s="16">
        <f t="shared" ref="K23" si="6">J23/H23</f>
        <v>62.915454545454537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7">(D15-D3)/D15</f>
        <v>1</v>
      </c>
      <c r="E27" s="21">
        <f t="shared" si="7"/>
        <v>1</v>
      </c>
      <c r="F27" s="21">
        <f t="shared" si="7"/>
        <v>-0.53975176115397516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-3.5217391304347818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</v>
      </c>
      <c r="E28" s="21">
        <f t="shared" si="7"/>
        <v>3.4235736891625922E-2</v>
      </c>
      <c r="F28" s="21">
        <f t="shared" si="7"/>
        <v>8.0214785764028851E-2</v>
      </c>
      <c r="G28" s="21">
        <f t="shared" si="7"/>
        <v>8.0214785764028768E-2</v>
      </c>
      <c r="H28" s="21">
        <f t="shared" si="7"/>
        <v>0.08</v>
      </c>
      <c r="I28" s="21">
        <f t="shared" si="7"/>
        <v>8.9394532341924349E-2</v>
      </c>
      <c r="J28" s="21">
        <f t="shared" si="7"/>
        <v>0.11332370951900693</v>
      </c>
      <c r="K28" s="21">
        <f t="shared" si="7"/>
        <v>3.6221423390225028E-2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-4.8085228908724499E-2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0.22222222222222221</v>
      </c>
      <c r="E31" s="21">
        <f t="shared" si="7"/>
        <v>2.3463780881674449E-2</v>
      </c>
      <c r="F31" s="21">
        <f t="shared" si="7"/>
        <v>0.19183479468160952</v>
      </c>
      <c r="G31" s="21">
        <f t="shared" si="7"/>
        <v>-3.9069549695073473E-2</v>
      </c>
      <c r="H31" s="21">
        <f t="shared" si="7"/>
        <v>0.75</v>
      </c>
      <c r="I31" s="21">
        <f t="shared" si="7"/>
        <v>0.69074011284699577</v>
      </c>
      <c r="J31" s="21">
        <f t="shared" si="7"/>
        <v>0.17494089834515358</v>
      </c>
      <c r="K31" s="21">
        <f t="shared" si="7"/>
        <v>-2.3002364066193857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-9.8484848484848481E-2</v>
      </c>
      <c r="E32" s="21">
        <f t="shared" si="7"/>
        <v>-0.10881090487238988</v>
      </c>
      <c r="F32" s="21">
        <f t="shared" si="7"/>
        <v>0.18622980073361753</v>
      </c>
      <c r="G32" s="21">
        <f t="shared" si="7"/>
        <v>0.25918850825405182</v>
      </c>
      <c r="H32" s="21">
        <f t="shared" si="7"/>
        <v>9.375E-2</v>
      </c>
      <c r="I32" s="21">
        <f t="shared" si="7"/>
        <v>1.377848436671966E-2</v>
      </c>
      <c r="J32" s="21">
        <f t="shared" si="7"/>
        <v>0.28269979984273352</v>
      </c>
      <c r="K32" s="21">
        <f t="shared" si="7"/>
        <v>0.20849633086094732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0.25</v>
      </c>
      <c r="E33" s="21">
        <f t="shared" si="7"/>
        <v>0.29411764705882354</v>
      </c>
      <c r="F33" s="21">
        <f t="shared" si="7"/>
        <v>0.5210416792936946</v>
      </c>
      <c r="G33" s="21">
        <f t="shared" si="7"/>
        <v>0.36138890572492616</v>
      </c>
      <c r="H33" s="21">
        <f t="shared" si="7"/>
        <v>0.6428571428571429</v>
      </c>
      <c r="I33" s="21">
        <f t="shared" si="7"/>
        <v>0.67510548523206748</v>
      </c>
      <c r="J33" s="21">
        <f t="shared" si="7"/>
        <v>0.18647620276022189</v>
      </c>
      <c r="K33" s="21">
        <f t="shared" si="7"/>
        <v>-1.2778666322713788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>
        <f t="shared" si="7"/>
        <v>0.71521035598705507</v>
      </c>
      <c r="G34" s="21" t="e">
        <f t="shared" si="7"/>
        <v>#DIV/0!</v>
      </c>
      <c r="H34" s="21">
        <f t="shared" si="7"/>
        <v>-2</v>
      </c>
      <c r="I34" s="21">
        <f t="shared" si="7"/>
        <v>-2.0000000000000004</v>
      </c>
      <c r="J34" s="21">
        <f t="shared" si="7"/>
        <v>9.7891532804550083E-2</v>
      </c>
      <c r="K34" s="21">
        <f t="shared" si="7"/>
        <v>0.69929717760151677</v>
      </c>
    </row>
    <row r="35" spans="1:11" x14ac:dyDescent="0.25">
      <c r="A35" s="23"/>
      <c r="B35" s="5" t="s">
        <v>14</v>
      </c>
      <c r="C35" s="5"/>
      <c r="D35" s="22">
        <f t="shared" si="7"/>
        <v>-2.4154589371980676E-2</v>
      </c>
      <c r="E35" s="22">
        <f t="shared" si="7"/>
        <v>-6.2797220840014045E-2</v>
      </c>
      <c r="F35" s="22">
        <f t="shared" si="7"/>
        <v>0.20435884439939181</v>
      </c>
      <c r="G35" s="22">
        <f t="shared" si="7"/>
        <v>0.22312396599374584</v>
      </c>
      <c r="H35" s="22">
        <f t="shared" si="7"/>
        <v>0.27272727272727271</v>
      </c>
      <c r="I35" s="22">
        <f t="shared" si="7"/>
        <v>0.24151269340543791</v>
      </c>
      <c r="J35" s="22">
        <f t="shared" si="7"/>
        <v>0.19492789746701916</v>
      </c>
      <c r="K35" s="22">
        <f t="shared" si="7"/>
        <v>-0.10697414098284869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2025-02-24T13:32:23Z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