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37CC38A-B099-4184-93D5-AEFA6ACF91C1}" xr6:coauthVersionLast="47" xr6:coauthVersionMax="47" xr10:uidLastSave="{00000000-0000-0000-0000-000000000000}"/>
  <bookViews>
    <workbookView xWindow="3435" yWindow="243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 l="1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<sst xmlns="http://schemas.openxmlformats.org/spreadsheetml/2006/main" count="68" uniqueCount="21">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</sst>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46005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46011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25</v>
      </c>
      <c r="E4" s="7">
        <v>1588.7</v>
      </c>
      <c r="F4" s="7">
        <v>391.35</v>
      </c>
      <c r="G4" s="7">
        <f t="shared" si="0"/>
        <v>15.654000000000002</v>
      </c>
      <c r="H4" s="11">
        <v>11</v>
      </c>
      <c r="I4" s="9">
        <v>719.45</v>
      </c>
      <c r="J4" s="9">
        <v>714.05000000000007</v>
      </c>
      <c r="K4" s="9">
        <f t="shared" si="1"/>
        <v>64.913636363636371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39</v>
      </c>
      <c r="E7" s="27">
        <v>2967.6</v>
      </c>
      <c r="F7" s="27">
        <v>468.12</v>
      </c>
      <c r="G7" s="7">
        <f t="shared" si="0"/>
        <v>12.003076923076923</v>
      </c>
      <c r="H7" s="11">
        <v>7</v>
      </c>
      <c r="I7" s="9">
        <v>504.7</v>
      </c>
      <c r="J7" s="9">
        <v>634.59</v>
      </c>
      <c r="K7" s="9">
        <f t="shared" si="1"/>
        <v>90.655714285714296</v>
      </c>
    </row>
    <row r="8" spans="1:11" x14ac:dyDescent="0.25">
      <c r="A8" s="23"/>
      <c r="B8" s="5" t="s">
        <v>13</v>
      </c>
      <c r="C8" s="17">
        <v>35</v>
      </c>
      <c r="D8" s="10">
        <v>109</v>
      </c>
      <c r="E8" s="7">
        <v>6987</v>
      </c>
      <c r="F8" s="7">
        <v>2637.8199999999997</v>
      </c>
      <c r="G8" s="7">
        <f t="shared" si="0"/>
        <v>24.200183486238529</v>
      </c>
      <c r="H8" s="12">
        <v>18</v>
      </c>
      <c r="I8" s="9">
        <v>1080</v>
      </c>
      <c r="J8" s="9">
        <v>1230.48</v>
      </c>
      <c r="K8" s="9">
        <f t="shared" si="1"/>
        <v>68.36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0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7</v>
      </c>
      <c r="E12" s="7">
        <v>441.5</v>
      </c>
      <c r="F12" s="7">
        <v>23.21</v>
      </c>
      <c r="G12" s="7">
        <f t="shared" si="0"/>
        <v>3.3157142857142858</v>
      </c>
      <c r="H12" s="11">
        <v>1</v>
      </c>
      <c r="I12" s="9">
        <v>32.5</v>
      </c>
      <c r="J12" s="9">
        <v>56.17</v>
      </c>
      <c r="K12" s="9">
        <f t="shared" si="1"/>
        <v>56.17</v>
      </c>
    </row>
    <row r="13" spans="1:11" x14ac:dyDescent="0.25">
      <c r="A13" s="23"/>
      <c r="B13" s="5" t="s">
        <v>14</v>
      </c>
      <c r="C13" s="5"/>
      <c r="D13" s="13">
        <f>SUM(D3:D12)</f>
        <v>180</v>
      </c>
      <c r="E13" s="14">
        <f>SUM(E3:E12)</f>
        <v>11984.8</v>
      </c>
      <c r="F13" s="14">
        <f>SUM(F3:F12)</f>
        <v>3520.5</v>
      </c>
      <c r="G13" s="14">
        <f>F13/D13</f>
        <v>19.558333333333334</v>
      </c>
      <c r="H13" s="15">
        <f>SUM(H3:H12)</f>
        <v>37</v>
      </c>
      <c r="I13" s="16">
        <f>SUM(I3:I12)</f>
        <v>2336.65</v>
      </c>
      <c r="J13" s="16">
        <f>SUM(J3:J12)</f>
        <v>2635.29</v>
      </c>
      <c r="K13" s="16">
        <f t="shared" ref="K13" si="2">J13/H13</f>
        <v>71.224054054054051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46012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46018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30</v>
      </c>
      <c r="E18" s="7">
        <v>2038.35</v>
      </c>
      <c r="F18" s="7">
        <v>368.61</v>
      </c>
      <c r="G18" s="7">
        <f t="shared" si="3"/>
        <v>12.287000000000001</v>
      </c>
      <c r="H18" s="11">
        <v>9</v>
      </c>
      <c r="I18" s="9">
        <v>619.5</v>
      </c>
      <c r="J18" s="9">
        <v>458.48</v>
      </c>
      <c r="K18" s="9">
        <f t="shared" si="4"/>
        <v>50.942222222222227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36</v>
      </c>
      <c r="E21" s="27">
        <v>2438</v>
      </c>
      <c r="F21" s="27">
        <v>636.11</v>
      </c>
      <c r="G21" s="7">
        <f t="shared" si="3"/>
        <v>17.669722222222223</v>
      </c>
      <c r="H21" s="11">
        <v>7</v>
      </c>
      <c r="I21" s="9">
        <v>434.7</v>
      </c>
      <c r="J21" s="9">
        <v>821.08</v>
      </c>
      <c r="K21" s="9">
        <f t="shared" si="4"/>
        <v>117.29714285714286</v>
      </c>
    </row>
    <row r="22" spans="1:11" x14ac:dyDescent="0.25">
      <c r="A22" s="23"/>
      <c r="B22" s="5" t="s">
        <v>13</v>
      </c>
      <c r="C22" s="17">
        <v>35</v>
      </c>
      <c r="D22" s="10">
        <v>114</v>
      </c>
      <c r="E22" s="7">
        <v>7412</v>
      </c>
      <c r="F22" s="7">
        <v>2856.5</v>
      </c>
      <c r="G22" s="7">
        <f t="shared" si="3"/>
        <v>25.057017543859651</v>
      </c>
      <c r="H22" s="12">
        <v>18</v>
      </c>
      <c r="I22" s="9">
        <v>1135</v>
      </c>
      <c r="J22" s="9">
        <v>1145.3699999999999</v>
      </c>
      <c r="K22" s="9">
        <f t="shared" si="4"/>
        <v>63.631666666666661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4.4000000000000004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3</v>
      </c>
      <c r="E26" s="7">
        <v>171.5</v>
      </c>
      <c r="F26" s="7">
        <v>11.92</v>
      </c>
      <c r="G26" s="7">
        <f t="shared" si="3"/>
        <v>3.9733333333333332</v>
      </c>
      <c r="H26" s="11">
        <v>4</v>
      </c>
      <c r="I26" s="9">
        <v>280.5</v>
      </c>
      <c r="J26" s="9">
        <v>105.7</v>
      </c>
      <c r="K26" s="9">
        <f t="shared" si="4"/>
        <v>26.425000000000001</v>
      </c>
    </row>
    <row r="27" spans="1:11" x14ac:dyDescent="0.25">
      <c r="A27" s="23"/>
      <c r="B27" s="5" t="s">
        <v>14</v>
      </c>
      <c r="C27" s="5"/>
      <c r="D27" s="13">
        <f>SUM(D17:D26)</f>
        <v>183</v>
      </c>
      <c r="E27" s="14">
        <f>SUM(E17:E26)</f>
        <v>12059.85</v>
      </c>
      <c r="F27" s="14">
        <f>SUM(F17:F26)</f>
        <v>3873.1400000000003</v>
      </c>
      <c r="G27" s="14">
        <f>F27/D27</f>
        <v>21.164699453551915</v>
      </c>
      <c r="H27" s="15">
        <f>SUM(H17:H26)</f>
        <v>38</v>
      </c>
      <c r="I27" s="16">
        <f>SUM(I17:I26)</f>
        <v>2469.6999999999998</v>
      </c>
      <c r="J27" s="16">
        <f>SUM(J17:J26)</f>
        <v>2535.0299999999997</v>
      </c>
      <c r="K27" s="16">
        <f t="shared" ref="K27" si="8">J27/H27</f>
        <v>66.711315789473673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0.16666666666666666</v>
      </c>
      <c r="E32" s="21">
        <f t="shared" si="9"/>
        <v>0.22059508916525616</v>
      </c>
      <c r="F32" s="21">
        <f t="shared" si="9"/>
        <v>-6.1691218360869236E-2</v>
      </c>
      <c r="G32" s="21">
        <f t="shared" si="9"/>
        <v>-0.27402946203304313</v>
      </c>
      <c r="H32" s="21">
        <f t="shared" si="9"/>
        <v>-0.22222222222222221</v>
      </c>
      <c r="I32" s="21">
        <f t="shared" si="9"/>
        <v>-0.16133979015334954</v>
      </c>
      <c r="J32" s="21">
        <f t="shared" si="9"/>
        <v>-0.55742889548071894</v>
      </c>
      <c r="K32" s="21">
        <f t="shared" si="9"/>
        <v>-0.27426000539331546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-8.3333333333333329E-2</v>
      </c>
      <c r="E35" s="21">
        <f t="shared" si="9"/>
        <v>-0.21722723543888428</v>
      </c>
      <c r="F35" s="21">
        <f t="shared" si="9"/>
        <v>0.26408954426121267</v>
      </c>
      <c r="G35" s="21">
        <f t="shared" si="9"/>
        <v>0.32069804085650405</v>
      </c>
      <c r="H35" s="21">
        <f t="shared" si="9"/>
        <v>0</v>
      </c>
      <c r="I35" s="21">
        <f t="shared" si="9"/>
        <v>-0.1610305958132045</v>
      </c>
      <c r="J35" s="21">
        <f t="shared" si="9"/>
        <v>0.22712768548740683</v>
      </c>
      <c r="K35" s="21">
        <f t="shared" si="9"/>
        <v>0.22712768548740675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4.3859649122807015E-2</v>
      </c>
      <c r="E36" s="21">
        <f t="shared" si="9"/>
        <v>5.7339449541284407E-2</v>
      </c>
      <c r="F36" s="21">
        <f t="shared" si="9"/>
        <v>7.6555224925608359E-2</v>
      </c>
      <c r="G36" s="21">
        <f t="shared" si="9"/>
        <v>3.4195372857975782E-2</v>
      </c>
      <c r="H36" s="21">
        <f t="shared" si="9"/>
        <v>0</v>
      </c>
      <c r="I36" s="21">
        <f t="shared" si="9"/>
        <v>4.8458149779735685E-2</v>
      </c>
      <c r="J36" s="21">
        <f t="shared" si="9"/>
        <v>-7.4307865580554869E-2</v>
      </c>
      <c r="K36" s="21">
        <f t="shared" si="9"/>
        <v>-7.4307865580554855E-2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 t="e">
        <f t="shared" si="9"/>
        <v>#DIV/0!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-1.3333333333333333</v>
      </c>
      <c r="E39" s="21">
        <f t="shared" si="10"/>
        <v>-1.5743440233236152</v>
      </c>
      <c r="F39" s="21">
        <f t="shared" si="10"/>
        <v>-0.9471476510067115</v>
      </c>
      <c r="G39" s="21">
        <f t="shared" si="10"/>
        <v>0.1655081495685522</v>
      </c>
      <c r="H39" s="21">
        <f t="shared" si="10"/>
        <v>0.75</v>
      </c>
      <c r="I39" s="21">
        <f t="shared" si="10"/>
        <v>0.88413547237076651</v>
      </c>
      <c r="J39" s="21">
        <f t="shared" si="10"/>
        <v>0.46859035004730371</v>
      </c>
      <c r="K39" s="21">
        <f t="shared" si="10"/>
        <v>-1.1256385998107852</v>
      </c>
    </row>
    <row r="40" spans="1:11" x14ac:dyDescent="0.25">
      <c r="A40" s="23"/>
      <c r="B40" s="5" t="s">
        <v>14</v>
      </c>
      <c r="C40" s="5"/>
      <c r="D40" s="22">
        <f t="shared" si="10"/>
        <v>1.6393442622950821E-2</v>
      </c>
      <c r="E40" s="22">
        <f t="shared" si="10"/>
        <v>6.223128811718312E-3</v>
      </c>
      <c r="F40" s="22">
        <f t="shared" si="10"/>
        <v>9.1047573803167539E-2</v>
      </c>
      <c r="G40" s="22">
        <f t="shared" si="10"/>
        <v>7.5898366699887004E-2</v>
      </c>
      <c r="H40" s="22">
        <f t="shared" si="10"/>
        <v>2.6315789473684209E-2</v>
      </c>
      <c r="I40" s="22">
        <f t="shared" si="10"/>
        <v>5.387294003320231E-2</v>
      </c>
      <c r="J40" s="22">
        <f t="shared" si="10"/>
        <v>-3.9549827812688697E-2</v>
      </c>
      <c r="K40" s="22">
        <f t="shared" si="10"/>
        <v>-6.7645769104923564E-2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2025-12-29T12:08:27Z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