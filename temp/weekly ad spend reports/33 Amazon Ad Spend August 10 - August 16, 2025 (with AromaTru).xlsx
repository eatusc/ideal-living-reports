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F18865C-54C3-4B62-AFF2-55119E8AB95C}" xr6:coauthVersionLast="47" xr6:coauthVersionMax="47" xr10:uidLastSave="{00000000-0000-0000-0000-000000000000}"/>
  <bookViews>
    <workbookView xWindow="2295" yWindow="2295" windowWidth="2467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<sst xmlns="http://schemas.openxmlformats.org/spreadsheetml/2006/main" count="66" uniqueCount="20">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</sst>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7" workbookViewId="0">
      <selection activeCell="G17" sqref="G17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45872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45878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27</v>
      </c>
      <c r="E4" s="7">
        <v>2068.3000000000002</v>
      </c>
      <c r="F4" s="7">
        <v>429.69</v>
      </c>
      <c r="G4" s="7">
        <f t="shared" si="0"/>
        <v>15.914444444444444</v>
      </c>
      <c r="H4" s="11">
        <v>8</v>
      </c>
      <c r="I4" s="9">
        <v>599.54999999999995</v>
      </c>
      <c r="J4" s="9">
        <v>614.43999999999994</v>
      </c>
      <c r="K4" s="9">
        <f t="shared" si="1"/>
        <v>76.804999999999993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40</v>
      </c>
      <c r="E7" s="27">
        <v>2967.6</v>
      </c>
      <c r="F7" s="27">
        <v>672.94</v>
      </c>
      <c r="G7" s="7">
        <f t="shared" si="0"/>
        <v>16.823500000000003</v>
      </c>
      <c r="H7" s="11">
        <v>12</v>
      </c>
      <c r="I7" s="9">
        <v>744.45</v>
      </c>
      <c r="J7" s="9">
        <v>938.86</v>
      </c>
      <c r="K7" s="9">
        <f t="shared" si="1"/>
        <v>78.23833333333333</v>
      </c>
    </row>
    <row r="8" spans="1:11" x14ac:dyDescent="0.25">
      <c r="A8" s="23"/>
      <c r="B8" s="5" t="s">
        <v>13</v>
      </c>
      <c r="C8" s="17">
        <v>35</v>
      </c>
      <c r="D8" s="10">
        <v>100</v>
      </c>
      <c r="E8" s="7">
        <v>7160.2999999999993</v>
      </c>
      <c r="F8" s="7">
        <v>2414.9699999999998</v>
      </c>
      <c r="G8" s="7">
        <f t="shared" si="0"/>
        <v>24.149699999999999</v>
      </c>
      <c r="H8" s="12">
        <v>33</v>
      </c>
      <c r="I8" s="9">
        <v>2107.9</v>
      </c>
      <c r="J8" s="9">
        <v>1349.23</v>
      </c>
      <c r="K8" s="9">
        <f t="shared" si="1"/>
        <v>40.885757575757573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7.46</v>
      </c>
      <c r="G10" s="7" t="e">
        <f t="shared" si="0"/>
        <v>#DIV/0!</v>
      </c>
      <c r="H10" s="11">
        <v>0</v>
      </c>
      <c r="I10" s="9">
        <v>0</v>
      </c>
      <c r="J10" s="9">
        <v>65.84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30</v>
      </c>
      <c r="F11" s="7">
        <v>10.27</v>
      </c>
      <c r="G11" s="7">
        <f t="shared" si="0"/>
        <v>10.27</v>
      </c>
      <c r="H11" s="11">
        <v>0</v>
      </c>
      <c r="I11" s="9">
        <v>0</v>
      </c>
      <c r="J11" s="9">
        <v>45.99</v>
      </c>
      <c r="K11" s="9" t="e">
        <f t="shared" si="1"/>
        <v>#DIV/0!</v>
      </c>
    </row>
    <row r="12" spans="1:11" x14ac:dyDescent="0.25">
      <c r="A12" s="23"/>
      <c r="B12" s="5" t="s">
        <v>14</v>
      </c>
      <c r="C12" s="5"/>
      <c r="D12" s="13">
        <f>SUM(D3:D11)</f>
        <v>168</v>
      </c>
      <c r="E12" s="14">
        <f>SUM(E3:E11)</f>
        <v>12226.199999999999</v>
      </c>
      <c r="F12" s="14">
        <f>SUM(F3:F11)</f>
        <v>3535.33</v>
      </c>
      <c r="G12" s="14">
        <f>F12/D12</f>
        <v>21.043630952380951</v>
      </c>
      <c r="H12" s="15">
        <f>SUM(H3:H11)</f>
        <v>53</v>
      </c>
      <c r="I12" s="16">
        <f>SUM(I3:I11)</f>
        <v>3451.9</v>
      </c>
      <c r="J12" s="16">
        <f>SUM(J3:J11)</f>
        <v>3014.3599999999997</v>
      </c>
      <c r="K12" s="16">
        <f t="shared" ref="K12" si="2">J12/H12</f>
        <v>56.874716981132067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45879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45885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27</v>
      </c>
      <c r="E17" s="7">
        <v>2008.4</v>
      </c>
      <c r="F17" s="7">
        <v>375.73</v>
      </c>
      <c r="G17" s="7">
        <f t="shared" si="3"/>
        <v>13.915925925925926</v>
      </c>
      <c r="H17" s="11">
        <v>13</v>
      </c>
      <c r="I17" s="9">
        <v>601.7700000000001</v>
      </c>
      <c r="J17" s="9">
        <v>907.56000000000006</v>
      </c>
      <c r="K17" s="9">
        <f t="shared" si="4"/>
        <v>69.812307692307698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29</v>
      </c>
      <c r="E20" s="27">
        <v>2028.35</v>
      </c>
      <c r="F20" s="27">
        <v>612.62</v>
      </c>
      <c r="G20" s="7">
        <f t="shared" si="3"/>
        <v>21.124827586206898</v>
      </c>
      <c r="H20" s="11">
        <v>14</v>
      </c>
      <c r="I20" s="9">
        <v>969.2</v>
      </c>
      <c r="J20" s="9">
        <v>960.71</v>
      </c>
      <c r="K20" s="9">
        <f t="shared" si="4"/>
        <v>68.622142857142862</v>
      </c>
    </row>
    <row r="21" spans="1:11" x14ac:dyDescent="0.25">
      <c r="A21" s="23"/>
      <c r="B21" s="5" t="s">
        <v>13</v>
      </c>
      <c r="C21" s="17">
        <v>35</v>
      </c>
      <c r="D21" s="10">
        <v>92</v>
      </c>
      <c r="E21" s="7">
        <v>6077.7</v>
      </c>
      <c r="F21" s="7">
        <v>2767.8700000000003</v>
      </c>
      <c r="G21" s="7">
        <f t="shared" si="3"/>
        <v>30.085543478260874</v>
      </c>
      <c r="H21" s="12">
        <v>33</v>
      </c>
      <c r="I21" s="9">
        <v>2244.9499999999998</v>
      </c>
      <c r="J21" s="9">
        <v>1473.27</v>
      </c>
      <c r="K21" s="9">
        <f t="shared" si="4"/>
        <v>44.644545454545451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2</v>
      </c>
      <c r="E23" s="7">
        <v>329.7</v>
      </c>
      <c r="F23" s="7">
        <v>9.9600000000000009</v>
      </c>
      <c r="G23" s="7">
        <f t="shared" ref="G23" si="6">F23/D23</f>
        <v>4.9800000000000004</v>
      </c>
      <c r="H23" s="11">
        <v>0</v>
      </c>
      <c r="I23" s="9">
        <v>0</v>
      </c>
      <c r="J23" s="9">
        <v>77.88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35</v>
      </c>
      <c r="F24" s="7">
        <v>21.5</v>
      </c>
      <c r="G24" s="7">
        <f t="shared" si="3"/>
        <v>21.5</v>
      </c>
      <c r="H24" s="11">
        <v>4</v>
      </c>
      <c r="I24" s="9">
        <v>152.56</v>
      </c>
      <c r="J24" s="9">
        <v>82.32</v>
      </c>
      <c r="K24" s="9">
        <f t="shared" si="4"/>
        <v>20.58</v>
      </c>
    </row>
    <row r="25" spans="1:11" x14ac:dyDescent="0.25">
      <c r="A25" s="23"/>
      <c r="B25" s="5" t="s">
        <v>14</v>
      </c>
      <c r="C25" s="5"/>
      <c r="D25" s="13">
        <f>SUM(D16:D24)</f>
        <v>151</v>
      </c>
      <c r="E25" s="14">
        <f>SUM(E16:E24)</f>
        <v>10479.150000000001</v>
      </c>
      <c r="F25" s="14">
        <f>SUM(F16:F24)</f>
        <v>3787.6800000000003</v>
      </c>
      <c r="G25" s="14">
        <f>F25/D25</f>
        <v>25.083973509933777</v>
      </c>
      <c r="H25" s="15">
        <f>SUM(H16:H24)</f>
        <v>64</v>
      </c>
      <c r="I25" s="16">
        <f>SUM(I16:I24)</f>
        <v>3968.48</v>
      </c>
      <c r="J25" s="16">
        <f>SUM(J16:J24)</f>
        <v>3501.7400000000002</v>
      </c>
      <c r="K25" s="16">
        <f t="shared" ref="K25" si="7">J25/H25</f>
        <v>54.714687500000004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0</v>
      </c>
      <c r="E30" s="21">
        <f t="shared" si="8"/>
        <v>-2.9824736108344994E-2</v>
      </c>
      <c r="F30" s="21">
        <f t="shared" si="8"/>
        <v>-0.14361376520373667</v>
      </c>
      <c r="G30" s="21">
        <f t="shared" si="8"/>
        <v>-0.14361376520373667</v>
      </c>
      <c r="H30" s="21">
        <f t="shared" si="8"/>
        <v>0.38461538461538464</v>
      </c>
      <c r="I30" s="21">
        <f t="shared" si="8"/>
        <v>3.6891171045418361E-3</v>
      </c>
      <c r="J30" s="21">
        <f>(J17-J4)/J17</f>
        <v>0.3229758914011196</v>
      </c>
      <c r="K30" s="21">
        <f t="shared" si="8"/>
        <v>-0.10016417647318064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-0.37931034482758619</v>
      </c>
      <c r="E33" s="21">
        <f t="shared" si="8"/>
        <v>-0.463061108783001</v>
      </c>
      <c r="F33" s="21">
        <f t="shared" si="8"/>
        <v>-9.8462342071757455E-2</v>
      </c>
      <c r="G33" s="21">
        <f t="shared" si="8"/>
        <v>0.20361480199797583</v>
      </c>
      <c r="H33" s="21">
        <f t="shared" si="8"/>
        <v>0.14285714285714285</v>
      </c>
      <c r="I33" s="21">
        <f t="shared" si="8"/>
        <v>0.23189228229467601</v>
      </c>
      <c r="J33" s="21">
        <f t="shared" si="8"/>
        <v>2.2743595882212135E-2</v>
      </c>
      <c r="K33" s="21">
        <f t="shared" si="8"/>
        <v>-0.14013247147075242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-8.6956521739130432E-2</v>
      </c>
      <c r="E34" s="21">
        <f t="shared" si="8"/>
        <v>-0.17812659394178709</v>
      </c>
      <c r="F34" s="21">
        <f t="shared" si="8"/>
        <v>0.12749876258639334</v>
      </c>
      <c r="G34" s="21">
        <f t="shared" si="8"/>
        <v>0.19729886157948184</v>
      </c>
      <c r="H34" s="21">
        <f t="shared" si="8"/>
        <v>0</v>
      </c>
      <c r="I34" s="21">
        <f t="shared" si="8"/>
        <v>6.104813024788959E-2</v>
      </c>
      <c r="J34" s="21">
        <f t="shared" si="8"/>
        <v>8.419366443353897E-2</v>
      </c>
      <c r="K34" s="21">
        <f t="shared" si="8"/>
        <v>8.4193664433538984E-2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8" si="9">(D23-D10)/D23</f>
        <v>1</v>
      </c>
      <c r="E36" s="21">
        <f t="shared" si="9"/>
        <v>1</v>
      </c>
      <c r="F36" s="21">
        <f t="shared" si="9"/>
        <v>0.2510040160642571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>
        <f t="shared" si="9"/>
        <v>0.15459681561376468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0</v>
      </c>
      <c r="E37" s="21">
        <f t="shared" si="9"/>
        <v>0.14285714285714285</v>
      </c>
      <c r="F37" s="21">
        <f t="shared" si="9"/>
        <v>0.5223255813953489</v>
      </c>
      <c r="G37" s="21">
        <f t="shared" si="9"/>
        <v>0.5223255813953489</v>
      </c>
      <c r="H37" s="21">
        <f t="shared" si="9"/>
        <v>1</v>
      </c>
      <c r="I37" s="21">
        <f t="shared" si="9"/>
        <v>1</v>
      </c>
      <c r="J37" s="21">
        <f t="shared" si="9"/>
        <v>0.44132653061224481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-0.11258278145695365</v>
      </c>
      <c r="E38" s="22">
        <f t="shared" si="9"/>
        <v>-0.166716766149926</v>
      </c>
      <c r="F38" s="22">
        <f t="shared" si="9"/>
        <v>6.6623896422084328E-2</v>
      </c>
      <c r="G38" s="22">
        <f t="shared" si="9"/>
        <v>0.16107266880794488</v>
      </c>
      <c r="H38" s="22">
        <f t="shared" si="9"/>
        <v>0.171875</v>
      </c>
      <c r="I38" s="22">
        <f t="shared" si="9"/>
        <v>0.13017074547433777</v>
      </c>
      <c r="J38" s="22">
        <f t="shared" si="9"/>
        <v>0.13918223511739894</v>
      </c>
      <c r="K38" s="22">
        <f t="shared" si="9"/>
        <v>-3.947805570729182E-2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2025-08-18T12:55:30Z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