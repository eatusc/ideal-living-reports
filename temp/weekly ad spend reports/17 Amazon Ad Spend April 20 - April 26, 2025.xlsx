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A559E8A-9438-4F5E-A169-F9140309FC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<sst xmlns="http://schemas.openxmlformats.org/spreadsheetml/2006/main" count="63" uniqueCount="19">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</sst>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1" sqref="H21:J2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45760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45766</v>
      </c>
      <c r="B3" s="5" t="s">
        <v>8</v>
      </c>
      <c r="C3" s="17">
        <v>25</v>
      </c>
      <c r="D3" s="10">
        <v>1</v>
      </c>
      <c r="E3" s="7">
        <v>69.95</v>
      </c>
      <c r="F3" s="7">
        <v>23.84</v>
      </c>
      <c r="G3" s="7">
        <f t="shared" ref="G3:G10" si="0">F3/D3</f>
        <v>23.84</v>
      </c>
      <c r="H3" s="12">
        <v>0</v>
      </c>
      <c r="I3" s="9">
        <v>0</v>
      </c>
      <c r="J3" s="9">
        <v>2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30</v>
      </c>
      <c r="E4" s="7">
        <v>2168.25</v>
      </c>
      <c r="F4" s="7">
        <v>487.57</v>
      </c>
      <c r="G4" s="7">
        <f t="shared" si="0"/>
        <v>16.252333333333333</v>
      </c>
      <c r="H4" s="11">
        <v>14</v>
      </c>
      <c r="I4" s="9">
        <v>1119.25</v>
      </c>
      <c r="J4" s="9">
        <v>917.91</v>
      </c>
      <c r="K4" s="9">
        <f t="shared" si="1"/>
        <v>65.564999999999998</v>
      </c>
    </row>
    <row r="5" spans="1:11" x14ac:dyDescent="0.25">
      <c r="A5" s="23"/>
      <c r="B5" s="5" t="s">
        <v>10</v>
      </c>
      <c r="C5" s="17">
        <v>31</v>
      </c>
      <c r="D5" s="10">
        <v>7</v>
      </c>
      <c r="E5" s="7">
        <v>489.48</v>
      </c>
      <c r="F5" s="7">
        <v>50.82</v>
      </c>
      <c r="G5" s="7">
        <f t="shared" si="0"/>
        <v>7.26</v>
      </c>
      <c r="H5" s="11">
        <v>1</v>
      </c>
      <c r="I5" s="9">
        <v>34.950000000000003</v>
      </c>
      <c r="J5" s="9">
        <v>72.22</v>
      </c>
      <c r="K5" s="9">
        <f t="shared" si="1"/>
        <v>72.22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34</v>
      </c>
      <c r="E7" s="7">
        <v>2348.1</v>
      </c>
      <c r="F7" s="7">
        <v>729.81</v>
      </c>
      <c r="G7" s="7">
        <f t="shared" si="0"/>
        <v>21.465</v>
      </c>
      <c r="H7" s="11">
        <v>10</v>
      </c>
      <c r="I7" s="9">
        <v>656.55</v>
      </c>
      <c r="J7" s="9">
        <v>519.99</v>
      </c>
      <c r="K7" s="9">
        <f t="shared" si="1"/>
        <v>51.999000000000002</v>
      </c>
    </row>
    <row r="8" spans="1:11" x14ac:dyDescent="0.25">
      <c r="A8" s="23"/>
      <c r="B8" s="5" t="s">
        <v>13</v>
      </c>
      <c r="C8" s="17">
        <v>35</v>
      </c>
      <c r="D8" s="10">
        <v>114</v>
      </c>
      <c r="E8" s="7">
        <v>7096.95</v>
      </c>
      <c r="F8" s="7">
        <v>2488.86</v>
      </c>
      <c r="G8" s="7">
        <f t="shared" si="0"/>
        <v>21.832105263157896</v>
      </c>
      <c r="H8" s="12">
        <v>22</v>
      </c>
      <c r="I8" s="9">
        <v>1380</v>
      </c>
      <c r="J8" s="9">
        <v>1918.13</v>
      </c>
      <c r="K8" s="9">
        <f t="shared" si="1"/>
        <v>87.187727272727273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36.93</v>
      </c>
      <c r="G9" s="7" t="e">
        <f t="shared" si="0"/>
        <v>#DIV/0!</v>
      </c>
      <c r="H9" s="11">
        <v>0</v>
      </c>
      <c r="I9" s="9">
        <v>0</v>
      </c>
      <c r="J9" s="9">
        <v>34.51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186</v>
      </c>
      <c r="E11" s="14">
        <f>SUM(E3:E10)</f>
        <v>12172.73</v>
      </c>
      <c r="F11" s="14">
        <f>SUM(F3:F10)</f>
        <v>3817.83</v>
      </c>
      <c r="G11" s="14">
        <f>F11/D11</f>
        <v>20.525967741935485</v>
      </c>
      <c r="H11" s="15">
        <f>SUM(H3:H10)</f>
        <v>47</v>
      </c>
      <c r="I11" s="16">
        <f>SUM(I3:I10)</f>
        <v>3190.75</v>
      </c>
      <c r="J11" s="16">
        <f>SUM(J3:J10)</f>
        <v>3464.76</v>
      </c>
      <c r="K11" s="16">
        <f t="shared" ref="K11" si="2">J11/H11</f>
        <v>73.718297872340429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45767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45773</v>
      </c>
      <c r="B15" s="5" t="s">
        <v>8</v>
      </c>
      <c r="C15" s="17">
        <v>25</v>
      </c>
      <c r="D15" s="10">
        <v>1</v>
      </c>
      <c r="E15" s="7">
        <v>69.95</v>
      </c>
      <c r="F15" s="7">
        <v>47.47</v>
      </c>
      <c r="G15" s="7">
        <f t="shared" ref="G15:G22" si="3">F15/D15</f>
        <v>47.47</v>
      </c>
      <c r="H15" s="12">
        <v>0</v>
      </c>
      <c r="I15" s="9">
        <v>0</v>
      </c>
      <c r="J15" s="9">
        <v>1.84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33</v>
      </c>
      <c r="E16" s="7">
        <v>2318.1999999999998</v>
      </c>
      <c r="F16" s="7">
        <v>775.65</v>
      </c>
      <c r="G16" s="7">
        <f t="shared" si="3"/>
        <v>23.504545454545454</v>
      </c>
      <c r="H16" s="11">
        <v>26</v>
      </c>
      <c r="I16" s="9">
        <v>1788.65</v>
      </c>
      <c r="J16" s="9">
        <v>1076.02</v>
      </c>
      <c r="K16" s="9">
        <f t="shared" si="4"/>
        <v>41.385384615384616</v>
      </c>
    </row>
    <row r="17" spans="1:11" x14ac:dyDescent="0.25">
      <c r="A17" s="23"/>
      <c r="B17" s="5" t="s">
        <v>10</v>
      </c>
      <c r="C17" s="17">
        <v>31</v>
      </c>
      <c r="D17" s="10">
        <v>5</v>
      </c>
      <c r="E17" s="7">
        <v>314.55</v>
      </c>
      <c r="F17" s="7">
        <v>68.16</v>
      </c>
      <c r="G17" s="7">
        <f t="shared" si="3"/>
        <v>13.632</v>
      </c>
      <c r="H17" s="11">
        <v>5</v>
      </c>
      <c r="I17" s="9">
        <v>174.75</v>
      </c>
      <c r="J17" s="9">
        <v>160.93</v>
      </c>
      <c r="K17" s="9">
        <f t="shared" si="4"/>
        <v>32.186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44</v>
      </c>
      <c r="E19" s="7">
        <v>2922.65</v>
      </c>
      <c r="F19" s="7">
        <v>853.52</v>
      </c>
      <c r="G19" s="7">
        <f t="shared" si="3"/>
        <v>19.398181818181818</v>
      </c>
      <c r="H19" s="11">
        <v>8</v>
      </c>
      <c r="I19" s="9">
        <v>589.54999999999995</v>
      </c>
      <c r="J19" s="9">
        <v>519.97</v>
      </c>
      <c r="K19" s="9">
        <f t="shared" si="4"/>
        <v>64.996250000000003</v>
      </c>
    </row>
    <row r="20" spans="1:11" x14ac:dyDescent="0.25">
      <c r="A20" s="23"/>
      <c r="B20" s="5" t="s">
        <v>13</v>
      </c>
      <c r="C20" s="17">
        <v>35</v>
      </c>
      <c r="D20" s="10">
        <v>118</v>
      </c>
      <c r="E20" s="7">
        <v>8080</v>
      </c>
      <c r="F20" s="7">
        <v>3111.88</v>
      </c>
      <c r="G20" s="7">
        <f t="shared" si="3"/>
        <v>26.371864406779661</v>
      </c>
      <c r="H20" s="12">
        <v>32</v>
      </c>
      <c r="I20" s="9">
        <v>2062</v>
      </c>
      <c r="J20" s="9">
        <v>2229.54</v>
      </c>
      <c r="K20" s="9">
        <f t="shared" si="4"/>
        <v>69.673124999999999</v>
      </c>
    </row>
    <row r="21" spans="1:11" x14ac:dyDescent="0.25">
      <c r="A21" s="23"/>
      <c r="B21" s="5" t="s">
        <v>17</v>
      </c>
      <c r="C21" s="17">
        <v>35</v>
      </c>
      <c r="D21" s="6">
        <v>0</v>
      </c>
      <c r="E21" s="27">
        <v>0</v>
      </c>
      <c r="F21" s="28">
        <v>29.84</v>
      </c>
      <c r="G21" s="7" t="e">
        <f t="shared" si="3"/>
        <v>#DIV/0!</v>
      </c>
      <c r="H21" s="11">
        <v>0</v>
      </c>
      <c r="I21" s="9">
        <v>0</v>
      </c>
      <c r="J21" s="9">
        <v>31.28</v>
      </c>
      <c r="K21" s="9" t="e">
        <f t="shared" ref="K21" si="5">J21/H21</f>
        <v>#DIV/0!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201</v>
      </c>
      <c r="E23" s="14">
        <f>SUM(E15:E22)</f>
        <v>13705.35</v>
      </c>
      <c r="F23" s="14">
        <f>SUM(F15:F22)</f>
        <v>4886.5200000000004</v>
      </c>
      <c r="G23" s="14">
        <f>F23/D23</f>
        <v>24.311044776119406</v>
      </c>
      <c r="H23" s="15">
        <f>SUM(H15:H22)</f>
        <v>71</v>
      </c>
      <c r="I23" s="16">
        <f>SUM(I15:I22)</f>
        <v>4614.95</v>
      </c>
      <c r="J23" s="16">
        <f>SUM(J15:J22)</f>
        <v>4019.5800000000004</v>
      </c>
      <c r="K23" s="16">
        <f t="shared" ref="K23" si="6">J23/H23</f>
        <v>56.613802816901412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7">(D15-D3)/D15</f>
        <v>0</v>
      </c>
      <c r="E27" s="21">
        <f t="shared" si="7"/>
        <v>0</v>
      </c>
      <c r="F27" s="21">
        <f t="shared" si="7"/>
        <v>0.49778807668000841</v>
      </c>
      <c r="G27" s="21">
        <f t="shared" si="7"/>
        <v>0.49778807668000841</v>
      </c>
      <c r="H27" s="21" t="e">
        <f t="shared" si="7"/>
        <v>#DIV/0!</v>
      </c>
      <c r="I27" s="21" t="e">
        <f t="shared" si="7"/>
        <v>#DIV/0!</v>
      </c>
      <c r="J27" s="21">
        <f t="shared" si="7"/>
        <v>-8.6956521739130391E-2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9.0909090909090912E-2</v>
      </c>
      <c r="E28" s="21">
        <f t="shared" si="7"/>
        <v>6.4683806401518343E-2</v>
      </c>
      <c r="F28" s="21">
        <f t="shared" si="7"/>
        <v>0.37140462837620059</v>
      </c>
      <c r="G28" s="21">
        <f t="shared" si="7"/>
        <v>0.30854509121382068</v>
      </c>
      <c r="H28" s="21">
        <f t="shared" si="7"/>
        <v>0.46153846153846156</v>
      </c>
      <c r="I28" s="21">
        <f t="shared" si="7"/>
        <v>0.37424873507952927</v>
      </c>
      <c r="J28" s="21">
        <f t="shared" si="7"/>
        <v>0.14693964796193382</v>
      </c>
      <c r="K28" s="21">
        <f t="shared" si="7"/>
        <v>-0.58425493949926577</v>
      </c>
    </row>
    <row r="29" spans="1:11" x14ac:dyDescent="0.25">
      <c r="A29" s="23"/>
      <c r="B29" s="5" t="s">
        <v>10</v>
      </c>
      <c r="C29" s="17">
        <v>31</v>
      </c>
      <c r="D29" s="21">
        <f t="shared" si="7"/>
        <v>-0.4</v>
      </c>
      <c r="E29" s="21">
        <f t="shared" si="7"/>
        <v>-0.55612780162136388</v>
      </c>
      <c r="F29" s="21">
        <f t="shared" si="7"/>
        <v>0.25440140845070419</v>
      </c>
      <c r="G29" s="21">
        <f t="shared" si="7"/>
        <v>0.46742957746478875</v>
      </c>
      <c r="H29" s="21">
        <f t="shared" si="7"/>
        <v>0.8</v>
      </c>
      <c r="I29" s="21">
        <f t="shared" si="7"/>
        <v>0.8</v>
      </c>
      <c r="J29" s="21">
        <f t="shared" si="7"/>
        <v>0.55123345553967562</v>
      </c>
      <c r="K29" s="21">
        <f t="shared" si="7"/>
        <v>-1.2438327223016219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0.22727272727272727</v>
      </c>
      <c r="E31" s="21">
        <f t="shared" si="7"/>
        <v>0.19658529074641171</v>
      </c>
      <c r="F31" s="21">
        <f t="shared" si="7"/>
        <v>0.14494095041709631</v>
      </c>
      <c r="G31" s="21">
        <f t="shared" si="7"/>
        <v>-0.10654700534258128</v>
      </c>
      <c r="H31" s="21">
        <f t="shared" si="7"/>
        <v>-0.25</v>
      </c>
      <c r="I31" s="21">
        <f t="shared" si="7"/>
        <v>-0.11364600118734629</v>
      </c>
      <c r="J31" s="21">
        <f t="shared" si="7"/>
        <v>-3.8463757524437581E-5</v>
      </c>
      <c r="K31" s="21">
        <f t="shared" si="7"/>
        <v>0.19996922899398042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3.3898305084745763E-2</v>
      </c>
      <c r="E32" s="21">
        <f t="shared" si="7"/>
        <v>0.12166460396039606</v>
      </c>
      <c r="F32" s="21">
        <f t="shared" si="7"/>
        <v>0.20020694885406892</v>
      </c>
      <c r="G32" s="21">
        <f t="shared" si="7"/>
        <v>0.17214403477877305</v>
      </c>
      <c r="H32" s="21">
        <f t="shared" si="7"/>
        <v>0.3125</v>
      </c>
      <c r="I32" s="21">
        <f t="shared" si="7"/>
        <v>0.33074684772065954</v>
      </c>
      <c r="J32" s="21">
        <f t="shared" si="7"/>
        <v>0.13967455170124773</v>
      </c>
      <c r="K32" s="21">
        <f t="shared" si="7"/>
        <v>-0.25138247025273053</v>
      </c>
    </row>
    <row r="33" spans="1:11" x14ac:dyDescent="0.25">
      <c r="A33" s="23"/>
      <c r="B33" s="5" t="s">
        <v>17</v>
      </c>
      <c r="C33" s="17">
        <v>35</v>
      </c>
      <c r="D33" s="21" t="e">
        <f t="shared" si="7"/>
        <v>#DIV/0!</v>
      </c>
      <c r="E33" s="21" t="e">
        <f t="shared" si="7"/>
        <v>#DIV/0!</v>
      </c>
      <c r="F33" s="21">
        <f t="shared" si="7"/>
        <v>-0.23760053619302948</v>
      </c>
      <c r="G33" s="21" t="e">
        <f t="shared" si="7"/>
        <v>#DIV/0!</v>
      </c>
      <c r="H33" s="21" t="e">
        <f t="shared" si="7"/>
        <v>#DIV/0!</v>
      </c>
      <c r="I33" s="21" t="e">
        <f t="shared" si="7"/>
        <v>#DIV/0!</v>
      </c>
      <c r="J33" s="21">
        <f t="shared" si="7"/>
        <v>-0.10326086956521728</v>
      </c>
      <c r="K33" s="21" t="e">
        <f t="shared" si="7"/>
        <v>#DIV/0!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7.4626865671641784E-2</v>
      </c>
      <c r="E35" s="22">
        <f t="shared" si="7"/>
        <v>0.11182640355773481</v>
      </c>
      <c r="F35" s="22">
        <f t="shared" si="7"/>
        <v>0.21870165270990408</v>
      </c>
      <c r="G35" s="22">
        <f t="shared" si="7"/>
        <v>0.15569372147683178</v>
      </c>
      <c r="H35" s="22">
        <f t="shared" si="7"/>
        <v>0.3380281690140845</v>
      </c>
      <c r="I35" s="22">
        <f t="shared" si="7"/>
        <v>0.30860572703929617</v>
      </c>
      <c r="J35" s="22">
        <f t="shared" si="7"/>
        <v>0.13802934634961864</v>
      </c>
      <c r="K35" s="22">
        <f t="shared" si="7"/>
        <v>-0.30212588104632077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2025-04-28T13:00:21Z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