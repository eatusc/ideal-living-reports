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92678D5-7427-49D8-8871-21C892E11129}" xr6:coauthVersionLast="47" xr6:coauthVersionMax="47" xr10:uidLastSave="{00000000-0000-0000-0000-000000000000}"/>
  <bookViews>
    <workbookView xWindow="1770" yWindow="1770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<sst xmlns="http://schemas.openxmlformats.org/spreadsheetml/2006/main" count="66" uniqueCount="20">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</sst>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45914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45920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27</v>
      </c>
      <c r="E4" s="7">
        <v>1798.55</v>
      </c>
      <c r="F4" s="7">
        <v>639.97</v>
      </c>
      <c r="G4" s="7">
        <f t="shared" si="0"/>
        <v>23.702592592592595</v>
      </c>
      <c r="H4" s="11">
        <v>16</v>
      </c>
      <c r="I4" s="9">
        <v>1059.2</v>
      </c>
      <c r="J4" s="9">
        <v>668.23</v>
      </c>
      <c r="K4" s="9">
        <f t="shared" si="1"/>
        <v>41.764375000000001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26</v>
      </c>
      <c r="E7" s="27">
        <v>1933.45</v>
      </c>
      <c r="F7" s="27">
        <v>473.77</v>
      </c>
      <c r="G7" s="7">
        <f t="shared" si="0"/>
        <v>18.221923076923076</v>
      </c>
      <c r="H7" s="11">
        <v>3</v>
      </c>
      <c r="I7" s="9">
        <v>179.85</v>
      </c>
      <c r="J7" s="9">
        <v>510.27</v>
      </c>
      <c r="K7" s="9">
        <f t="shared" si="1"/>
        <v>170.09</v>
      </c>
    </row>
    <row r="8" spans="1:11" x14ac:dyDescent="0.25">
      <c r="A8" s="23"/>
      <c r="B8" s="5" t="s">
        <v>13</v>
      </c>
      <c r="C8" s="17">
        <v>35</v>
      </c>
      <c r="D8" s="10">
        <v>127</v>
      </c>
      <c r="E8" s="7">
        <v>8288</v>
      </c>
      <c r="F8" s="7">
        <v>2658.9</v>
      </c>
      <c r="G8" s="7">
        <f t="shared" si="0"/>
        <v>20.936220472440947</v>
      </c>
      <c r="H8" s="12">
        <v>26</v>
      </c>
      <c r="I8" s="9">
        <v>1605</v>
      </c>
      <c r="J8" s="9">
        <v>1364.68</v>
      </c>
      <c r="K8" s="9">
        <f t="shared" si="1"/>
        <v>52.487692307692313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3</v>
      </c>
      <c r="E11" s="7">
        <v>166</v>
      </c>
      <c r="F11" s="7">
        <v>15.23</v>
      </c>
      <c r="G11" s="7">
        <f t="shared" si="0"/>
        <v>5.0766666666666671</v>
      </c>
      <c r="H11" s="11">
        <v>1</v>
      </c>
      <c r="I11" s="9">
        <v>96</v>
      </c>
      <c r="J11" s="9">
        <v>112.29</v>
      </c>
      <c r="K11" s="9">
        <f t="shared" si="1"/>
        <v>112.29</v>
      </c>
    </row>
    <row r="12" spans="1:11" x14ac:dyDescent="0.25">
      <c r="A12" s="23"/>
      <c r="B12" s="5" t="s">
        <v>14</v>
      </c>
      <c r="C12" s="5"/>
      <c r="D12" s="13">
        <f>SUM(D3:D11)</f>
        <v>183</v>
      </c>
      <c r="E12" s="14">
        <f>SUM(E3:E11)</f>
        <v>12186</v>
      </c>
      <c r="F12" s="14">
        <f>SUM(F3:F11)</f>
        <v>3787.8700000000003</v>
      </c>
      <c r="G12" s="14">
        <f>F12/D12</f>
        <v>20.698743169398909</v>
      </c>
      <c r="H12" s="15">
        <f>SUM(H3:H11)</f>
        <v>46</v>
      </c>
      <c r="I12" s="16">
        <f>SUM(I3:I11)</f>
        <v>2940.05</v>
      </c>
      <c r="J12" s="16">
        <f>SUM(J3:J11)</f>
        <v>2655.4700000000003</v>
      </c>
      <c r="K12" s="16">
        <f t="shared" ref="K12" si="2">J12/H12</f>
        <v>57.727608695652179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45921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45927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41</v>
      </c>
      <c r="E17" s="7">
        <v>2557.9</v>
      </c>
      <c r="F17" s="7">
        <v>784.01</v>
      </c>
      <c r="G17" s="7">
        <f t="shared" si="3"/>
        <v>19.122195121951219</v>
      </c>
      <c r="H17" s="11">
        <v>13</v>
      </c>
      <c r="I17" s="9">
        <v>909.30000000000007</v>
      </c>
      <c r="J17" s="9">
        <v>760.18999999999994</v>
      </c>
      <c r="K17" s="9">
        <f t="shared" si="4"/>
        <v>58.476153846153842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31</v>
      </c>
      <c r="E20" s="27">
        <v>2108.3000000000002</v>
      </c>
      <c r="F20" s="27">
        <v>575.32000000000005</v>
      </c>
      <c r="G20" s="7">
        <f t="shared" si="3"/>
        <v>18.558709677419355</v>
      </c>
      <c r="H20" s="11">
        <v>6</v>
      </c>
      <c r="I20" s="9">
        <v>386.75</v>
      </c>
      <c r="J20" s="9">
        <v>534.07000000000005</v>
      </c>
      <c r="K20" s="9">
        <f t="shared" si="4"/>
        <v>89.01166666666667</v>
      </c>
    </row>
    <row r="21" spans="1:11" x14ac:dyDescent="0.25">
      <c r="A21" s="23"/>
      <c r="B21" s="5" t="s">
        <v>13</v>
      </c>
      <c r="C21" s="17">
        <v>35</v>
      </c>
      <c r="D21" s="10">
        <v>105</v>
      </c>
      <c r="E21" s="7">
        <v>6859.95</v>
      </c>
      <c r="F21" s="7">
        <v>3330.84</v>
      </c>
      <c r="G21" s="7">
        <f t="shared" si="3"/>
        <v>31.722285714285714</v>
      </c>
      <c r="H21" s="12">
        <v>28</v>
      </c>
      <c r="I21" s="9">
        <v>1758.9</v>
      </c>
      <c r="J21" s="9">
        <v>1431.58</v>
      </c>
      <c r="K21" s="9">
        <f t="shared" si="4"/>
        <v>51.127857142857138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2</v>
      </c>
      <c r="E24" s="7">
        <v>70</v>
      </c>
      <c r="F24" s="7">
        <v>15.87</v>
      </c>
      <c r="G24" s="7">
        <f t="shared" si="3"/>
        <v>7.9349999999999996</v>
      </c>
      <c r="H24" s="11">
        <v>2</v>
      </c>
      <c r="I24" s="9">
        <v>62.5</v>
      </c>
      <c r="J24" s="9">
        <v>122.84</v>
      </c>
      <c r="K24" s="9">
        <f t="shared" si="4"/>
        <v>61.42</v>
      </c>
    </row>
    <row r="25" spans="1:11" x14ac:dyDescent="0.25">
      <c r="A25" s="23"/>
      <c r="B25" s="5" t="s">
        <v>14</v>
      </c>
      <c r="C25" s="5"/>
      <c r="D25" s="13">
        <f>SUM(D16:D24)</f>
        <v>179</v>
      </c>
      <c r="E25" s="14">
        <f>SUM(E16:E24)</f>
        <v>11596.150000000001</v>
      </c>
      <c r="F25" s="14">
        <f>SUM(F16:F24)</f>
        <v>4706.04</v>
      </c>
      <c r="G25" s="14">
        <f>F25/D25</f>
        <v>26.290726256983241</v>
      </c>
      <c r="H25" s="15">
        <f>SUM(H16:H24)</f>
        <v>49</v>
      </c>
      <c r="I25" s="16">
        <f>SUM(I16:I24)</f>
        <v>3117.4500000000003</v>
      </c>
      <c r="J25" s="16">
        <f>SUM(J16:J24)</f>
        <v>2848.6800000000003</v>
      </c>
      <c r="K25" s="16">
        <f t="shared" ref="K25" si="7">J25/H25</f>
        <v>58.136326530612251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0.34146341463414637</v>
      </c>
      <c r="E30" s="21">
        <f t="shared" si="8"/>
        <v>0.29686461550490639</v>
      </c>
      <c r="F30" s="21">
        <f t="shared" si="8"/>
        <v>0.18372214640119383</v>
      </c>
      <c r="G30" s="21">
        <f t="shared" si="8"/>
        <v>-0.23953303694633543</v>
      </c>
      <c r="H30" s="21">
        <f t="shared" si="8"/>
        <v>-0.23076923076923078</v>
      </c>
      <c r="I30" s="21">
        <f t="shared" si="8"/>
        <v>-0.16485208402067519</v>
      </c>
      <c r="J30" s="21">
        <f>(J17-J4)/J17</f>
        <v>0.12096975756060975</v>
      </c>
      <c r="K30" s="21">
        <f t="shared" si="8"/>
        <v>0.28578792801799541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0.16129032258064516</v>
      </c>
      <c r="E33" s="21">
        <f t="shared" si="8"/>
        <v>8.2934117535455168E-2</v>
      </c>
      <c r="F33" s="21">
        <f t="shared" si="8"/>
        <v>0.17651046374191764</v>
      </c>
      <c r="G33" s="21">
        <f t="shared" si="8"/>
        <v>1.8147091384594024E-2</v>
      </c>
      <c r="H33" s="21">
        <f t="shared" si="8"/>
        <v>0.5</v>
      </c>
      <c r="I33" s="21">
        <f t="shared" si="8"/>
        <v>0.53497091144149966</v>
      </c>
      <c r="J33" s="21">
        <f t="shared" si="8"/>
        <v>4.4563446739191617E-2</v>
      </c>
      <c r="K33" s="21">
        <f t="shared" si="8"/>
        <v>-0.91087310652161702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-0.20952380952380953</v>
      </c>
      <c r="E34" s="21">
        <f t="shared" si="8"/>
        <v>-0.20817207122500897</v>
      </c>
      <c r="F34" s="21">
        <f t="shared" si="8"/>
        <v>0.20173289620636237</v>
      </c>
      <c r="G34" s="21">
        <f t="shared" si="8"/>
        <v>0.3400153866273074</v>
      </c>
      <c r="H34" s="21">
        <f t="shared" si="8"/>
        <v>7.1428571428571425E-2</v>
      </c>
      <c r="I34" s="21">
        <f t="shared" si="8"/>
        <v>8.7497867985672911E-2</v>
      </c>
      <c r="J34" s="21">
        <f t="shared" si="8"/>
        <v>4.6731583285600432E-2</v>
      </c>
      <c r="K34" s="21">
        <f t="shared" si="8"/>
        <v>-2.6596756461661177E-2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-0.5</v>
      </c>
      <c r="E37" s="21">
        <f t="shared" si="9"/>
        <v>-1.3714285714285714</v>
      </c>
      <c r="F37" s="21">
        <f t="shared" si="9"/>
        <v>4.0327662255828532E-2</v>
      </c>
      <c r="G37" s="21">
        <f t="shared" si="9"/>
        <v>0.36021844150388566</v>
      </c>
      <c r="H37" s="21">
        <f t="shared" si="9"/>
        <v>0.5</v>
      </c>
      <c r="I37" s="21">
        <f t="shared" si="9"/>
        <v>-0.53600000000000003</v>
      </c>
      <c r="J37" s="21">
        <f t="shared" si="9"/>
        <v>8.5884076847932242E-2</v>
      </c>
      <c r="K37" s="21">
        <f t="shared" si="9"/>
        <v>-0.82823184630413549</v>
      </c>
    </row>
    <row r="38" spans="1:11" x14ac:dyDescent="0.25">
      <c r="A38" s="23"/>
      <c r="B38" s="5" t="s">
        <v>14</v>
      </c>
      <c r="C38" s="5"/>
      <c r="D38" s="22">
        <f t="shared" si="9"/>
        <v>-2.23463687150838E-2</v>
      </c>
      <c r="E38" s="22">
        <f t="shared" si="9"/>
        <v>-5.086602018773459E-2</v>
      </c>
      <c r="F38" s="22">
        <f t="shared" si="9"/>
        <v>0.19510458899626854</v>
      </c>
      <c r="G38" s="22">
        <f t="shared" si="9"/>
        <v>0.21269793131329001</v>
      </c>
      <c r="H38" s="22">
        <f t="shared" si="9"/>
        <v>6.1224489795918366E-2</v>
      </c>
      <c r="I38" s="22">
        <f t="shared" si="9"/>
        <v>5.6905483648494785E-2</v>
      </c>
      <c r="J38" s="22">
        <f t="shared" si="9"/>
        <v>6.7824395860538927E-2</v>
      </c>
      <c r="K38" s="22">
        <f t="shared" si="9"/>
        <v>7.0303347210088621E-3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2025-09-29T13:21:29Z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