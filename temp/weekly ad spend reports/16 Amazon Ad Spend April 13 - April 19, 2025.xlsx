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0BA4315-1DAE-46EF-90BC-833D27D79DC1}" xr6:coauthVersionLast="47" xr6:coauthVersionMax="47" xr10:uidLastSave="{00000000-0000-0000-0000-000000000000}"/>
  <bookViews>
    <workbookView xWindow="1095" yWindow="1950" windowWidth="2770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<sst xmlns="http://schemas.openxmlformats.org/spreadsheetml/2006/main" count="63" uniqueCount="19">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</sst>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1" sqref="H21:J2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45753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45759</v>
      </c>
      <c r="B3" s="5" t="s">
        <v>8</v>
      </c>
      <c r="C3" s="17">
        <v>25</v>
      </c>
      <c r="D3" s="10">
        <v>0</v>
      </c>
      <c r="E3" s="7">
        <v>0</v>
      </c>
      <c r="F3" s="7">
        <v>8.64</v>
      </c>
      <c r="G3" s="7" t="e">
        <f t="shared" ref="G3:G10" si="0">F3/D3</f>
        <v>#DIV/0!</v>
      </c>
      <c r="H3" s="12">
        <v>0</v>
      </c>
      <c r="I3" s="9">
        <v>0</v>
      </c>
      <c r="J3" s="9">
        <v>1.84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26</v>
      </c>
      <c r="E4" s="7">
        <v>1858.65</v>
      </c>
      <c r="F4" s="7">
        <v>395.49</v>
      </c>
      <c r="G4" s="7">
        <f t="shared" si="0"/>
        <v>15.211153846153847</v>
      </c>
      <c r="H4" s="11">
        <v>15</v>
      </c>
      <c r="I4" s="9">
        <v>1259.1500000000001</v>
      </c>
      <c r="J4" s="9">
        <v>779.82</v>
      </c>
      <c r="K4" s="9">
        <f t="shared" si="1"/>
        <v>51.988000000000007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42</v>
      </c>
      <c r="E7" s="7">
        <v>2867.65</v>
      </c>
      <c r="F7" s="7">
        <v>874.63</v>
      </c>
      <c r="G7" s="7">
        <f t="shared" si="0"/>
        <v>20.824523809523811</v>
      </c>
      <c r="H7" s="11">
        <v>8</v>
      </c>
      <c r="I7" s="9">
        <v>709.5</v>
      </c>
      <c r="J7" s="9">
        <v>507.61</v>
      </c>
      <c r="K7" s="9">
        <f t="shared" si="1"/>
        <v>63.451250000000002</v>
      </c>
    </row>
    <row r="8" spans="1:11" x14ac:dyDescent="0.25">
      <c r="A8" s="23"/>
      <c r="B8" s="5" t="s">
        <v>13</v>
      </c>
      <c r="C8" s="17">
        <v>35</v>
      </c>
      <c r="D8" s="10">
        <v>90</v>
      </c>
      <c r="E8" s="7">
        <v>5812</v>
      </c>
      <c r="F8" s="7">
        <v>2014.18</v>
      </c>
      <c r="G8" s="7">
        <f t="shared" si="0"/>
        <v>22.379777777777779</v>
      </c>
      <c r="H8" s="12">
        <v>33</v>
      </c>
      <c r="I8" s="9">
        <v>1978</v>
      </c>
      <c r="J8" s="9">
        <v>2210.84</v>
      </c>
      <c r="K8" s="9">
        <f t="shared" si="1"/>
        <v>66.99515151515152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28.7</v>
      </c>
      <c r="G9" s="7" t="e">
        <f t="shared" si="0"/>
        <v>#DIV/0!</v>
      </c>
      <c r="H9" s="11">
        <v>0</v>
      </c>
      <c r="I9" s="9">
        <v>0</v>
      </c>
      <c r="J9" s="9">
        <v>30.74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158</v>
      </c>
      <c r="E11" s="14">
        <f>SUM(E3:E10)</f>
        <v>10538.3</v>
      </c>
      <c r="F11" s="14">
        <f>SUM(F3:F10)</f>
        <v>3321.64</v>
      </c>
      <c r="G11" s="14">
        <f>F11/D11</f>
        <v>21.023037974683543</v>
      </c>
      <c r="H11" s="15">
        <f>SUM(H3:H10)</f>
        <v>56</v>
      </c>
      <c r="I11" s="16">
        <f>SUM(I3:I10)</f>
        <v>3946.65</v>
      </c>
      <c r="J11" s="16">
        <f>SUM(J3:J10)</f>
        <v>3530.85</v>
      </c>
      <c r="K11" s="16">
        <f t="shared" ref="K11" si="2">J11/H11</f>
        <v>63.050892857142856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45760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45766</v>
      </c>
      <c r="B15" s="5" t="s">
        <v>8</v>
      </c>
      <c r="C15" s="17">
        <v>25</v>
      </c>
      <c r="D15" s="10">
        <v>1</v>
      </c>
      <c r="E15" s="7">
        <v>69.95</v>
      </c>
      <c r="F15" s="7">
        <v>23.84</v>
      </c>
      <c r="G15" s="7">
        <f t="shared" ref="G15:G22" si="3">F15/D15</f>
        <v>23.84</v>
      </c>
      <c r="H15" s="12">
        <v>0</v>
      </c>
      <c r="I15" s="9">
        <v>0</v>
      </c>
      <c r="J15" s="9">
        <v>2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30</v>
      </c>
      <c r="E16" s="7">
        <v>2168.25</v>
      </c>
      <c r="F16" s="7">
        <v>487.57</v>
      </c>
      <c r="G16" s="7">
        <f t="shared" si="3"/>
        <v>16.252333333333333</v>
      </c>
      <c r="H16" s="11">
        <v>14</v>
      </c>
      <c r="I16" s="9">
        <v>1119.25</v>
      </c>
      <c r="J16" s="9">
        <v>917.91</v>
      </c>
      <c r="K16" s="9">
        <f t="shared" si="4"/>
        <v>65.564999999999998</v>
      </c>
    </row>
    <row r="17" spans="1:11" x14ac:dyDescent="0.25">
      <c r="A17" s="23"/>
      <c r="B17" s="5" t="s">
        <v>10</v>
      </c>
      <c r="C17" s="17">
        <v>31</v>
      </c>
      <c r="D17" s="10">
        <v>7</v>
      </c>
      <c r="E17" s="7">
        <v>489.48</v>
      </c>
      <c r="F17" s="7">
        <v>50.82</v>
      </c>
      <c r="G17" s="7">
        <f t="shared" si="3"/>
        <v>7.26</v>
      </c>
      <c r="H17" s="11">
        <v>1</v>
      </c>
      <c r="I17" s="9">
        <v>34.950000000000003</v>
      </c>
      <c r="J17" s="9">
        <v>72.22</v>
      </c>
      <c r="K17" s="9">
        <f t="shared" si="4"/>
        <v>72.22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34</v>
      </c>
      <c r="E19" s="7">
        <v>2348.1</v>
      </c>
      <c r="F19" s="7">
        <v>729.81</v>
      </c>
      <c r="G19" s="7">
        <f t="shared" si="3"/>
        <v>21.465</v>
      </c>
      <c r="H19" s="11">
        <v>10</v>
      </c>
      <c r="I19" s="9">
        <v>656.55</v>
      </c>
      <c r="J19" s="9">
        <v>519.99</v>
      </c>
      <c r="K19" s="9">
        <f t="shared" si="4"/>
        <v>51.999000000000002</v>
      </c>
    </row>
    <row r="20" spans="1:11" x14ac:dyDescent="0.25">
      <c r="A20" s="23"/>
      <c r="B20" s="5" t="s">
        <v>13</v>
      </c>
      <c r="C20" s="17">
        <v>35</v>
      </c>
      <c r="D20" s="10">
        <v>114</v>
      </c>
      <c r="E20" s="7">
        <v>7096.95</v>
      </c>
      <c r="F20" s="7">
        <v>2488.86</v>
      </c>
      <c r="G20" s="7">
        <f t="shared" si="3"/>
        <v>21.832105263157896</v>
      </c>
      <c r="H20" s="12">
        <v>22</v>
      </c>
      <c r="I20" s="9">
        <v>1380</v>
      </c>
      <c r="J20" s="9">
        <v>1918.13</v>
      </c>
      <c r="K20" s="9">
        <f t="shared" si="4"/>
        <v>87.187727272727273</v>
      </c>
    </row>
    <row r="21" spans="1:11" x14ac:dyDescent="0.25">
      <c r="A21" s="23"/>
      <c r="B21" s="5" t="s">
        <v>17</v>
      </c>
      <c r="C21" s="17">
        <v>35</v>
      </c>
      <c r="D21" s="6">
        <v>0</v>
      </c>
      <c r="E21" s="27">
        <v>0</v>
      </c>
      <c r="F21" s="28">
        <v>36.93</v>
      </c>
      <c r="G21" s="7" t="e">
        <f t="shared" si="3"/>
        <v>#DIV/0!</v>
      </c>
      <c r="H21" s="11">
        <v>0</v>
      </c>
      <c r="I21" s="9">
        <v>0</v>
      </c>
      <c r="J21" s="9">
        <v>34.51</v>
      </c>
      <c r="K21" s="9" t="e">
        <f t="shared" ref="K21" si="5">J21/H21</f>
        <v>#DIV/0!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186</v>
      </c>
      <c r="E23" s="14">
        <f>SUM(E15:E22)</f>
        <v>12172.73</v>
      </c>
      <c r="F23" s="14">
        <f>SUM(F15:F22)</f>
        <v>3817.83</v>
      </c>
      <c r="G23" s="14">
        <f>F23/D23</f>
        <v>20.525967741935485</v>
      </c>
      <c r="H23" s="15">
        <f>SUM(H15:H22)</f>
        <v>47</v>
      </c>
      <c r="I23" s="16">
        <f>SUM(I15:I22)</f>
        <v>3190.75</v>
      </c>
      <c r="J23" s="16">
        <f>SUM(J15:J22)</f>
        <v>3464.76</v>
      </c>
      <c r="K23" s="16">
        <f t="shared" ref="K23" si="6">J23/H23</f>
        <v>73.718297872340429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>
        <f t="shared" ref="D27:K35" si="7">(D15-D3)/D15</f>
        <v>1</v>
      </c>
      <c r="E27" s="21">
        <f t="shared" si="7"/>
        <v>1</v>
      </c>
      <c r="F27" s="21">
        <f t="shared" si="7"/>
        <v>0.63758389261744963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7.999999999999996E-2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0.13333333333333333</v>
      </c>
      <c r="E28" s="21">
        <f t="shared" si="7"/>
        <v>0.14278796264268415</v>
      </c>
      <c r="F28" s="21">
        <f t="shared" si="7"/>
        <v>0.1888549336505527</v>
      </c>
      <c r="G28" s="21">
        <f t="shared" si="7"/>
        <v>6.4063384981406915E-2</v>
      </c>
      <c r="H28" s="21">
        <f t="shared" si="7"/>
        <v>-7.1428571428571425E-2</v>
      </c>
      <c r="I28" s="21">
        <f t="shared" si="7"/>
        <v>-0.12499441590350689</v>
      </c>
      <c r="J28" s="21">
        <f t="shared" si="7"/>
        <v>0.15043958558028556</v>
      </c>
      <c r="K28" s="21">
        <f t="shared" si="7"/>
        <v>0.2070769465415998</v>
      </c>
    </row>
    <row r="29" spans="1:11" x14ac:dyDescent="0.25">
      <c r="A29" s="23"/>
      <c r="B29" s="5" t="s">
        <v>10</v>
      </c>
      <c r="C29" s="17">
        <v>31</v>
      </c>
      <c r="D29" s="21">
        <f t="shared" si="7"/>
        <v>1</v>
      </c>
      <c r="E29" s="21">
        <f t="shared" si="7"/>
        <v>1</v>
      </c>
      <c r="F29" s="21">
        <f t="shared" si="7"/>
        <v>1</v>
      </c>
      <c r="G29" s="21" t="e">
        <f t="shared" si="7"/>
        <v>#DIV/0!</v>
      </c>
      <c r="H29" s="21">
        <f t="shared" si="7"/>
        <v>1</v>
      </c>
      <c r="I29" s="21">
        <f t="shared" si="7"/>
        <v>1</v>
      </c>
      <c r="J29" s="21">
        <f t="shared" si="7"/>
        <v>1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-0.23529411764705882</v>
      </c>
      <c r="E31" s="21">
        <f t="shared" si="7"/>
        <v>-0.22126400068140206</v>
      </c>
      <c r="F31" s="21">
        <f t="shared" si="7"/>
        <v>-0.19843520916402907</v>
      </c>
      <c r="G31" s="21">
        <f t="shared" si="7"/>
        <v>2.9838164010071701E-2</v>
      </c>
      <c r="H31" s="21">
        <f t="shared" si="7"/>
        <v>0.2</v>
      </c>
      <c r="I31" s="21">
        <f t="shared" si="7"/>
        <v>-8.0648846241718142E-2</v>
      </c>
      <c r="J31" s="21">
        <f t="shared" si="7"/>
        <v>2.3808150156733775E-2</v>
      </c>
      <c r="K31" s="21">
        <f t="shared" si="7"/>
        <v>-0.22023981230408274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0.21052631578947367</v>
      </c>
      <c r="E32" s="21">
        <f t="shared" si="7"/>
        <v>0.18105665109659783</v>
      </c>
      <c r="F32" s="21">
        <f t="shared" si="7"/>
        <v>0.19072185659297833</v>
      </c>
      <c r="G32" s="21">
        <f t="shared" si="7"/>
        <v>-2.5085648315560805E-2</v>
      </c>
      <c r="H32" s="21">
        <f t="shared" si="7"/>
        <v>-0.5</v>
      </c>
      <c r="I32" s="21">
        <f t="shared" si="7"/>
        <v>-0.43333333333333335</v>
      </c>
      <c r="J32" s="21">
        <f t="shared" si="7"/>
        <v>-0.15260175274877094</v>
      </c>
      <c r="K32" s="21">
        <f t="shared" si="7"/>
        <v>0.23159883150081934</v>
      </c>
    </row>
    <row r="33" spans="1:11" x14ac:dyDescent="0.25">
      <c r="A33" s="23"/>
      <c r="B33" s="5" t="s">
        <v>17</v>
      </c>
      <c r="C33" s="17">
        <v>35</v>
      </c>
      <c r="D33" s="21" t="e">
        <f t="shared" si="7"/>
        <v>#DIV/0!</v>
      </c>
      <c r="E33" s="21" t="e">
        <f t="shared" si="7"/>
        <v>#DIV/0!</v>
      </c>
      <c r="F33" s="21">
        <f t="shared" si="7"/>
        <v>0.22285404819929597</v>
      </c>
      <c r="G33" s="21" t="e">
        <f t="shared" si="7"/>
        <v>#DIV/0!</v>
      </c>
      <c r="H33" s="21" t="e">
        <f t="shared" si="7"/>
        <v>#DIV/0!</v>
      </c>
      <c r="I33" s="21" t="e">
        <f t="shared" si="7"/>
        <v>#DIV/0!</v>
      </c>
      <c r="J33" s="21">
        <f t="shared" si="7"/>
        <v>0.1092436974789916</v>
      </c>
      <c r="K33" s="21" t="e">
        <f t="shared" si="7"/>
        <v>#DIV/0!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0.15053763440860216</v>
      </c>
      <c r="E35" s="22">
        <f t="shared" si="7"/>
        <v>0.13426979814716997</v>
      </c>
      <c r="F35" s="22">
        <f t="shared" si="7"/>
        <v>0.12996649929410165</v>
      </c>
      <c r="G35" s="22">
        <f t="shared" si="7"/>
        <v>-2.4216652729728352E-2</v>
      </c>
      <c r="H35" s="22">
        <f t="shared" si="7"/>
        <v>-0.19148936170212766</v>
      </c>
      <c r="I35" s="22">
        <f t="shared" si="7"/>
        <v>-0.23690354932225968</v>
      </c>
      <c r="J35" s="22">
        <f t="shared" si="7"/>
        <v>-1.9074914279776863E-2</v>
      </c>
      <c r="K35" s="22">
        <f t="shared" si="7"/>
        <v>0.14470498265804441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2025-04-21T12:01:36Z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