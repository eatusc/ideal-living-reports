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BB8CE75-EFFB-408A-B98F-40F4EFE163D3}" xr6:coauthVersionLast="47" xr6:coauthVersionMax="47" xr10:uidLastSave="{00000000-0000-0000-0000-000000000000}"/>
  <bookViews>
    <workbookView xWindow="2340" yWindow="2340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<sst xmlns="http://schemas.openxmlformats.org/spreadsheetml/2006/main" count="66" uniqueCount="20">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</sst>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4" workbookViewId="0">
      <selection activeCell="K10" sqref="K10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45907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45913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2038.35</v>
      </c>
      <c r="F4" s="7">
        <v>524.35</v>
      </c>
      <c r="G4" s="7">
        <f t="shared" si="0"/>
        <v>17.478333333333335</v>
      </c>
      <c r="H4" s="11">
        <v>10</v>
      </c>
      <c r="I4" s="9">
        <v>639.5</v>
      </c>
      <c r="J4" s="9">
        <v>650.67999999999995</v>
      </c>
      <c r="K4" s="9">
        <f t="shared" si="1"/>
        <v>65.067999999999998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26</v>
      </c>
      <c r="E7" s="27">
        <v>1773.6</v>
      </c>
      <c r="F7" s="27">
        <v>534.23</v>
      </c>
      <c r="G7" s="7">
        <f t="shared" si="0"/>
        <v>20.547307692307694</v>
      </c>
      <c r="H7" s="11">
        <v>11</v>
      </c>
      <c r="I7" s="9">
        <v>684.5</v>
      </c>
      <c r="J7" s="9">
        <v>586.11</v>
      </c>
      <c r="K7" s="9">
        <f t="shared" si="1"/>
        <v>53.282727272727271</v>
      </c>
    </row>
    <row r="8" spans="1:11" x14ac:dyDescent="0.25">
      <c r="A8" s="23"/>
      <c r="B8" s="5" t="s">
        <v>13</v>
      </c>
      <c r="C8" s="17">
        <v>35</v>
      </c>
      <c r="D8" s="10">
        <v>141</v>
      </c>
      <c r="E8" s="7">
        <v>9280</v>
      </c>
      <c r="F8" s="7">
        <v>2624.21</v>
      </c>
      <c r="G8" s="7">
        <f t="shared" si="0"/>
        <v>18.611418439716314</v>
      </c>
      <c r="H8" s="12">
        <v>24</v>
      </c>
      <c r="I8" s="9">
        <v>1416</v>
      </c>
      <c r="J8" s="9">
        <v>1320.62</v>
      </c>
      <c r="K8" s="9">
        <f t="shared" si="1"/>
        <v>55.025833333333331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11.7</v>
      </c>
      <c r="G11" s="7" t="e">
        <f t="shared" si="0"/>
        <v>#DIV/0!</v>
      </c>
      <c r="H11" s="11">
        <v>1</v>
      </c>
      <c r="I11" s="9">
        <v>45.02</v>
      </c>
      <c r="J11" s="9">
        <v>98.61</v>
      </c>
      <c r="K11" s="9">
        <f t="shared" si="1"/>
        <v>98.61</v>
      </c>
    </row>
    <row r="12" spans="1:11" x14ac:dyDescent="0.25">
      <c r="A12" s="23"/>
      <c r="B12" s="5" t="s">
        <v>14</v>
      </c>
      <c r="C12" s="5"/>
      <c r="D12" s="13">
        <f>SUM(D3:D11)</f>
        <v>197</v>
      </c>
      <c r="E12" s="14">
        <f>SUM(E3:E11)</f>
        <v>13091.95</v>
      </c>
      <c r="F12" s="14">
        <f>SUM(F3:F11)</f>
        <v>3694.49</v>
      </c>
      <c r="G12" s="14">
        <f>F12/D12</f>
        <v>18.753756345177663</v>
      </c>
      <c r="H12" s="15">
        <f>SUM(H3:H11)</f>
        <v>46</v>
      </c>
      <c r="I12" s="16">
        <f>SUM(I3:I11)</f>
        <v>2785.02</v>
      </c>
      <c r="J12" s="16">
        <f>SUM(J3:J11)</f>
        <v>2656.02</v>
      </c>
      <c r="K12" s="16">
        <f t="shared" ref="K12" si="2">J12/H12</f>
        <v>57.739565217391302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45914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45920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27</v>
      </c>
      <c r="E17" s="7">
        <v>1798.55</v>
      </c>
      <c r="F17" s="7">
        <v>639.97</v>
      </c>
      <c r="G17" s="7">
        <f t="shared" si="3"/>
        <v>23.702592592592595</v>
      </c>
      <c r="H17" s="11">
        <v>16</v>
      </c>
      <c r="I17" s="9">
        <v>1059.2</v>
      </c>
      <c r="J17" s="9">
        <v>668.23</v>
      </c>
      <c r="K17" s="9">
        <f t="shared" si="4"/>
        <v>41.764375000000001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26</v>
      </c>
      <c r="E20" s="27">
        <v>1933.45</v>
      </c>
      <c r="F20" s="27">
        <v>473.77</v>
      </c>
      <c r="G20" s="7">
        <f t="shared" si="3"/>
        <v>18.221923076923076</v>
      </c>
      <c r="H20" s="11">
        <v>3</v>
      </c>
      <c r="I20" s="9">
        <v>179.85</v>
      </c>
      <c r="J20" s="9">
        <v>510.27</v>
      </c>
      <c r="K20" s="9">
        <f t="shared" si="4"/>
        <v>170.09</v>
      </c>
    </row>
    <row r="21" spans="1:11" x14ac:dyDescent="0.25">
      <c r="A21" s="23"/>
      <c r="B21" s="5" t="s">
        <v>13</v>
      </c>
      <c r="C21" s="17">
        <v>35</v>
      </c>
      <c r="D21" s="10">
        <v>127</v>
      </c>
      <c r="E21" s="7">
        <v>8288</v>
      </c>
      <c r="F21" s="7">
        <v>2658.9</v>
      </c>
      <c r="G21" s="7">
        <f t="shared" si="3"/>
        <v>20.936220472440947</v>
      </c>
      <c r="H21" s="12">
        <v>26</v>
      </c>
      <c r="I21" s="9">
        <v>1605</v>
      </c>
      <c r="J21" s="9">
        <v>1364.68</v>
      </c>
      <c r="K21" s="9">
        <f t="shared" si="4"/>
        <v>52.487692307692313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3</v>
      </c>
      <c r="E24" s="7">
        <v>166</v>
      </c>
      <c r="F24" s="7">
        <v>15.23</v>
      </c>
      <c r="G24" s="7">
        <f t="shared" si="3"/>
        <v>5.0766666666666671</v>
      </c>
      <c r="H24" s="11">
        <v>1</v>
      </c>
      <c r="I24" s="9">
        <v>96</v>
      </c>
      <c r="J24" s="9">
        <v>112.29</v>
      </c>
      <c r="K24" s="9">
        <f t="shared" si="4"/>
        <v>112.29</v>
      </c>
    </row>
    <row r="25" spans="1:11" x14ac:dyDescent="0.25">
      <c r="A25" s="23"/>
      <c r="B25" s="5" t="s">
        <v>14</v>
      </c>
      <c r="C25" s="5"/>
      <c r="D25" s="13">
        <f>SUM(D16:D24)</f>
        <v>183</v>
      </c>
      <c r="E25" s="14">
        <f>SUM(E16:E24)</f>
        <v>12186</v>
      </c>
      <c r="F25" s="14">
        <f>SUM(F16:F24)</f>
        <v>3787.8700000000003</v>
      </c>
      <c r="G25" s="14">
        <f>F25/D25</f>
        <v>20.698743169398909</v>
      </c>
      <c r="H25" s="15">
        <f>SUM(H16:H24)</f>
        <v>46</v>
      </c>
      <c r="I25" s="16">
        <f>SUM(I16:I24)</f>
        <v>2940.05</v>
      </c>
      <c r="J25" s="16">
        <f>SUM(J16:J24)</f>
        <v>2655.4700000000003</v>
      </c>
      <c r="K25" s="16">
        <f t="shared" ref="K25" si="7">J25/H25</f>
        <v>57.727608695652179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-0.1111111111111111</v>
      </c>
      <c r="E30" s="21">
        <f t="shared" si="8"/>
        <v>-0.13332962664368517</v>
      </c>
      <c r="F30" s="21">
        <f t="shared" si="8"/>
        <v>0.18066471865868713</v>
      </c>
      <c r="G30" s="21">
        <f t="shared" si="8"/>
        <v>0.2625982467928184</v>
      </c>
      <c r="H30" s="21">
        <f t="shared" si="8"/>
        <v>0.375</v>
      </c>
      <c r="I30" s="21">
        <f t="shared" si="8"/>
        <v>0.39624244712990941</v>
      </c>
      <c r="J30" s="21">
        <f>(J17-J4)/J17</f>
        <v>2.6263412298160916E-2</v>
      </c>
      <c r="K30" s="21">
        <f t="shared" si="8"/>
        <v>-0.55797854032294258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</v>
      </c>
      <c r="E33" s="21">
        <f t="shared" si="8"/>
        <v>8.2676045411052848E-2</v>
      </c>
      <c r="F33" s="21">
        <f t="shared" si="8"/>
        <v>-0.12761466534394333</v>
      </c>
      <c r="G33" s="21">
        <f t="shared" si="8"/>
        <v>-0.12761466534394339</v>
      </c>
      <c r="H33" s="21">
        <f t="shared" si="8"/>
        <v>-2.6666666666666665</v>
      </c>
      <c r="I33" s="21">
        <f t="shared" si="8"/>
        <v>-2.8059494022796776</v>
      </c>
      <c r="J33" s="21">
        <f t="shared" si="8"/>
        <v>-0.14862719736610036</v>
      </c>
      <c r="K33" s="21">
        <f t="shared" si="8"/>
        <v>0.68673803708197267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-0.11023622047244094</v>
      </c>
      <c r="E34" s="21">
        <f t="shared" si="8"/>
        <v>-0.11969111969111969</v>
      </c>
      <c r="F34" s="21">
        <f t="shared" si="8"/>
        <v>1.3046748655459045E-2</v>
      </c>
      <c r="G34" s="21">
        <f t="shared" si="8"/>
        <v>0.11104210694498795</v>
      </c>
      <c r="H34" s="21">
        <f t="shared" si="8"/>
        <v>7.6923076923076927E-2</v>
      </c>
      <c r="I34" s="21">
        <f t="shared" si="8"/>
        <v>0.11775700934579439</v>
      </c>
      <c r="J34" s="21">
        <f t="shared" si="8"/>
        <v>3.2285957147463268E-2</v>
      </c>
      <c r="K34" s="21">
        <f t="shared" si="8"/>
        <v>-4.8356879756914772E-2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1</v>
      </c>
      <c r="E37" s="21">
        <f t="shared" si="9"/>
        <v>1</v>
      </c>
      <c r="F37" s="21">
        <f t="shared" si="9"/>
        <v>0.23177938279711102</v>
      </c>
      <c r="G37" s="21" t="e">
        <f t="shared" si="9"/>
        <v>#DIV/0!</v>
      </c>
      <c r="H37" s="21">
        <f t="shared" si="9"/>
        <v>0</v>
      </c>
      <c r="I37" s="21">
        <f t="shared" si="9"/>
        <v>0.53104166666666663</v>
      </c>
      <c r="J37" s="21">
        <f t="shared" si="9"/>
        <v>0.12182741116751275</v>
      </c>
      <c r="K37" s="21">
        <f t="shared" si="9"/>
        <v>0.12182741116751275</v>
      </c>
    </row>
    <row r="38" spans="1:11" x14ac:dyDescent="0.25">
      <c r="A38" s="23"/>
      <c r="B38" s="5" t="s">
        <v>14</v>
      </c>
      <c r="C38" s="5"/>
      <c r="D38" s="22">
        <f t="shared" si="9"/>
        <v>-7.650273224043716E-2</v>
      </c>
      <c r="E38" s="22">
        <f t="shared" si="9"/>
        <v>-7.4343508944690689E-2</v>
      </c>
      <c r="F38" s="22">
        <f t="shared" si="9"/>
        <v>2.4652377193515235E-2</v>
      </c>
      <c r="G38" s="22">
        <f t="shared" si="9"/>
        <v>9.3966421453874599E-2</v>
      </c>
      <c r="H38" s="22">
        <f t="shared" si="9"/>
        <v>0</v>
      </c>
      <c r="I38" s="22">
        <f t="shared" si="9"/>
        <v>5.2730395741569083E-2</v>
      </c>
      <c r="J38" s="22">
        <f t="shared" si="9"/>
        <v>-2.0711964360347777E-4</v>
      </c>
      <c r="K38" s="22">
        <f t="shared" si="9"/>
        <v>-2.0711964360344565E-4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2025-09-22T13:36:33Z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