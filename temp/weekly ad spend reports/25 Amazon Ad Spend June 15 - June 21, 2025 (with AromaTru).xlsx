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3C0FC88-380F-45AE-98FA-509A9828DE5F}" xr6:coauthVersionLast="47" xr6:coauthVersionMax="47" xr10:uidLastSave="{00000000-0000-0000-0000-000000000000}"/>
  <bookViews>
    <workbookView xWindow="2430" yWindow="1980" windowWidth="2464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<sst xmlns="http://schemas.openxmlformats.org/spreadsheetml/2006/main" count="66" uniqueCount="20">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</sst>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topLeftCell="A7" workbookViewId="0">
      <selection activeCell="H24" sqref="H24:J24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45816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45822</v>
      </c>
      <c r="B3" s="5" t="s">
        <v>8</v>
      </c>
      <c r="C3" s="17">
        <v>25</v>
      </c>
      <c r="D3" s="10">
        <v>0</v>
      </c>
      <c r="E3" s="7">
        <v>0</v>
      </c>
      <c r="F3" s="7">
        <v>0.47</v>
      </c>
      <c r="G3" s="7" t="e">
        <f t="shared" ref="G3:G11" si="0">F3/D3</f>
        <v>#DIV/0!</v>
      </c>
      <c r="H3" s="12">
        <v>0</v>
      </c>
      <c r="I3" s="9">
        <v>0</v>
      </c>
      <c r="J3" s="9">
        <v>1.84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31</v>
      </c>
      <c r="E4" s="7">
        <v>2318.4</v>
      </c>
      <c r="F4" s="7">
        <v>340.48</v>
      </c>
      <c r="G4" s="7">
        <f t="shared" si="0"/>
        <v>10.983225806451614</v>
      </c>
      <c r="H4" s="11">
        <v>15</v>
      </c>
      <c r="I4" s="9">
        <v>1149.2</v>
      </c>
      <c r="J4" s="9">
        <v>852.2</v>
      </c>
      <c r="K4" s="9">
        <f t="shared" si="1"/>
        <v>56.81333333333334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12</v>
      </c>
      <c r="I5" s="9">
        <v>454.35</v>
      </c>
      <c r="J5" s="9">
        <v>173.77</v>
      </c>
      <c r="K5" s="9">
        <f t="shared" si="1"/>
        <v>14.480833333333335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51</v>
      </c>
      <c r="E7" s="27">
        <v>3619.2</v>
      </c>
      <c r="F7" s="27">
        <v>1057.2</v>
      </c>
      <c r="G7" s="7">
        <f t="shared" si="0"/>
        <v>20.729411764705883</v>
      </c>
      <c r="H7" s="11">
        <v>5</v>
      </c>
      <c r="I7" s="9">
        <v>309.75</v>
      </c>
      <c r="J7" s="9">
        <v>596.76</v>
      </c>
      <c r="K7" s="9">
        <f t="shared" si="1"/>
        <v>119.352</v>
      </c>
    </row>
    <row r="8" spans="1:11" x14ac:dyDescent="0.25">
      <c r="A8" s="23"/>
      <c r="B8" s="5" t="s">
        <v>13</v>
      </c>
      <c r="C8" s="17">
        <v>35</v>
      </c>
      <c r="D8" s="10">
        <v>116</v>
      </c>
      <c r="E8" s="7">
        <v>7568.7</v>
      </c>
      <c r="F8" s="7">
        <v>2416.3200000000002</v>
      </c>
      <c r="G8" s="7">
        <f t="shared" si="0"/>
        <v>20.83034482758621</v>
      </c>
      <c r="H8" s="12">
        <v>27</v>
      </c>
      <c r="I8" s="9">
        <v>1763</v>
      </c>
      <c r="J8" s="9">
        <v>998.48</v>
      </c>
      <c r="K8" s="9">
        <f t="shared" si="1"/>
        <v>36.980740740740742</v>
      </c>
    </row>
    <row r="9" spans="1:11" x14ac:dyDescent="0.25">
      <c r="A9" s="23"/>
      <c r="B9" s="5" t="s">
        <v>17</v>
      </c>
      <c r="C9" s="17">
        <v>35</v>
      </c>
      <c r="D9" s="6">
        <v>2</v>
      </c>
      <c r="E9" s="27">
        <v>72</v>
      </c>
      <c r="F9" s="28">
        <v>14.44</v>
      </c>
      <c r="G9" s="7">
        <f t="shared" si="0"/>
        <v>7.22</v>
      </c>
      <c r="H9" s="11">
        <v>2</v>
      </c>
      <c r="I9" s="9">
        <v>72</v>
      </c>
      <c r="J9" s="9">
        <v>58.5</v>
      </c>
      <c r="K9" s="9">
        <f t="shared" si="1"/>
        <v>29.25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0</v>
      </c>
      <c r="E11" s="7">
        <v>0</v>
      </c>
      <c r="F11" s="7">
        <v>19.2</v>
      </c>
      <c r="G11" s="7" t="e">
        <f t="shared" si="0"/>
        <v>#DIV/0!</v>
      </c>
      <c r="H11" s="11">
        <v>2</v>
      </c>
      <c r="I11" s="9">
        <v>28</v>
      </c>
      <c r="J11" s="9">
        <v>192.93</v>
      </c>
      <c r="K11" s="9">
        <f t="shared" si="1"/>
        <v>96.465000000000003</v>
      </c>
    </row>
    <row r="12" spans="1:11" x14ac:dyDescent="0.25">
      <c r="A12" s="23"/>
      <c r="B12" s="5" t="s">
        <v>14</v>
      </c>
      <c r="C12" s="5"/>
      <c r="D12" s="13">
        <f>SUM(D3:D11)</f>
        <v>200</v>
      </c>
      <c r="E12" s="14">
        <f>SUM(E3:E11)</f>
        <v>13578.3</v>
      </c>
      <c r="F12" s="14">
        <f>SUM(F3:F11)</f>
        <v>3848.11</v>
      </c>
      <c r="G12" s="14">
        <f>F12/D12</f>
        <v>19.240549999999999</v>
      </c>
      <c r="H12" s="15">
        <f>SUM(H3:H11)</f>
        <v>63</v>
      </c>
      <c r="I12" s="16">
        <f>SUM(I3:I11)</f>
        <v>3776.3</v>
      </c>
      <c r="J12" s="16">
        <f>SUM(J3:J11)</f>
        <v>2874.48</v>
      </c>
      <c r="K12" s="16">
        <f t="shared" ref="K12" si="2">J12/H12</f>
        <v>45.626666666666665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45823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45829</v>
      </c>
      <c r="B16" s="5" t="s">
        <v>8</v>
      </c>
      <c r="C16" s="17">
        <v>25</v>
      </c>
      <c r="D16" s="10">
        <v>0</v>
      </c>
      <c r="E16" s="7">
        <v>0</v>
      </c>
      <c r="F16" s="7">
        <v>2.52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27</v>
      </c>
      <c r="E17" s="7">
        <v>1788.6</v>
      </c>
      <c r="F17" s="7">
        <v>443.89</v>
      </c>
      <c r="G17" s="7">
        <f t="shared" si="3"/>
        <v>16.440370370370371</v>
      </c>
      <c r="H17" s="11">
        <v>10</v>
      </c>
      <c r="I17" s="9">
        <v>649.5</v>
      </c>
      <c r="J17" s="9">
        <v>685.12</v>
      </c>
      <c r="K17" s="9">
        <f t="shared" si="4"/>
        <v>68.512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7</v>
      </c>
      <c r="I18" s="9">
        <v>629.1</v>
      </c>
      <c r="J18" s="9">
        <v>116.44</v>
      </c>
      <c r="K18" s="9">
        <f t="shared" si="4"/>
        <v>16.634285714285713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43</v>
      </c>
      <c r="E20" s="27">
        <v>3257.35</v>
      </c>
      <c r="F20" s="27">
        <v>733.49</v>
      </c>
      <c r="G20" s="7">
        <f t="shared" si="3"/>
        <v>17.057906976744185</v>
      </c>
      <c r="H20" s="11">
        <v>9</v>
      </c>
      <c r="I20" s="9">
        <v>686.5</v>
      </c>
      <c r="J20" s="9">
        <v>632.37</v>
      </c>
      <c r="K20" s="9">
        <f t="shared" si="4"/>
        <v>70.263333333333335</v>
      </c>
    </row>
    <row r="21" spans="1:11" x14ac:dyDescent="0.25">
      <c r="A21" s="23"/>
      <c r="B21" s="5" t="s">
        <v>13</v>
      </c>
      <c r="C21" s="17">
        <v>35</v>
      </c>
      <c r="D21" s="10">
        <v>126</v>
      </c>
      <c r="E21" s="7">
        <v>9104.2000000000007</v>
      </c>
      <c r="F21" s="7">
        <v>2788.6099999999997</v>
      </c>
      <c r="G21" s="7">
        <f t="shared" si="3"/>
        <v>22.131825396825395</v>
      </c>
      <c r="H21" s="12">
        <v>19</v>
      </c>
      <c r="I21" s="9">
        <v>1177</v>
      </c>
      <c r="J21" s="9">
        <v>1156.3599999999999</v>
      </c>
      <c r="K21" s="9">
        <f t="shared" si="4"/>
        <v>60.861052631578943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3.53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1</v>
      </c>
      <c r="E24" s="7">
        <v>14</v>
      </c>
      <c r="F24" s="7">
        <v>38.1</v>
      </c>
      <c r="G24" s="7">
        <f t="shared" si="3"/>
        <v>38.1</v>
      </c>
      <c r="H24" s="11">
        <v>8</v>
      </c>
      <c r="I24" s="9">
        <v>112</v>
      </c>
      <c r="J24" s="9">
        <v>441.07</v>
      </c>
      <c r="K24" s="9">
        <f t="shared" si="4"/>
        <v>55.133749999999999</v>
      </c>
    </row>
    <row r="25" spans="1:11" x14ac:dyDescent="0.25">
      <c r="A25" s="23"/>
      <c r="B25" s="5" t="s">
        <v>14</v>
      </c>
      <c r="C25" s="5"/>
      <c r="D25" s="13">
        <f>SUM(D16:D24)</f>
        <v>197</v>
      </c>
      <c r="E25" s="14">
        <f>SUM(E16:E24)</f>
        <v>14164.150000000001</v>
      </c>
      <c r="F25" s="14">
        <f>SUM(F16:F24)</f>
        <v>4006.6099999999997</v>
      </c>
      <c r="G25" s="14">
        <f>F25/D25</f>
        <v>20.338121827411165</v>
      </c>
      <c r="H25" s="15">
        <f>SUM(H16:H24)</f>
        <v>53</v>
      </c>
      <c r="I25" s="16">
        <f>SUM(I16:I24)</f>
        <v>3254.1</v>
      </c>
      <c r="J25" s="16">
        <f>SUM(J16:J24)</f>
        <v>3034.8900000000003</v>
      </c>
      <c r="K25" s="16">
        <f t="shared" ref="K25" si="7">J25/H25</f>
        <v>57.262075471698118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>
        <f t="shared" si="8"/>
        <v>0.81349206349206338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-0.14814814814814814</v>
      </c>
      <c r="E30" s="21">
        <f t="shared" si="8"/>
        <v>-0.29620932572962105</v>
      </c>
      <c r="F30" s="21">
        <f t="shared" si="8"/>
        <v>0.23296312149406379</v>
      </c>
      <c r="G30" s="21">
        <f t="shared" si="8"/>
        <v>0.33193562194644266</v>
      </c>
      <c r="H30" s="21">
        <f t="shared" si="8"/>
        <v>-0.5</v>
      </c>
      <c r="I30" s="21">
        <f t="shared" si="8"/>
        <v>-0.76936104695919949</v>
      </c>
      <c r="J30" s="21">
        <f>(J17-J4)/J17</f>
        <v>-0.24386968706212056</v>
      </c>
      <c r="K30" s="21">
        <f t="shared" si="8"/>
        <v>0.17075354195858625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>
        <f t="shared" si="8"/>
        <v>-0.7142857142857143</v>
      </c>
      <c r="I31" s="21">
        <f t="shared" si="8"/>
        <v>0.27777777777777779</v>
      </c>
      <c r="J31" s="21">
        <f t="shared" si="8"/>
        <v>-0.49235657849536252</v>
      </c>
      <c r="K31" s="21">
        <f t="shared" si="8"/>
        <v>0.1294586625443718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-0.18604651162790697</v>
      </c>
      <c r="E33" s="21">
        <f t="shared" si="8"/>
        <v>-0.11108723348734398</v>
      </c>
      <c r="F33" s="21">
        <f t="shared" si="8"/>
        <v>-0.44132844346889533</v>
      </c>
      <c r="G33" s="21">
        <f t="shared" si="8"/>
        <v>-0.21523770723848046</v>
      </c>
      <c r="H33" s="21">
        <f t="shared" si="8"/>
        <v>0.44444444444444442</v>
      </c>
      <c r="I33" s="21">
        <f t="shared" si="8"/>
        <v>0.54879825200291332</v>
      </c>
      <c r="J33" s="21">
        <f t="shared" si="8"/>
        <v>5.6311969258503743E-2</v>
      </c>
      <c r="K33" s="21">
        <f t="shared" si="8"/>
        <v>-0.69863845533469326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7.9365079365079361E-2</v>
      </c>
      <c r="E34" s="21">
        <f t="shared" si="8"/>
        <v>0.16865842138793094</v>
      </c>
      <c r="F34" s="21">
        <f t="shared" si="8"/>
        <v>0.13350378862587439</v>
      </c>
      <c r="G34" s="21">
        <f t="shared" si="8"/>
        <v>5.8805839369484213E-2</v>
      </c>
      <c r="H34" s="21">
        <f t="shared" si="8"/>
        <v>-0.42105263157894735</v>
      </c>
      <c r="I34" s="21">
        <f t="shared" si="8"/>
        <v>-0.49787595581988103</v>
      </c>
      <c r="J34" s="21">
        <f t="shared" si="8"/>
        <v>0.13653187588640206</v>
      </c>
      <c r="K34" s="21">
        <f t="shared" si="8"/>
        <v>0.39237428303117183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>
        <f t="shared" si="8"/>
        <v>-15.572237960339944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 t="e">
        <f t="shared" ref="D36:K38" si="9">(D23-D10)/D23</f>
        <v>#DIV/0!</v>
      </c>
      <c r="E36" s="21" t="e">
        <f t="shared" si="9"/>
        <v>#DIV/0!</v>
      </c>
      <c r="F36" s="21" t="e">
        <f t="shared" si="9"/>
        <v>#DIV/0!</v>
      </c>
      <c r="G36" s="21" t="e">
        <f t="shared" si="9"/>
        <v>#DIV/0!</v>
      </c>
      <c r="H36" s="21" t="e">
        <f t="shared" si="9"/>
        <v>#DIV/0!</v>
      </c>
      <c r="I36" s="21" t="e">
        <f t="shared" si="9"/>
        <v>#DIV/0!</v>
      </c>
      <c r="J36" s="21" t="e">
        <f t="shared" si="9"/>
        <v>#DIV/0!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>
        <f t="shared" si="9"/>
        <v>1</v>
      </c>
      <c r="E37" s="21">
        <f t="shared" si="9"/>
        <v>1</v>
      </c>
      <c r="F37" s="21">
        <f t="shared" si="9"/>
        <v>0.49606299212598431</v>
      </c>
      <c r="G37" s="21" t="e">
        <f t="shared" si="9"/>
        <v>#DIV/0!</v>
      </c>
      <c r="H37" s="21">
        <f t="shared" si="9"/>
        <v>0.75</v>
      </c>
      <c r="I37" s="21">
        <f t="shared" si="9"/>
        <v>0.75</v>
      </c>
      <c r="J37" s="21">
        <f t="shared" si="9"/>
        <v>0.56258643752692317</v>
      </c>
      <c r="K37" s="21">
        <f t="shared" si="9"/>
        <v>-0.74965424989230744</v>
      </c>
    </row>
    <row r="38" spans="1:11" x14ac:dyDescent="0.25">
      <c r="A38" s="23"/>
      <c r="B38" s="5" t="s">
        <v>14</v>
      </c>
      <c r="C38" s="5"/>
      <c r="D38" s="22">
        <f t="shared" si="9"/>
        <v>-1.5228426395939087E-2</v>
      </c>
      <c r="E38" s="22">
        <f t="shared" si="9"/>
        <v>4.1361465389734092E-2</v>
      </c>
      <c r="F38" s="22">
        <f t="shared" si="9"/>
        <v>3.9559627715200524E-2</v>
      </c>
      <c r="G38" s="22">
        <f t="shared" si="9"/>
        <v>5.3966233299472539E-2</v>
      </c>
      <c r="H38" s="22">
        <f t="shared" si="9"/>
        <v>-0.18867924528301888</v>
      </c>
      <c r="I38" s="22">
        <f t="shared" si="9"/>
        <v>-0.16047447835038883</v>
      </c>
      <c r="J38" s="22">
        <f t="shared" si="9"/>
        <v>5.2855292943072167E-2</v>
      </c>
      <c r="K38" s="22">
        <f t="shared" si="9"/>
        <v>0.20319572263464802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2025-06-23T12:09:35Z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