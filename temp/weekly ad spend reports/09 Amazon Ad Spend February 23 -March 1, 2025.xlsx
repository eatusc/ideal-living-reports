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F9F8707-545C-4595-91FC-853AFAF36435}" xr6:coauthVersionLast="47" xr6:coauthVersionMax="47" xr10:uidLastSave="{00000000-0000-0000-0000-000000000000}"/>
  <bookViews>
    <workbookView xWindow="1080" yWindow="1170" windowWidth="2772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J11" i="2" l="1"/>
  <c r="K11" i="2" s="1"/>
  <c r="I11" i="2"/>
  <c r="H11" i="2"/>
  <c r="F11" i="2"/>
  <c r="E11" i="2"/>
  <c r="D11" i="2"/>
  <c r="G22" i="2"/>
  <c r="G21" i="2"/>
  <c r="G20" i="2"/>
  <c r="G19" i="2"/>
  <c r="G17" i="2"/>
  <c r="G16" i="2"/>
  <c r="G15" i="2"/>
  <c r="G11" i="2" l="1"/>
  <c r="G18" i="2"/>
  <c r="K18" i="2" l="1"/>
  <c r="J33" i="2" l="1"/>
  <c r="I33" i="2"/>
  <c r="H33" i="2"/>
  <c r="F33" i="2"/>
  <c r="E33" i="2"/>
  <c r="D33" i="2"/>
  <c r="K21" i="2"/>
  <c r="K33" i="2" s="1"/>
  <c r="G33" i="2"/>
  <c r="K22" i="2" l="1"/>
  <c r="K20" i="2"/>
  <c r="K19" i="2"/>
  <c r="K17" i="2"/>
  <c r="K16" i="2"/>
  <c r="K15" i="2"/>
  <c r="J32" i="2" l="1"/>
  <c r="I32" i="2"/>
  <c r="H32" i="2"/>
  <c r="F32" i="2"/>
  <c r="E32" i="2"/>
  <c r="D32" i="2"/>
  <c r="K32" i="2" l="1"/>
  <c r="G32" i="2"/>
  <c r="H23" i="2" l="1"/>
  <c r="J34" i="2" l="1"/>
  <c r="I34" i="2"/>
  <c r="H34" i="2"/>
  <c r="F34" i="2"/>
  <c r="E34" i="2"/>
  <c r="D34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8" i="2"/>
  <c r="I28" i="2"/>
  <c r="H28" i="2"/>
  <c r="F28" i="2"/>
  <c r="E28" i="2"/>
  <c r="D28" i="2"/>
  <c r="J27" i="2"/>
  <c r="I27" i="2"/>
  <c r="H27" i="2"/>
  <c r="F27" i="2"/>
  <c r="E27" i="2"/>
  <c r="D27" i="2"/>
  <c r="J23" i="2"/>
  <c r="I23" i="2"/>
  <c r="H35" i="2"/>
  <c r="F23" i="2"/>
  <c r="E23" i="2"/>
  <c r="D23" i="2"/>
  <c r="G29" i="2"/>
  <c r="G27" i="2"/>
  <c r="E35" i="2" l="1"/>
  <c r="D35" i="2"/>
  <c r="G34" i="2"/>
  <c r="G28" i="2"/>
  <c r="K27" i="2"/>
  <c r="G31" i="2"/>
  <c r="K31" i="2"/>
  <c r="K28" i="2"/>
  <c r="K34" i="2"/>
  <c r="G23" i="2"/>
  <c r="I35" i="2"/>
  <c r="K29" i="2"/>
  <c r="J35" i="2"/>
  <c r="G30" i="2"/>
  <c r="K30" i="2"/>
  <c r="K23" i="2"/>
  <c r="F35" i="2"/>
  <c r="K35" i="2" l="1"/>
  <c r="G35" i="2"/>
</calcChain>
</file>

<file path=xl/sharedStrings.xml><?xml version="1.0" encoding="utf-8"?>
<sst xmlns="http://schemas.openxmlformats.org/spreadsheetml/2006/main" count="63" uniqueCount="19">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</sst>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5"/>
  <sheetViews>
    <sheetView tabSelected="1" workbookViewId="0">
      <selection activeCell="H22" sqref="H22:J22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45704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45710</v>
      </c>
      <c r="B3" s="5" t="s">
        <v>8</v>
      </c>
      <c r="C3" s="17">
        <v>25</v>
      </c>
      <c r="D3" s="10">
        <v>1</v>
      </c>
      <c r="E3" s="7">
        <v>69.95</v>
      </c>
      <c r="F3" s="7">
        <v>29.81</v>
      </c>
      <c r="G3" s="7">
        <f t="shared" ref="G3:G10" si="0">F3/D3</f>
        <v>29.81</v>
      </c>
      <c r="H3" s="12">
        <v>0</v>
      </c>
      <c r="I3" s="9">
        <v>0</v>
      </c>
      <c r="J3" s="9">
        <v>1.61</v>
      </c>
      <c r="K3" s="9" t="e">
        <f t="shared" ref="K3:K10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34</v>
      </c>
      <c r="E4" s="7">
        <v>2338.1999999999998</v>
      </c>
      <c r="F4" s="7">
        <v>545.66</v>
      </c>
      <c r="G4" s="7">
        <f t="shared" si="0"/>
        <v>16.048823529411763</v>
      </c>
      <c r="H4" s="11">
        <v>25</v>
      </c>
      <c r="I4" s="9">
        <v>1788.7</v>
      </c>
      <c r="J4" s="9">
        <v>1517.07</v>
      </c>
      <c r="K4" s="9">
        <f t="shared" si="1"/>
        <v>60.6828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34.729999999999997</v>
      </c>
      <c r="G5" s="7" t="e">
        <f t="shared" si="0"/>
        <v>#DIV/0!</v>
      </c>
      <c r="H5" s="11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10">
        <v>36</v>
      </c>
      <c r="E7" s="7">
        <v>2384.1</v>
      </c>
      <c r="F7" s="7">
        <v>799.49</v>
      </c>
      <c r="G7" s="7">
        <f t="shared" si="0"/>
        <v>22.208055555555557</v>
      </c>
      <c r="H7" s="11">
        <v>16</v>
      </c>
      <c r="I7" s="9">
        <v>1150.23</v>
      </c>
      <c r="J7" s="9">
        <v>1019.43</v>
      </c>
      <c r="K7" s="9">
        <f t="shared" si="1"/>
        <v>63.714374999999997</v>
      </c>
    </row>
    <row r="8" spans="1:11" x14ac:dyDescent="0.25">
      <c r="A8" s="23"/>
      <c r="B8" s="5" t="s">
        <v>13</v>
      </c>
      <c r="C8" s="17">
        <v>35</v>
      </c>
      <c r="D8" s="10">
        <v>132</v>
      </c>
      <c r="E8" s="7">
        <v>8620</v>
      </c>
      <c r="F8" s="7">
        <v>2824.36</v>
      </c>
      <c r="G8" s="7">
        <f t="shared" si="0"/>
        <v>21.396666666666668</v>
      </c>
      <c r="H8" s="12">
        <v>32</v>
      </c>
      <c r="I8" s="9">
        <v>1887</v>
      </c>
      <c r="J8" s="9">
        <v>2238.2399999999998</v>
      </c>
      <c r="K8" s="9">
        <f t="shared" si="1"/>
        <v>69.944999999999993</v>
      </c>
    </row>
    <row r="9" spans="1:11" x14ac:dyDescent="0.25">
      <c r="A9" s="23"/>
      <c r="B9" s="5" t="s">
        <v>17</v>
      </c>
      <c r="C9" s="17">
        <v>35</v>
      </c>
      <c r="D9" s="6">
        <v>4</v>
      </c>
      <c r="E9" s="27">
        <v>153</v>
      </c>
      <c r="F9" s="28">
        <v>494.97</v>
      </c>
      <c r="G9" s="7">
        <f t="shared" si="0"/>
        <v>123.74250000000001</v>
      </c>
      <c r="H9" s="11">
        <v>14</v>
      </c>
      <c r="I9" s="9">
        <v>711</v>
      </c>
      <c r="J9" s="9">
        <v>310.12</v>
      </c>
      <c r="K9" s="9">
        <f t="shared" si="1"/>
        <v>22.151428571428571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6.18</v>
      </c>
      <c r="G10" s="7" t="e">
        <f t="shared" si="0"/>
        <v>#DIV/0!</v>
      </c>
      <c r="H10" s="11">
        <v>1</v>
      </c>
      <c r="I10" s="9">
        <v>54.95</v>
      </c>
      <c r="J10" s="9">
        <v>450.09</v>
      </c>
      <c r="K10" s="9">
        <f t="shared" si="1"/>
        <v>450.09</v>
      </c>
    </row>
    <row r="11" spans="1:11" x14ac:dyDescent="0.25">
      <c r="A11" s="23"/>
      <c r="B11" s="5" t="s">
        <v>14</v>
      </c>
      <c r="C11" s="5"/>
      <c r="D11" s="13">
        <f>SUM(D3:D10)</f>
        <v>207</v>
      </c>
      <c r="E11" s="14">
        <f>SUM(E3:E10)</f>
        <v>13565.25</v>
      </c>
      <c r="F11" s="14">
        <f>SUM(F3:F10)</f>
        <v>4735.2000000000007</v>
      </c>
      <c r="G11" s="14">
        <f>F11/D11</f>
        <v>22.875362318840583</v>
      </c>
      <c r="H11" s="15">
        <f>SUM(H3:H10)</f>
        <v>88</v>
      </c>
      <c r="I11" s="16">
        <f>SUM(I3:I10)</f>
        <v>5591.88</v>
      </c>
      <c r="J11" s="16">
        <f>SUM(J3:J10)</f>
        <v>5536.5599999999995</v>
      </c>
      <c r="K11" s="16">
        <f t="shared" ref="K11" si="2">J11/H11</f>
        <v>62.915454545454537</v>
      </c>
    </row>
    <row r="12" spans="1:11" x14ac:dyDescent="0.25">
      <c r="A12" s="23"/>
    </row>
    <row r="13" spans="1:11" x14ac:dyDescent="0.25">
      <c r="A13" s="25"/>
      <c r="B13" s="24"/>
      <c r="C13" s="24"/>
      <c r="D13" s="1" t="s">
        <v>0</v>
      </c>
      <c r="E13" s="2"/>
      <c r="F13" s="2"/>
      <c r="G13" s="2"/>
      <c r="H13" s="3" t="s">
        <v>1</v>
      </c>
      <c r="I13" s="4"/>
      <c r="J13" s="4"/>
      <c r="K13" s="4"/>
    </row>
    <row r="14" spans="1:11" x14ac:dyDescent="0.25">
      <c r="A14" s="26">
        <v>45711</v>
      </c>
      <c r="B14" s="5" t="s">
        <v>2</v>
      </c>
      <c r="C14" s="5" t="s">
        <v>15</v>
      </c>
      <c r="D14" s="6" t="s">
        <v>3</v>
      </c>
      <c r="E14" s="7" t="s">
        <v>4</v>
      </c>
      <c r="F14" s="7" t="s">
        <v>5</v>
      </c>
      <c r="G14" s="7" t="s">
        <v>6</v>
      </c>
      <c r="H14" s="8" t="s">
        <v>7</v>
      </c>
      <c r="I14" s="9" t="s">
        <v>4</v>
      </c>
      <c r="J14" s="9" t="s">
        <v>5</v>
      </c>
      <c r="K14" s="9" t="s">
        <v>6</v>
      </c>
    </row>
    <row r="15" spans="1:11" x14ac:dyDescent="0.25">
      <c r="A15" s="26">
        <v>45717</v>
      </c>
      <c r="B15" s="5" t="s">
        <v>8</v>
      </c>
      <c r="C15" s="17">
        <v>25</v>
      </c>
      <c r="D15" s="10">
        <v>0</v>
      </c>
      <c r="E15" s="7">
        <v>0</v>
      </c>
      <c r="F15" s="7">
        <v>30.82</v>
      </c>
      <c r="G15" s="7" t="e">
        <f t="shared" ref="G15:G22" si="3">F15/D15</f>
        <v>#DIV/0!</v>
      </c>
      <c r="H15" s="12">
        <v>0</v>
      </c>
      <c r="I15" s="9">
        <v>0</v>
      </c>
      <c r="J15" s="9">
        <v>7.52</v>
      </c>
      <c r="K15" s="9" t="e">
        <f t="shared" ref="K15:K22" si="4">J15/H15</f>
        <v>#DIV/0!</v>
      </c>
    </row>
    <row r="16" spans="1:11" x14ac:dyDescent="0.25">
      <c r="A16" s="23"/>
      <c r="B16" s="5" t="s">
        <v>9</v>
      </c>
      <c r="C16" s="17">
        <v>50</v>
      </c>
      <c r="D16" s="10">
        <v>36</v>
      </c>
      <c r="E16" s="7">
        <v>2487.9499999999998</v>
      </c>
      <c r="F16" s="7">
        <v>586.02</v>
      </c>
      <c r="G16" s="7">
        <f t="shared" si="3"/>
        <v>16.278333333333332</v>
      </c>
      <c r="H16" s="11">
        <v>17</v>
      </c>
      <c r="I16" s="9">
        <v>1169.0999999999999</v>
      </c>
      <c r="J16" s="9">
        <v>1304.6300000000001</v>
      </c>
      <c r="K16" s="9">
        <f t="shared" si="4"/>
        <v>76.742941176470595</v>
      </c>
    </row>
    <row r="17" spans="1:11" x14ac:dyDescent="0.25">
      <c r="A17" s="23"/>
      <c r="B17" s="5" t="s">
        <v>10</v>
      </c>
      <c r="C17" s="17">
        <v>31</v>
      </c>
      <c r="D17" s="10">
        <v>0</v>
      </c>
      <c r="E17" s="7">
        <v>0</v>
      </c>
      <c r="F17" s="7">
        <v>26.69</v>
      </c>
      <c r="G17" s="7" t="e">
        <f t="shared" si="3"/>
        <v>#DIV/0!</v>
      </c>
      <c r="H17" s="11">
        <v>0</v>
      </c>
      <c r="I17" s="9">
        <v>0</v>
      </c>
      <c r="J17" s="9">
        <v>0</v>
      </c>
      <c r="K17" s="9" t="e">
        <f t="shared" si="4"/>
        <v>#DIV/0!</v>
      </c>
    </row>
    <row r="18" spans="1:11" x14ac:dyDescent="0.25">
      <c r="A18" s="23"/>
      <c r="B18" s="5" t="s">
        <v>11</v>
      </c>
      <c r="C18" s="17">
        <v>15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12</v>
      </c>
      <c r="C19" s="17">
        <v>42</v>
      </c>
      <c r="D19" s="10">
        <v>51</v>
      </c>
      <c r="E19" s="7">
        <v>3549.2</v>
      </c>
      <c r="F19" s="7">
        <v>890.31</v>
      </c>
      <c r="G19" s="7">
        <f t="shared" si="3"/>
        <v>17.457058823529412</v>
      </c>
      <c r="H19" s="11">
        <v>14</v>
      </c>
      <c r="I19" s="9">
        <v>1077.29</v>
      </c>
      <c r="J19" s="9">
        <v>781.81999999999994</v>
      </c>
      <c r="K19" s="9">
        <f t="shared" si="4"/>
        <v>55.844285714285711</v>
      </c>
    </row>
    <row r="20" spans="1:11" x14ac:dyDescent="0.25">
      <c r="A20" s="23"/>
      <c r="B20" s="5" t="s">
        <v>13</v>
      </c>
      <c r="C20" s="17">
        <v>35</v>
      </c>
      <c r="D20" s="10">
        <v>133</v>
      </c>
      <c r="E20" s="7">
        <v>8601</v>
      </c>
      <c r="F20" s="7">
        <v>2559.66</v>
      </c>
      <c r="G20" s="7">
        <f t="shared" si="3"/>
        <v>19.245563909774436</v>
      </c>
      <c r="H20" s="12">
        <v>34</v>
      </c>
      <c r="I20" s="9">
        <v>2112</v>
      </c>
      <c r="J20" s="9">
        <v>1814.48</v>
      </c>
      <c r="K20" s="9">
        <f t="shared" si="4"/>
        <v>53.367058823529412</v>
      </c>
    </row>
    <row r="21" spans="1:11" x14ac:dyDescent="0.25">
      <c r="A21" s="23"/>
      <c r="B21" s="5" t="s">
        <v>17</v>
      </c>
      <c r="C21" s="17">
        <v>35</v>
      </c>
      <c r="D21" s="6">
        <v>11</v>
      </c>
      <c r="E21" s="27">
        <v>459</v>
      </c>
      <c r="F21" s="28">
        <v>742.88</v>
      </c>
      <c r="G21" s="7">
        <f t="shared" si="3"/>
        <v>67.534545454545452</v>
      </c>
      <c r="H21" s="11">
        <v>7</v>
      </c>
      <c r="I21" s="9">
        <v>267</v>
      </c>
      <c r="J21" s="9">
        <v>250.65</v>
      </c>
      <c r="K21" s="9">
        <f t="shared" ref="K21" si="5">J21/H21</f>
        <v>35.807142857142857</v>
      </c>
    </row>
    <row r="22" spans="1:11" x14ac:dyDescent="0.25">
      <c r="A22" s="23"/>
      <c r="B22" s="5" t="s">
        <v>18</v>
      </c>
      <c r="C22" s="17">
        <v>35</v>
      </c>
      <c r="D22" s="10">
        <v>2</v>
      </c>
      <c r="E22" s="7">
        <v>109.9</v>
      </c>
      <c r="F22" s="7">
        <v>5.52</v>
      </c>
      <c r="G22" s="7">
        <f t="shared" si="3"/>
        <v>2.76</v>
      </c>
      <c r="H22" s="11">
        <v>3</v>
      </c>
      <c r="I22" s="9">
        <v>164.85</v>
      </c>
      <c r="J22" s="9">
        <v>547.17999999999995</v>
      </c>
      <c r="K22" s="9">
        <f t="shared" si="4"/>
        <v>182.39333333333332</v>
      </c>
    </row>
    <row r="23" spans="1:11" x14ac:dyDescent="0.25">
      <c r="A23" s="23"/>
      <c r="B23" s="5" t="s">
        <v>14</v>
      </c>
      <c r="C23" s="5"/>
      <c r="D23" s="13">
        <f>SUM(D15:D22)</f>
        <v>233</v>
      </c>
      <c r="E23" s="14">
        <f>SUM(E15:E22)</f>
        <v>15207.05</v>
      </c>
      <c r="F23" s="14">
        <f>SUM(F15:F22)</f>
        <v>4841.9000000000005</v>
      </c>
      <c r="G23" s="14">
        <f>F23/D23</f>
        <v>20.780686695278973</v>
      </c>
      <c r="H23" s="15">
        <f>SUM(H15:H22)</f>
        <v>75</v>
      </c>
      <c r="I23" s="16">
        <f>SUM(I15:I22)</f>
        <v>4790.24</v>
      </c>
      <c r="J23" s="16">
        <f>SUM(J15:J22)</f>
        <v>4706.2800000000007</v>
      </c>
      <c r="K23" s="16">
        <f t="shared" ref="K23" si="6">J23/H23</f>
        <v>62.750400000000006</v>
      </c>
    </row>
    <row r="24" spans="1:11" x14ac:dyDescent="0.25">
      <c r="A24" s="23"/>
      <c r="B24" s="18"/>
      <c r="C24" s="18"/>
      <c r="D24" s="19"/>
      <c r="E24" s="20"/>
      <c r="F24" s="20"/>
      <c r="G24" s="20"/>
      <c r="H24" s="19"/>
      <c r="I24" s="20"/>
      <c r="J24" s="20"/>
      <c r="K24" s="20"/>
    </row>
    <row r="25" spans="1:11" x14ac:dyDescent="0.25">
      <c r="A25" s="23"/>
      <c r="B25" s="18"/>
      <c r="D25" s="1" t="s">
        <v>0</v>
      </c>
      <c r="E25" s="2"/>
      <c r="F25" s="2"/>
      <c r="G25" s="2"/>
      <c r="H25" s="3" t="s">
        <v>1</v>
      </c>
      <c r="I25" s="4"/>
      <c r="J25" s="4"/>
      <c r="K25" s="4"/>
    </row>
    <row r="26" spans="1:11" x14ac:dyDescent="0.25">
      <c r="A26" s="23"/>
      <c r="C26" s="5" t="s">
        <v>15</v>
      </c>
      <c r="D26" s="6" t="s">
        <v>3</v>
      </c>
      <c r="E26" s="7" t="s">
        <v>4</v>
      </c>
      <c r="F26" s="7" t="s">
        <v>5</v>
      </c>
      <c r="G26" s="7" t="s">
        <v>6</v>
      </c>
      <c r="H26" s="8" t="s">
        <v>7</v>
      </c>
      <c r="I26" s="9" t="s">
        <v>4</v>
      </c>
      <c r="J26" s="9" t="s">
        <v>5</v>
      </c>
      <c r="K26" s="9" t="s">
        <v>6</v>
      </c>
    </row>
    <row r="27" spans="1:11" x14ac:dyDescent="0.25">
      <c r="A27" s="23" t="s">
        <v>16</v>
      </c>
      <c r="B27" s="5" t="s">
        <v>8</v>
      </c>
      <c r="C27" s="17">
        <v>25</v>
      </c>
      <c r="D27" s="21" t="e">
        <f t="shared" ref="D27:K35" si="7">(D15-D3)/D15</f>
        <v>#DIV/0!</v>
      </c>
      <c r="E27" s="21" t="e">
        <f t="shared" si="7"/>
        <v>#DIV/0!</v>
      </c>
      <c r="F27" s="21">
        <f t="shared" si="7"/>
        <v>3.2770927968851449E-2</v>
      </c>
      <c r="G27" s="21" t="e">
        <f t="shared" si="7"/>
        <v>#DIV/0!</v>
      </c>
      <c r="H27" s="21" t="e">
        <f t="shared" si="7"/>
        <v>#DIV/0!</v>
      </c>
      <c r="I27" s="21" t="e">
        <f t="shared" si="7"/>
        <v>#DIV/0!</v>
      </c>
      <c r="J27" s="21">
        <f t="shared" si="7"/>
        <v>0.78590425531914887</v>
      </c>
      <c r="K27" s="21" t="e">
        <f t="shared" si="7"/>
        <v>#DIV/0!</v>
      </c>
    </row>
    <row r="28" spans="1:11" x14ac:dyDescent="0.25">
      <c r="A28" s="23"/>
      <c r="B28" s="5" t="s">
        <v>9</v>
      </c>
      <c r="C28" s="17">
        <v>50</v>
      </c>
      <c r="D28" s="21">
        <f t="shared" si="7"/>
        <v>5.5555555555555552E-2</v>
      </c>
      <c r="E28" s="21">
        <f t="shared" si="7"/>
        <v>6.0190116360859344E-2</v>
      </c>
      <c r="F28" s="21">
        <f t="shared" si="7"/>
        <v>6.8871369577830133E-2</v>
      </c>
      <c r="G28" s="21">
        <f t="shared" si="7"/>
        <v>1.4099097200055463E-2</v>
      </c>
      <c r="H28" s="21">
        <f t="shared" si="7"/>
        <v>-0.47058823529411764</v>
      </c>
      <c r="I28" s="21">
        <f t="shared" si="7"/>
        <v>-0.52998032674707052</v>
      </c>
      <c r="J28" s="21">
        <f t="shared" si="7"/>
        <v>-0.16283543993316099</v>
      </c>
      <c r="K28" s="21">
        <f t="shared" si="7"/>
        <v>0.2092719008454505</v>
      </c>
    </row>
    <row r="29" spans="1:11" x14ac:dyDescent="0.25">
      <c r="A29" s="23"/>
      <c r="B29" s="5" t="s">
        <v>10</v>
      </c>
      <c r="C29" s="17">
        <v>31</v>
      </c>
      <c r="D29" s="21" t="e">
        <f t="shared" si="7"/>
        <v>#DIV/0!</v>
      </c>
      <c r="E29" s="21" t="e">
        <f t="shared" si="7"/>
        <v>#DIV/0!</v>
      </c>
      <c r="F29" s="21">
        <f t="shared" si="7"/>
        <v>-0.30123641813413243</v>
      </c>
      <c r="G29" s="21" t="e">
        <f t="shared" si="7"/>
        <v>#DIV/0!</v>
      </c>
      <c r="H29" s="21" t="e">
        <f t="shared" si="7"/>
        <v>#DIV/0!</v>
      </c>
      <c r="I29" s="21" t="e">
        <f t="shared" si="7"/>
        <v>#DIV/0!</v>
      </c>
      <c r="J29" s="21" t="e">
        <f t="shared" si="7"/>
        <v>#DIV/0!</v>
      </c>
      <c r="K29" s="21" t="e">
        <f t="shared" si="7"/>
        <v>#DIV/0!</v>
      </c>
    </row>
    <row r="30" spans="1:11" x14ac:dyDescent="0.25">
      <c r="A30" s="23"/>
      <c r="B30" s="5" t="s">
        <v>11</v>
      </c>
      <c r="C30" s="17">
        <v>15</v>
      </c>
      <c r="D30" s="21" t="e">
        <f t="shared" si="7"/>
        <v>#DIV/0!</v>
      </c>
      <c r="E30" s="21" t="e">
        <f t="shared" si="7"/>
        <v>#DIV/0!</v>
      </c>
      <c r="F30" s="21" t="e">
        <f t="shared" si="7"/>
        <v>#DIV/0!</v>
      </c>
      <c r="G30" s="21" t="e">
        <f t="shared" si="7"/>
        <v>#DIV/0!</v>
      </c>
      <c r="H30" s="21" t="e">
        <f t="shared" si="7"/>
        <v>#DIV/0!</v>
      </c>
      <c r="I30" s="21" t="e">
        <f t="shared" si="7"/>
        <v>#DIV/0!</v>
      </c>
      <c r="J30" s="21" t="e">
        <f t="shared" si="7"/>
        <v>#DIV/0!</v>
      </c>
      <c r="K30" s="21" t="e">
        <f t="shared" si="7"/>
        <v>#DIV/0!</v>
      </c>
    </row>
    <row r="31" spans="1:11" x14ac:dyDescent="0.25">
      <c r="A31" s="23"/>
      <c r="B31" s="5" t="s">
        <v>12</v>
      </c>
      <c r="C31" s="17">
        <v>42</v>
      </c>
      <c r="D31" s="21">
        <f t="shared" si="7"/>
        <v>0.29411764705882354</v>
      </c>
      <c r="E31" s="21">
        <f t="shared" si="7"/>
        <v>0.32827115969796011</v>
      </c>
      <c r="F31" s="21">
        <f t="shared" si="7"/>
        <v>0.10200941245184256</v>
      </c>
      <c r="G31" s="21">
        <f t="shared" si="7"/>
        <v>-0.2721533323598897</v>
      </c>
      <c r="H31" s="21">
        <f t="shared" si="7"/>
        <v>-0.14285714285714285</v>
      </c>
      <c r="I31" s="21">
        <f t="shared" si="7"/>
        <v>-6.7706931281270644E-2</v>
      </c>
      <c r="J31" s="21">
        <f t="shared" si="7"/>
        <v>-0.30391906065334734</v>
      </c>
      <c r="K31" s="21">
        <f t="shared" si="7"/>
        <v>-0.14092917807167893</v>
      </c>
    </row>
    <row r="32" spans="1:11" x14ac:dyDescent="0.25">
      <c r="A32" s="23"/>
      <c r="B32" s="5" t="s">
        <v>13</v>
      </c>
      <c r="C32" s="17">
        <v>35</v>
      </c>
      <c r="D32" s="21">
        <f t="shared" si="7"/>
        <v>7.5187969924812026E-3</v>
      </c>
      <c r="E32" s="21">
        <f t="shared" si="7"/>
        <v>-2.2090454598302522E-3</v>
      </c>
      <c r="F32" s="21">
        <f t="shared" si="7"/>
        <v>-0.10341217192908445</v>
      </c>
      <c r="G32" s="21">
        <f t="shared" si="7"/>
        <v>-0.1117713550497593</v>
      </c>
      <c r="H32" s="21">
        <f t="shared" si="7"/>
        <v>5.8823529411764705E-2</v>
      </c>
      <c r="I32" s="21">
        <f t="shared" si="7"/>
        <v>0.10653409090909091</v>
      </c>
      <c r="J32" s="21">
        <f t="shared" si="7"/>
        <v>-0.23354349455491366</v>
      </c>
      <c r="K32" s="21">
        <f t="shared" si="7"/>
        <v>-0.31063996296459578</v>
      </c>
    </row>
    <row r="33" spans="1:11" x14ac:dyDescent="0.25">
      <c r="A33" s="23"/>
      <c r="B33" s="5" t="s">
        <v>17</v>
      </c>
      <c r="C33" s="17">
        <v>35</v>
      </c>
      <c r="D33" s="21">
        <f t="shared" si="7"/>
        <v>0.63636363636363635</v>
      </c>
      <c r="E33" s="21">
        <f t="shared" si="7"/>
        <v>0.66666666666666663</v>
      </c>
      <c r="F33" s="21">
        <f t="shared" si="7"/>
        <v>0.33371473185440442</v>
      </c>
      <c r="G33" s="21">
        <f t="shared" si="7"/>
        <v>-0.83228448740038785</v>
      </c>
      <c r="H33" s="21">
        <f t="shared" si="7"/>
        <v>-1</v>
      </c>
      <c r="I33" s="21">
        <f t="shared" si="7"/>
        <v>-1.6629213483146068</v>
      </c>
      <c r="J33" s="21">
        <f t="shared" si="7"/>
        <v>-0.23726311589866347</v>
      </c>
      <c r="K33" s="21">
        <f t="shared" si="7"/>
        <v>0.38136844205066828</v>
      </c>
    </row>
    <row r="34" spans="1:11" x14ac:dyDescent="0.25">
      <c r="A34" s="23"/>
      <c r="B34" s="5" t="s">
        <v>18</v>
      </c>
      <c r="C34" s="17">
        <v>35</v>
      </c>
      <c r="D34" s="21">
        <f t="shared" si="7"/>
        <v>1</v>
      </c>
      <c r="E34" s="21">
        <f t="shared" si="7"/>
        <v>1</v>
      </c>
      <c r="F34" s="21">
        <f t="shared" si="7"/>
        <v>-0.11956521739130438</v>
      </c>
      <c r="G34" s="21" t="e">
        <f t="shared" si="7"/>
        <v>#DIV/0!</v>
      </c>
      <c r="H34" s="21">
        <f t="shared" si="7"/>
        <v>0.66666666666666663</v>
      </c>
      <c r="I34" s="21">
        <f t="shared" si="7"/>
        <v>0.66666666666666663</v>
      </c>
      <c r="J34" s="21">
        <f t="shared" si="7"/>
        <v>0.1774370408275156</v>
      </c>
      <c r="K34" s="21">
        <f t="shared" si="7"/>
        <v>-1.4676888775174532</v>
      </c>
    </row>
    <row r="35" spans="1:11" x14ac:dyDescent="0.25">
      <c r="A35" s="23"/>
      <c r="B35" s="5" t="s">
        <v>14</v>
      </c>
      <c r="C35" s="5"/>
      <c r="D35" s="22">
        <f t="shared" si="7"/>
        <v>0.11158798283261803</v>
      </c>
      <c r="E35" s="22">
        <f t="shared" si="7"/>
        <v>0.10796308291220186</v>
      </c>
      <c r="F35" s="22">
        <f t="shared" si="7"/>
        <v>2.2036803734071294E-2</v>
      </c>
      <c r="G35" s="22">
        <f t="shared" si="7"/>
        <v>-0.10079915328483757</v>
      </c>
      <c r="H35" s="22">
        <f t="shared" si="7"/>
        <v>-0.17333333333333334</v>
      </c>
      <c r="I35" s="22">
        <f t="shared" si="7"/>
        <v>-0.16734860883797062</v>
      </c>
      <c r="J35" s="22">
        <f t="shared" si="7"/>
        <v>-0.17641959254442974</v>
      </c>
      <c r="K35" s="22">
        <f t="shared" si="7"/>
        <v>-2.6303345549116963E-3</v>
      </c>
    </row>
  </sheetData>
  <conditionalFormatting sqref="D27:K35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7:G35 J27:K3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2025-03-03T13:54:26Z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