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5800756-45C7-4A85-BF2F-385A82AE10E9}" xr6:coauthVersionLast="47" xr6:coauthVersionMax="47" xr10:uidLastSave="{00000000-0000-0000-0000-000000000000}"/>
  <bookViews>
    <workbookView xWindow="3180" yWindow="1275" windowWidth="2289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<sst xmlns="http://schemas.openxmlformats.org/spreadsheetml/2006/main" count="66" uniqueCount="20">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</sst>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workbookViewId="0">
      <selection activeCell="H24" sqref="H24:J24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45900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45906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32</v>
      </c>
      <c r="E4" s="7">
        <v>2248.15</v>
      </c>
      <c r="F4" s="7">
        <v>482.41</v>
      </c>
      <c r="G4" s="7">
        <f t="shared" si="0"/>
        <v>15.075312500000001</v>
      </c>
      <c r="H4" s="11">
        <v>13</v>
      </c>
      <c r="I4" s="9">
        <v>809.35</v>
      </c>
      <c r="J4" s="9">
        <v>595.0200000000001</v>
      </c>
      <c r="K4" s="9">
        <f t="shared" si="1"/>
        <v>45.77076923076924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36</v>
      </c>
      <c r="E7" s="27">
        <v>2408.0500000000002</v>
      </c>
      <c r="F7" s="27">
        <v>644.17999999999995</v>
      </c>
      <c r="G7" s="7">
        <f t="shared" si="0"/>
        <v>17.893888888888888</v>
      </c>
      <c r="H7" s="11">
        <v>8</v>
      </c>
      <c r="I7" s="9">
        <v>544.70000000000005</v>
      </c>
      <c r="J7" s="9">
        <v>660.9</v>
      </c>
      <c r="K7" s="9">
        <f t="shared" si="1"/>
        <v>82.612499999999997</v>
      </c>
    </row>
    <row r="8" spans="1:11" x14ac:dyDescent="0.25">
      <c r="A8" s="23"/>
      <c r="B8" s="5" t="s">
        <v>13</v>
      </c>
      <c r="C8" s="17">
        <v>35</v>
      </c>
      <c r="D8" s="10">
        <v>155</v>
      </c>
      <c r="E8" s="7">
        <v>10603.75</v>
      </c>
      <c r="F8" s="7">
        <v>2903.77</v>
      </c>
      <c r="G8" s="7">
        <f t="shared" si="0"/>
        <v>18.733999999999998</v>
      </c>
      <c r="H8" s="12">
        <v>17</v>
      </c>
      <c r="I8" s="9">
        <v>1038</v>
      </c>
      <c r="J8" s="9">
        <v>1578.15</v>
      </c>
      <c r="K8" s="9">
        <f t="shared" si="1"/>
        <v>92.832352941176481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1</v>
      </c>
      <c r="E11" s="7">
        <v>35</v>
      </c>
      <c r="F11" s="7">
        <v>11.54</v>
      </c>
      <c r="G11" s="7">
        <f t="shared" si="0"/>
        <v>11.54</v>
      </c>
      <c r="H11" s="11">
        <v>0</v>
      </c>
      <c r="I11" s="9">
        <v>0</v>
      </c>
      <c r="J11" s="9">
        <v>131.91999999999999</v>
      </c>
      <c r="K11" s="9" t="e">
        <f t="shared" si="1"/>
        <v>#DIV/0!</v>
      </c>
    </row>
    <row r="12" spans="1:11" x14ac:dyDescent="0.25">
      <c r="A12" s="23"/>
      <c r="B12" s="5" t="s">
        <v>14</v>
      </c>
      <c r="C12" s="5"/>
      <c r="D12" s="13">
        <f>SUM(D3:D11)</f>
        <v>224</v>
      </c>
      <c r="E12" s="14">
        <f>SUM(E3:E11)</f>
        <v>15294.95</v>
      </c>
      <c r="F12" s="14">
        <f>SUM(F3:F11)</f>
        <v>4041.8999999999996</v>
      </c>
      <c r="G12" s="14">
        <f>F12/D12</f>
        <v>18.044196428571428</v>
      </c>
      <c r="H12" s="15">
        <f>SUM(H3:H11)</f>
        <v>38</v>
      </c>
      <c r="I12" s="16">
        <f>SUM(I3:I11)</f>
        <v>2392.0500000000002</v>
      </c>
      <c r="J12" s="16">
        <f>SUM(J3:J11)</f>
        <v>2965.9900000000002</v>
      </c>
      <c r="K12" s="16">
        <f t="shared" ref="K12" si="2">J12/H12</f>
        <v>78.052368421052634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45907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45913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30</v>
      </c>
      <c r="E17" s="7">
        <v>2038.35</v>
      </c>
      <c r="F17" s="7">
        <v>524.35</v>
      </c>
      <c r="G17" s="7">
        <f t="shared" si="3"/>
        <v>17.478333333333335</v>
      </c>
      <c r="H17" s="11">
        <v>10</v>
      </c>
      <c r="I17" s="9">
        <v>639.5</v>
      </c>
      <c r="J17" s="9">
        <v>650.67999999999995</v>
      </c>
      <c r="K17" s="9">
        <f t="shared" si="4"/>
        <v>65.067999999999998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26</v>
      </c>
      <c r="E20" s="27">
        <v>1773.6</v>
      </c>
      <c r="F20" s="27">
        <v>534.23</v>
      </c>
      <c r="G20" s="7">
        <f t="shared" si="3"/>
        <v>20.547307692307694</v>
      </c>
      <c r="H20" s="11">
        <v>11</v>
      </c>
      <c r="I20" s="9">
        <v>684.5</v>
      </c>
      <c r="J20" s="9">
        <v>586.11</v>
      </c>
      <c r="K20" s="9">
        <f t="shared" si="4"/>
        <v>53.282727272727271</v>
      </c>
    </row>
    <row r="21" spans="1:11" x14ac:dyDescent="0.25">
      <c r="A21" s="23"/>
      <c r="B21" s="5" t="s">
        <v>13</v>
      </c>
      <c r="C21" s="17">
        <v>35</v>
      </c>
      <c r="D21" s="10">
        <v>141</v>
      </c>
      <c r="E21" s="7">
        <v>9280</v>
      </c>
      <c r="F21" s="7">
        <v>2624.21</v>
      </c>
      <c r="G21" s="7">
        <f t="shared" si="3"/>
        <v>18.611418439716314</v>
      </c>
      <c r="H21" s="12">
        <v>24</v>
      </c>
      <c r="I21" s="9">
        <v>1416</v>
      </c>
      <c r="J21" s="9">
        <v>1320.62</v>
      </c>
      <c r="K21" s="9">
        <f t="shared" si="4"/>
        <v>55.025833333333331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0</v>
      </c>
      <c r="E24" s="7">
        <v>0</v>
      </c>
      <c r="F24" s="7">
        <v>11.7</v>
      </c>
      <c r="G24" s="7" t="e">
        <f t="shared" si="3"/>
        <v>#DIV/0!</v>
      </c>
      <c r="H24" s="11">
        <v>1</v>
      </c>
      <c r="I24" s="9">
        <v>45.02</v>
      </c>
      <c r="J24" s="9">
        <v>98.61</v>
      </c>
      <c r="K24" s="9">
        <f t="shared" si="4"/>
        <v>98.61</v>
      </c>
    </row>
    <row r="25" spans="1:11" x14ac:dyDescent="0.25">
      <c r="A25" s="23"/>
      <c r="B25" s="5" t="s">
        <v>14</v>
      </c>
      <c r="C25" s="5"/>
      <c r="D25" s="13">
        <f>SUM(D16:D24)</f>
        <v>197</v>
      </c>
      <c r="E25" s="14">
        <f>SUM(E16:E24)</f>
        <v>13091.95</v>
      </c>
      <c r="F25" s="14">
        <f>SUM(F16:F24)</f>
        <v>3694.49</v>
      </c>
      <c r="G25" s="14">
        <f>F25/D25</f>
        <v>18.753756345177663</v>
      </c>
      <c r="H25" s="15">
        <f>SUM(H16:H24)</f>
        <v>46</v>
      </c>
      <c r="I25" s="16">
        <f>SUM(I16:I24)</f>
        <v>2785.02</v>
      </c>
      <c r="J25" s="16">
        <f>SUM(J16:J24)</f>
        <v>2656.02</v>
      </c>
      <c r="K25" s="16">
        <f t="shared" ref="K25" si="7">J25/H25</f>
        <v>57.739565217391302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-6.6666666666666666E-2</v>
      </c>
      <c r="E30" s="21">
        <f t="shared" si="8"/>
        <v>-0.10292638653813142</v>
      </c>
      <c r="F30" s="21">
        <f t="shared" si="8"/>
        <v>7.9984743015161619E-2</v>
      </c>
      <c r="G30" s="21">
        <f t="shared" si="8"/>
        <v>0.13748569657671408</v>
      </c>
      <c r="H30" s="21">
        <f t="shared" si="8"/>
        <v>-0.3</v>
      </c>
      <c r="I30" s="21">
        <f t="shared" si="8"/>
        <v>-0.26559812353401097</v>
      </c>
      <c r="J30" s="21">
        <f>(J17-J4)/J17</f>
        <v>8.554127989180528E-2</v>
      </c>
      <c r="K30" s="21">
        <f t="shared" si="8"/>
        <v>0.29657021530138866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 t="e">
        <f t="shared" si="8"/>
        <v>#DIV/0!</v>
      </c>
      <c r="I31" s="21" t="e">
        <f t="shared" si="8"/>
        <v>#DIV/0!</v>
      </c>
      <c r="J31" s="21" t="e">
        <f t="shared" si="8"/>
        <v>#DIV/0!</v>
      </c>
      <c r="K31" s="21" t="e">
        <f t="shared" si="8"/>
        <v>#DIV/0!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-0.38461538461538464</v>
      </c>
      <c r="E33" s="21">
        <f t="shared" si="8"/>
        <v>-0.35771876409562486</v>
      </c>
      <c r="F33" s="21">
        <f t="shared" si="8"/>
        <v>-0.20581023154820943</v>
      </c>
      <c r="G33" s="21">
        <f t="shared" si="8"/>
        <v>0.12913705499295985</v>
      </c>
      <c r="H33" s="21">
        <f t="shared" si="8"/>
        <v>0.27272727272727271</v>
      </c>
      <c r="I33" s="21">
        <f t="shared" si="8"/>
        <v>0.2042366691015339</v>
      </c>
      <c r="J33" s="21">
        <f t="shared" si="8"/>
        <v>-0.12760403337257506</v>
      </c>
      <c r="K33" s="21">
        <f t="shared" si="8"/>
        <v>-0.55045554588729073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-9.9290780141843976E-2</v>
      </c>
      <c r="E34" s="21">
        <f t="shared" si="8"/>
        <v>-0.14264547413793102</v>
      </c>
      <c r="F34" s="21">
        <f t="shared" si="8"/>
        <v>-0.10653110840976901</v>
      </c>
      <c r="G34" s="21">
        <f t="shared" si="8"/>
        <v>-6.5863631340477811E-3</v>
      </c>
      <c r="H34" s="21">
        <f t="shared" si="8"/>
        <v>0.29166666666666669</v>
      </c>
      <c r="I34" s="21">
        <f t="shared" si="8"/>
        <v>0.26694915254237289</v>
      </c>
      <c r="J34" s="21">
        <f t="shared" si="8"/>
        <v>-0.19500689070285185</v>
      </c>
      <c r="K34" s="21">
        <f t="shared" si="8"/>
        <v>-0.68706855158049673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 t="e">
        <f t="shared" ref="D36:K38" si="9">(D23-D10)/D23</f>
        <v>#DIV/0!</v>
      </c>
      <c r="E36" s="21" t="e">
        <f t="shared" si="9"/>
        <v>#DIV/0!</v>
      </c>
      <c r="F36" s="21" t="e">
        <f t="shared" si="9"/>
        <v>#DIV/0!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 t="e">
        <f t="shared" si="9"/>
        <v>#DIV/0!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>
        <f t="shared" si="9"/>
        <v>1.3675213675213687E-2</v>
      </c>
      <c r="G37" s="21" t="e">
        <f t="shared" si="9"/>
        <v>#DIV/0!</v>
      </c>
      <c r="H37" s="21">
        <f t="shared" si="9"/>
        <v>1</v>
      </c>
      <c r="I37" s="21">
        <f t="shared" si="9"/>
        <v>1</v>
      </c>
      <c r="J37" s="21">
        <f t="shared" si="9"/>
        <v>-0.33779535544062456</v>
      </c>
      <c r="K37" s="21" t="e">
        <f t="shared" si="9"/>
        <v>#DIV/0!</v>
      </c>
    </row>
    <row r="38" spans="1:11" x14ac:dyDescent="0.25">
      <c r="A38" s="23"/>
      <c r="B38" s="5" t="s">
        <v>14</v>
      </c>
      <c r="C38" s="5"/>
      <c r="D38" s="22">
        <f t="shared" si="9"/>
        <v>-0.13705583756345177</v>
      </c>
      <c r="E38" s="22">
        <f t="shared" si="9"/>
        <v>-0.16827134231340632</v>
      </c>
      <c r="F38" s="22">
        <f t="shared" si="9"/>
        <v>-9.4034629948923906E-2</v>
      </c>
      <c r="G38" s="22">
        <f t="shared" si="9"/>
        <v>3.7835615625276639E-2</v>
      </c>
      <c r="H38" s="22">
        <f t="shared" si="9"/>
        <v>0.17391304347826086</v>
      </c>
      <c r="I38" s="22">
        <f t="shared" si="9"/>
        <v>0.14110132063683556</v>
      </c>
      <c r="J38" s="22">
        <f t="shared" si="9"/>
        <v>-0.11670469348875395</v>
      </c>
      <c r="K38" s="22">
        <f t="shared" si="9"/>
        <v>-0.35180041843375476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2025-09-15T14:15:16Z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