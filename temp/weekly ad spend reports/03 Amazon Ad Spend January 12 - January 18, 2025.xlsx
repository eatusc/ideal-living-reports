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03E89DE-95FE-4261-8876-E394B600E995}" xr6:coauthVersionLast="47" xr6:coauthVersionMax="47" xr10:uidLastSave="{00000000-0000-0000-0000-000000000000}"/>
  <bookViews>
    <workbookView xWindow="1470" yWindow="1470" windowWidth="21600" windowHeight="1129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1" i="2" l="1"/>
  <c r="K11" i="2" s="1"/>
  <c r="I11" i="2"/>
  <c r="H11" i="2"/>
  <c r="F11" i="2"/>
  <c r="G11" i="2" s="1"/>
  <c r="E11" i="2"/>
  <c r="D11" i="2"/>
  <c r="G18" i="2"/>
  <c r="K18" i="2" l="1"/>
  <c r="J33" i="2" l="1"/>
  <c r="I33" i="2"/>
  <c r="H33" i="2"/>
  <c r="F33" i="2"/>
  <c r="E33" i="2"/>
  <c r="D33" i="2"/>
  <c r="K21" i="2"/>
  <c r="K33" i="2" s="1"/>
  <c r="G21" i="2"/>
  <c r="G33" i="2" s="1"/>
  <c r="G19" i="2" l="1"/>
  <c r="G20" i="2"/>
  <c r="G22" i="2"/>
  <c r="G15" i="2" l="1"/>
  <c r="G16" i="2"/>
  <c r="G17" i="2"/>
  <c r="K22" i="2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<sst xmlns="http://schemas.openxmlformats.org/spreadsheetml/2006/main" count="63" uniqueCount="19">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</sst>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m/d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topLeftCell="A4" workbookViewId="0">
      <selection activeCell="H22" sqref="H22:J22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45662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45668</v>
      </c>
      <c r="B3" s="5" t="s">
        <v>8</v>
      </c>
      <c r="C3" s="17">
        <v>25</v>
      </c>
      <c r="D3" s="10">
        <v>0</v>
      </c>
      <c r="E3" s="7">
        <v>0</v>
      </c>
      <c r="F3" s="7">
        <v>14.16</v>
      </c>
      <c r="G3" s="7" t="e">
        <f t="shared" ref="G3:G10" si="0">F3/D3</f>
        <v>#DIV/0!</v>
      </c>
      <c r="H3" s="12">
        <v>0</v>
      </c>
      <c r="I3" s="9">
        <v>0</v>
      </c>
      <c r="J3" s="9">
        <v>5.04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43</v>
      </c>
      <c r="E4" s="7">
        <v>3254.45</v>
      </c>
      <c r="F4" s="7">
        <v>522.84</v>
      </c>
      <c r="G4" s="7">
        <f t="shared" si="0"/>
        <v>12.159069767441862</v>
      </c>
      <c r="H4" s="11">
        <v>19</v>
      </c>
      <c r="I4" s="9">
        <v>1369</v>
      </c>
      <c r="J4" s="9">
        <v>1405.92</v>
      </c>
      <c r="K4" s="9">
        <f t="shared" si="1"/>
        <v>73.995789473684212</v>
      </c>
    </row>
    <row r="5" spans="1:11" x14ac:dyDescent="0.25">
      <c r="A5" s="23"/>
      <c r="B5" s="5" t="s">
        <v>10</v>
      </c>
      <c r="C5" s="17">
        <v>31</v>
      </c>
      <c r="D5" s="10">
        <v>6</v>
      </c>
      <c r="E5" s="7">
        <v>304.64999999999998</v>
      </c>
      <c r="F5" s="7">
        <v>116.85</v>
      </c>
      <c r="G5" s="7">
        <f t="shared" si="0"/>
        <v>19.474999999999998</v>
      </c>
      <c r="H5" s="11">
        <v>3</v>
      </c>
      <c r="I5" s="9">
        <v>194.85</v>
      </c>
      <c r="J5" s="9">
        <v>140.35</v>
      </c>
      <c r="K5" s="9">
        <f t="shared" si="1"/>
        <v>46.783333333333331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56</v>
      </c>
      <c r="E7" s="7">
        <v>4582.53</v>
      </c>
      <c r="F7" s="7">
        <v>952.53</v>
      </c>
      <c r="G7" s="7">
        <f t="shared" si="0"/>
        <v>17.009464285714284</v>
      </c>
      <c r="H7" s="11">
        <v>11</v>
      </c>
      <c r="I7" s="9">
        <v>1143.17</v>
      </c>
      <c r="J7" s="9">
        <v>961.24</v>
      </c>
      <c r="K7" s="9">
        <f t="shared" si="1"/>
        <v>87.38545454545455</v>
      </c>
    </row>
    <row r="8" spans="1:11" x14ac:dyDescent="0.25">
      <c r="A8" s="23"/>
      <c r="B8" s="5" t="s">
        <v>13</v>
      </c>
      <c r="C8" s="17">
        <v>35</v>
      </c>
      <c r="D8" s="10">
        <v>170</v>
      </c>
      <c r="E8" s="7">
        <v>10743.95</v>
      </c>
      <c r="F8" s="7">
        <v>2756.59</v>
      </c>
      <c r="G8" s="7">
        <f t="shared" si="0"/>
        <v>16.215235294117647</v>
      </c>
      <c r="H8" s="12">
        <v>22</v>
      </c>
      <c r="I8" s="9">
        <v>1514</v>
      </c>
      <c r="J8" s="9">
        <v>1354.83</v>
      </c>
      <c r="K8" s="9">
        <f t="shared" si="1"/>
        <v>61.583181818181814</v>
      </c>
    </row>
    <row r="9" spans="1:11" x14ac:dyDescent="0.25">
      <c r="A9" s="23"/>
      <c r="B9" s="5" t="s">
        <v>17</v>
      </c>
      <c r="C9" s="17">
        <v>35</v>
      </c>
      <c r="D9" s="10">
        <v>5</v>
      </c>
      <c r="E9" s="7">
        <v>186</v>
      </c>
      <c r="F9" s="7">
        <v>57.68</v>
      </c>
      <c r="G9" s="7">
        <f t="shared" si="0"/>
        <v>11.536</v>
      </c>
      <c r="H9" s="11">
        <v>11</v>
      </c>
      <c r="I9" s="9">
        <v>417</v>
      </c>
      <c r="J9" s="9">
        <v>295.07</v>
      </c>
      <c r="K9" s="9">
        <f t="shared" si="1"/>
        <v>26.824545454545454</v>
      </c>
    </row>
    <row r="10" spans="1:11" x14ac:dyDescent="0.25">
      <c r="A10" s="23"/>
      <c r="B10" s="5" t="s">
        <v>18</v>
      </c>
      <c r="C10" s="17">
        <v>35</v>
      </c>
      <c r="D10" s="10">
        <v>2</v>
      </c>
      <c r="E10" s="7">
        <v>109.9</v>
      </c>
      <c r="F10" s="7">
        <v>5.78</v>
      </c>
      <c r="G10" s="7">
        <f t="shared" si="0"/>
        <v>2.89</v>
      </c>
      <c r="H10" s="11">
        <v>1</v>
      </c>
      <c r="I10" s="9">
        <v>54.95</v>
      </c>
      <c r="J10" s="9">
        <v>207.28</v>
      </c>
      <c r="K10" s="9">
        <f t="shared" si="1"/>
        <v>207.28</v>
      </c>
    </row>
    <row r="11" spans="1:11" x14ac:dyDescent="0.25">
      <c r="A11" s="23"/>
      <c r="B11" s="5" t="s">
        <v>14</v>
      </c>
      <c r="C11" s="5"/>
      <c r="D11" s="13">
        <f>SUM(D3:D10)</f>
        <v>282</v>
      </c>
      <c r="E11" s="14">
        <f>SUM(E3:E10)</f>
        <v>19181.480000000003</v>
      </c>
      <c r="F11" s="14">
        <f>SUM(F3:F10)</f>
        <v>4426.43</v>
      </c>
      <c r="G11" s="14">
        <f>F11/D11</f>
        <v>15.696560283687944</v>
      </c>
      <c r="H11" s="15">
        <f>SUM(H3:H10)</f>
        <v>67</v>
      </c>
      <c r="I11" s="16">
        <f>SUM(I3:I10)</f>
        <v>4692.97</v>
      </c>
      <c r="J11" s="16">
        <f>SUM(J3:J10)</f>
        <v>4369.7299999999996</v>
      </c>
      <c r="K11" s="16">
        <f t="shared" ref="K11" si="2">J11/H11</f>
        <v>65.219850746268648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45669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45675</v>
      </c>
      <c r="B15" s="5" t="s">
        <v>8</v>
      </c>
      <c r="C15" s="17">
        <v>25</v>
      </c>
      <c r="D15" s="10">
        <v>1</v>
      </c>
      <c r="E15" s="7">
        <v>69.95</v>
      </c>
      <c r="F15" s="7">
        <v>19.27</v>
      </c>
      <c r="G15" s="7">
        <f t="shared" ref="G15:G18" si="3">F15/D15</f>
        <v>19.27</v>
      </c>
      <c r="H15" s="12">
        <v>0</v>
      </c>
      <c r="I15" s="9">
        <v>0</v>
      </c>
      <c r="J15" s="9">
        <v>1.76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41</v>
      </c>
      <c r="E16" s="7">
        <v>3117.65</v>
      </c>
      <c r="F16" s="7">
        <v>559.01</v>
      </c>
      <c r="G16" s="7">
        <f t="shared" si="3"/>
        <v>13.634390243902439</v>
      </c>
      <c r="H16" s="11">
        <v>23</v>
      </c>
      <c r="I16" s="9">
        <v>1648.8</v>
      </c>
      <c r="J16" s="9">
        <v>1524.0700000000002</v>
      </c>
      <c r="K16" s="9">
        <f t="shared" si="4"/>
        <v>66.263913043478269</v>
      </c>
    </row>
    <row r="17" spans="1:11" x14ac:dyDescent="0.25">
      <c r="A17" s="23"/>
      <c r="B17" s="5" t="s">
        <v>10</v>
      </c>
      <c r="C17" s="17">
        <v>31</v>
      </c>
      <c r="D17" s="10">
        <v>15</v>
      </c>
      <c r="E17" s="7">
        <v>729.18</v>
      </c>
      <c r="F17" s="7">
        <v>126.13</v>
      </c>
      <c r="G17" s="7">
        <f t="shared" si="3"/>
        <v>8.408666666666667</v>
      </c>
      <c r="H17" s="11">
        <v>1</v>
      </c>
      <c r="I17" s="9">
        <v>64.95</v>
      </c>
      <c r="J17" s="9">
        <v>27.79</v>
      </c>
      <c r="K17" s="9">
        <f t="shared" si="4"/>
        <v>27.79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10">
        <v>41</v>
      </c>
      <c r="E19" s="7">
        <v>2739.87</v>
      </c>
      <c r="F19" s="7">
        <v>689</v>
      </c>
      <c r="G19" s="7">
        <f t="shared" ref="G19:G22" si="5">F19/D19</f>
        <v>16.804878048780488</v>
      </c>
      <c r="H19" s="11">
        <v>9</v>
      </c>
      <c r="I19" s="9">
        <v>615.57000000000005</v>
      </c>
      <c r="J19" s="9">
        <v>966.02</v>
      </c>
      <c r="K19" s="9">
        <f t="shared" si="4"/>
        <v>107.33555555555556</v>
      </c>
    </row>
    <row r="20" spans="1:11" x14ac:dyDescent="0.25">
      <c r="A20" s="23"/>
      <c r="B20" s="5" t="s">
        <v>13</v>
      </c>
      <c r="C20" s="17">
        <v>35</v>
      </c>
      <c r="D20" s="10">
        <v>162</v>
      </c>
      <c r="E20" s="7">
        <v>10660</v>
      </c>
      <c r="F20" s="7">
        <v>2923.47</v>
      </c>
      <c r="G20" s="7">
        <f t="shared" si="5"/>
        <v>18.046111111111109</v>
      </c>
      <c r="H20" s="12">
        <v>38</v>
      </c>
      <c r="I20" s="9">
        <v>2320</v>
      </c>
      <c r="J20" s="9">
        <v>1669.8</v>
      </c>
      <c r="K20" s="9">
        <f t="shared" si="4"/>
        <v>43.942105263157892</v>
      </c>
    </row>
    <row r="21" spans="1:11" x14ac:dyDescent="0.25">
      <c r="A21" s="23"/>
      <c r="B21" s="5" t="s">
        <v>17</v>
      </c>
      <c r="C21" s="17">
        <v>35</v>
      </c>
      <c r="D21" s="10">
        <v>5</v>
      </c>
      <c r="E21" s="7">
        <v>255</v>
      </c>
      <c r="F21" s="7">
        <v>76.040000000000006</v>
      </c>
      <c r="G21" s="7">
        <f t="shared" ref="G21" si="6">F21/D21</f>
        <v>15.208000000000002</v>
      </c>
      <c r="H21" s="11">
        <v>5</v>
      </c>
      <c r="I21" s="9">
        <v>189</v>
      </c>
      <c r="J21" s="9">
        <v>276.63</v>
      </c>
      <c r="K21" s="9">
        <f t="shared" ref="K21" si="7">J21/H21</f>
        <v>55.326000000000001</v>
      </c>
    </row>
    <row r="22" spans="1:11" x14ac:dyDescent="0.25">
      <c r="A22" s="23"/>
      <c r="B22" s="5" t="s">
        <v>18</v>
      </c>
      <c r="C22" s="17">
        <v>35</v>
      </c>
      <c r="D22" s="10">
        <v>1</v>
      </c>
      <c r="E22" s="7">
        <v>54.95</v>
      </c>
      <c r="F22" s="7">
        <v>0.83000000000000007</v>
      </c>
      <c r="G22" s="7">
        <f t="shared" si="5"/>
        <v>0.83000000000000007</v>
      </c>
      <c r="H22" s="11">
        <v>0</v>
      </c>
      <c r="I22" s="9">
        <v>0</v>
      </c>
      <c r="J22" s="9">
        <v>66.16</v>
      </c>
      <c r="K22" s="9" t="e">
        <f t="shared" si="4"/>
        <v>#DIV/0!</v>
      </c>
    </row>
    <row r="23" spans="1:11" x14ac:dyDescent="0.25">
      <c r="A23" s="23"/>
      <c r="B23" s="5" t="s">
        <v>14</v>
      </c>
      <c r="C23" s="5"/>
      <c r="D23" s="13">
        <f>SUM(D15:D22)</f>
        <v>266</v>
      </c>
      <c r="E23" s="14">
        <f>SUM(E15:E22)</f>
        <v>17626.600000000002</v>
      </c>
      <c r="F23" s="14">
        <f>SUM(F15:F22)</f>
        <v>4393.7499999999991</v>
      </c>
      <c r="G23" s="14">
        <f>F23/D23</f>
        <v>16.517857142857139</v>
      </c>
      <c r="H23" s="15">
        <f>SUM(H15:H22)</f>
        <v>76</v>
      </c>
      <c r="I23" s="16">
        <f>SUM(I15:I22)</f>
        <v>4838.32</v>
      </c>
      <c r="J23" s="16">
        <f>SUM(J15:J22)</f>
        <v>4532.2300000000005</v>
      </c>
      <c r="K23" s="16">
        <f t="shared" ref="K23" si="8">J23/H23</f>
        <v>59.634605263157901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>
        <f t="shared" ref="D27:K35" si="9">(D15-D3)/D15</f>
        <v>1</v>
      </c>
      <c r="E27" s="21">
        <f t="shared" si="9"/>
        <v>1</v>
      </c>
      <c r="F27" s="21">
        <f t="shared" si="9"/>
        <v>0.26517903476907106</v>
      </c>
      <c r="G27" s="21" t="e">
        <f t="shared" si="9"/>
        <v>#DIV/0!</v>
      </c>
      <c r="H27" s="21" t="e">
        <f t="shared" si="9"/>
        <v>#DIV/0!</v>
      </c>
      <c r="I27" s="21" t="e">
        <f t="shared" si="9"/>
        <v>#DIV/0!</v>
      </c>
      <c r="J27" s="21">
        <f t="shared" si="9"/>
        <v>-1.8636363636363638</v>
      </c>
      <c r="K27" s="21" t="e">
        <f t="shared" si="9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9"/>
        <v>-4.878048780487805E-2</v>
      </c>
      <c r="E28" s="21">
        <f t="shared" si="9"/>
        <v>-4.3879203887543412E-2</v>
      </c>
      <c r="F28" s="21">
        <f t="shared" si="9"/>
        <v>6.4703672563996992E-2</v>
      </c>
      <c r="G28" s="21">
        <f t="shared" si="9"/>
        <v>0.10820582732846225</v>
      </c>
      <c r="H28" s="21">
        <f t="shared" si="9"/>
        <v>0.17391304347826086</v>
      </c>
      <c r="I28" s="21">
        <f t="shared" si="9"/>
        <v>0.16969917515769042</v>
      </c>
      <c r="J28" s="21">
        <f t="shared" si="9"/>
        <v>7.7522685965867755E-2</v>
      </c>
      <c r="K28" s="21">
        <f t="shared" si="9"/>
        <v>-0.1166830643571074</v>
      </c>
    </row>
    <row r="29" spans="1:11" x14ac:dyDescent="0.25">
      <c r="A29" s="23"/>
      <c r="B29" s="5" t="s">
        <v>10</v>
      </c>
      <c r="C29" s="17">
        <v>31</v>
      </c>
      <c r="D29" s="21">
        <f t="shared" si="9"/>
        <v>0.6</v>
      </c>
      <c r="E29" s="21">
        <f t="shared" si="9"/>
        <v>0.58220192545050609</v>
      </c>
      <c r="F29" s="21">
        <f t="shared" si="9"/>
        <v>7.3574883057163254E-2</v>
      </c>
      <c r="G29" s="21">
        <f t="shared" si="9"/>
        <v>-1.3160627923570916</v>
      </c>
      <c r="H29" s="21">
        <f t="shared" si="9"/>
        <v>-2</v>
      </c>
      <c r="I29" s="21">
        <f t="shared" si="9"/>
        <v>-1.9999999999999996</v>
      </c>
      <c r="J29" s="21">
        <f t="shared" si="9"/>
        <v>-4.0503778337531484</v>
      </c>
      <c r="K29" s="21">
        <f t="shared" si="9"/>
        <v>-0.68345927791771621</v>
      </c>
    </row>
    <row r="30" spans="1:11" x14ac:dyDescent="0.25">
      <c r="A30" s="23"/>
      <c r="B30" s="5" t="s">
        <v>11</v>
      </c>
      <c r="C30" s="17">
        <v>15</v>
      </c>
      <c r="D30" s="21" t="e">
        <f t="shared" si="9"/>
        <v>#DIV/0!</v>
      </c>
      <c r="E30" s="21" t="e">
        <f t="shared" si="9"/>
        <v>#DIV/0!</v>
      </c>
      <c r="F30" s="21" t="e">
        <f t="shared" si="9"/>
        <v>#DIV/0!</v>
      </c>
      <c r="G30" s="21" t="e">
        <f t="shared" si="9"/>
        <v>#DIV/0!</v>
      </c>
      <c r="H30" s="21" t="e">
        <f t="shared" si="9"/>
        <v>#DIV/0!</v>
      </c>
      <c r="I30" s="21" t="e">
        <f t="shared" si="9"/>
        <v>#DIV/0!</v>
      </c>
      <c r="J30" s="21" t="e">
        <f t="shared" si="9"/>
        <v>#DIV/0!</v>
      </c>
      <c r="K30" s="21" t="e">
        <f t="shared" si="9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9"/>
        <v>-0.36585365853658536</v>
      </c>
      <c r="E31" s="21">
        <f t="shared" si="9"/>
        <v>-0.67253555825641365</v>
      </c>
      <c r="F31" s="21">
        <f t="shared" si="9"/>
        <v>-0.38248185776487659</v>
      </c>
      <c r="G31" s="21">
        <f t="shared" si="9"/>
        <v>-1.2174217292141711E-2</v>
      </c>
      <c r="H31" s="21">
        <f t="shared" si="9"/>
        <v>-0.22222222222222221</v>
      </c>
      <c r="I31" s="21">
        <f t="shared" si="9"/>
        <v>-0.85709180109492011</v>
      </c>
      <c r="J31" s="21">
        <f t="shared" si="9"/>
        <v>4.9481377197159197E-3</v>
      </c>
      <c r="K31" s="21">
        <f t="shared" si="9"/>
        <v>0.18586665813431302</v>
      </c>
    </row>
    <row r="32" spans="1:11" x14ac:dyDescent="0.25">
      <c r="A32" s="23"/>
      <c r="B32" s="5" t="s">
        <v>13</v>
      </c>
      <c r="C32" s="17">
        <v>35</v>
      </c>
      <c r="D32" s="21">
        <f t="shared" si="9"/>
        <v>-4.9382716049382713E-2</v>
      </c>
      <c r="E32" s="21">
        <f t="shared" si="9"/>
        <v>-7.8752345215760532E-3</v>
      </c>
      <c r="F32" s="21">
        <f t="shared" si="9"/>
        <v>5.7082850174621141E-2</v>
      </c>
      <c r="G32" s="21">
        <f t="shared" si="9"/>
        <v>0.10145542193110957</v>
      </c>
      <c r="H32" s="21">
        <f t="shared" si="9"/>
        <v>0.42105263157894735</v>
      </c>
      <c r="I32" s="21">
        <f t="shared" si="9"/>
        <v>0.34741379310344828</v>
      </c>
      <c r="J32" s="21">
        <f t="shared" si="9"/>
        <v>0.18862738052461375</v>
      </c>
      <c r="K32" s="21">
        <f t="shared" si="9"/>
        <v>-0.40146179727566722</v>
      </c>
    </row>
    <row r="33" spans="1:11" x14ac:dyDescent="0.25">
      <c r="A33" s="23"/>
      <c r="B33" s="5" t="s">
        <v>17</v>
      </c>
      <c r="C33" s="17">
        <v>35</v>
      </c>
      <c r="D33" s="21">
        <f t="shared" si="9"/>
        <v>0</v>
      </c>
      <c r="E33" s="21">
        <f t="shared" si="9"/>
        <v>0.27058823529411763</v>
      </c>
      <c r="F33" s="21">
        <f t="shared" si="9"/>
        <v>0.2414518674381905</v>
      </c>
      <c r="G33" s="21">
        <f t="shared" si="9"/>
        <v>0.24145186743819055</v>
      </c>
      <c r="H33" s="21">
        <f t="shared" si="9"/>
        <v>-1.2</v>
      </c>
      <c r="I33" s="21">
        <f t="shared" si="9"/>
        <v>-1.2063492063492063</v>
      </c>
      <c r="J33" s="21">
        <f t="shared" si="9"/>
        <v>-6.6659436792827959E-2</v>
      </c>
      <c r="K33" s="21">
        <f t="shared" si="9"/>
        <v>0.51515480145780546</v>
      </c>
    </row>
    <row r="34" spans="1:11" x14ac:dyDescent="0.25">
      <c r="A34" s="23"/>
      <c r="B34" s="5" t="s">
        <v>18</v>
      </c>
      <c r="C34" s="17">
        <v>35</v>
      </c>
      <c r="D34" s="21">
        <f t="shared" si="9"/>
        <v>-1</v>
      </c>
      <c r="E34" s="21">
        <f t="shared" si="9"/>
        <v>-1</v>
      </c>
      <c r="F34" s="21">
        <f t="shared" si="9"/>
        <v>-5.9638554216867465</v>
      </c>
      <c r="G34" s="21">
        <f t="shared" si="9"/>
        <v>-2.4819277108433733</v>
      </c>
      <c r="H34" s="21" t="e">
        <f t="shared" si="9"/>
        <v>#DIV/0!</v>
      </c>
      <c r="I34" s="21" t="e">
        <f t="shared" si="9"/>
        <v>#DIV/0!</v>
      </c>
      <c r="J34" s="21">
        <f t="shared" si="9"/>
        <v>-2.1330108827085854</v>
      </c>
      <c r="K34" s="21" t="e">
        <f t="shared" si="9"/>
        <v>#DIV/0!</v>
      </c>
    </row>
    <row r="35" spans="1:11" x14ac:dyDescent="0.25">
      <c r="A35" s="23"/>
      <c r="B35" s="5" t="s">
        <v>14</v>
      </c>
      <c r="C35" s="5"/>
      <c r="D35" s="22">
        <f t="shared" si="9"/>
        <v>-6.0150375939849621E-2</v>
      </c>
      <c r="E35" s="22">
        <f t="shared" si="9"/>
        <v>-8.8212133933940798E-2</v>
      </c>
      <c r="F35" s="22">
        <f t="shared" si="9"/>
        <v>-7.4378378378381124E-3</v>
      </c>
      <c r="G35" s="22">
        <f t="shared" si="9"/>
        <v>4.972175579835126E-2</v>
      </c>
      <c r="H35" s="22">
        <f t="shared" si="9"/>
        <v>0.11842105263157894</v>
      </c>
      <c r="I35" s="22">
        <f t="shared" si="9"/>
        <v>3.0041419335637053E-2</v>
      </c>
      <c r="J35" s="22">
        <f t="shared" si="9"/>
        <v>3.5854314542730817E-2</v>
      </c>
      <c r="K35" s="22">
        <f t="shared" si="9"/>
        <v>-9.3657792458991862E-2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2025-01-20T13:53:49Z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