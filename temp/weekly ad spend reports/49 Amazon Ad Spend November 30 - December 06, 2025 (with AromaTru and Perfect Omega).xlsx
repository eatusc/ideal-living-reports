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2EA2342-B09C-4271-ADBC-B610852656C7}" xr6:coauthVersionLast="47" xr6:coauthVersionMax="47" xr10:uidLastSave="{00000000-0000-0000-0000-000000000000}"/>
  <bookViews>
    <workbookView xWindow="2460" yWindow="246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 l="1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<sst xmlns="http://schemas.openxmlformats.org/spreadsheetml/2006/main" count="68" uniqueCount="21">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</sst>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10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45984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45990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38</v>
      </c>
      <c r="E4" s="7">
        <v>2627.9</v>
      </c>
      <c r="F4" s="7">
        <v>1045.21</v>
      </c>
      <c r="G4" s="7">
        <f t="shared" si="0"/>
        <v>27.505526315789474</v>
      </c>
      <c r="H4" s="11">
        <v>19</v>
      </c>
      <c r="I4" s="9">
        <v>1199.05</v>
      </c>
      <c r="J4" s="9">
        <v>957.73</v>
      </c>
      <c r="K4" s="9">
        <f t="shared" si="1"/>
        <v>50.406842105263159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26</v>
      </c>
      <c r="E7" s="27">
        <v>1883.5</v>
      </c>
      <c r="F7" s="27">
        <v>721.59</v>
      </c>
      <c r="G7" s="7">
        <f t="shared" si="0"/>
        <v>27.75346153846154</v>
      </c>
      <c r="H7" s="11">
        <v>5</v>
      </c>
      <c r="I7" s="9">
        <v>299.75</v>
      </c>
      <c r="J7" s="9">
        <v>823.71</v>
      </c>
      <c r="K7" s="9">
        <f t="shared" si="1"/>
        <v>164.74200000000002</v>
      </c>
    </row>
    <row r="8" spans="1:11" x14ac:dyDescent="0.25">
      <c r="A8" s="23"/>
      <c r="B8" s="5" t="s">
        <v>13</v>
      </c>
      <c r="C8" s="17">
        <v>35</v>
      </c>
      <c r="D8" s="10">
        <v>110</v>
      </c>
      <c r="E8" s="7">
        <v>7847</v>
      </c>
      <c r="F8" s="7">
        <v>3654.71</v>
      </c>
      <c r="G8" s="7">
        <f t="shared" si="0"/>
        <v>33.224636363636364</v>
      </c>
      <c r="H8" s="12">
        <v>26</v>
      </c>
      <c r="I8" s="9">
        <v>1620</v>
      </c>
      <c r="J8" s="9">
        <v>1854.88</v>
      </c>
      <c r="K8" s="9">
        <f t="shared" si="1"/>
        <v>71.341538461538462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1.8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0</v>
      </c>
      <c r="E12" s="7">
        <v>0</v>
      </c>
      <c r="F12" s="7">
        <v>31.32</v>
      </c>
      <c r="G12" s="7" t="e">
        <f t="shared" si="0"/>
        <v>#DIV/0!</v>
      </c>
      <c r="H12" s="11">
        <v>1</v>
      </c>
      <c r="I12" s="9">
        <v>32.5</v>
      </c>
      <c r="J12" s="9">
        <v>43.58</v>
      </c>
      <c r="K12" s="9">
        <f t="shared" si="1"/>
        <v>43.58</v>
      </c>
    </row>
    <row r="13" spans="1:11" x14ac:dyDescent="0.25">
      <c r="A13" s="23"/>
      <c r="B13" s="5" t="s">
        <v>14</v>
      </c>
      <c r="C13" s="5"/>
      <c r="D13" s="13">
        <f>SUM(D3:D12)</f>
        <v>174</v>
      </c>
      <c r="E13" s="14">
        <f>SUM(E3:E12)</f>
        <v>12358.4</v>
      </c>
      <c r="F13" s="14">
        <f>SUM(F3:F12)</f>
        <v>5452.83</v>
      </c>
      <c r="G13" s="14">
        <f>F13/D13</f>
        <v>31.338103448275863</v>
      </c>
      <c r="H13" s="15">
        <f>SUM(H3:H12)</f>
        <v>51</v>
      </c>
      <c r="I13" s="16">
        <f>SUM(I3:I12)</f>
        <v>3151.3</v>
      </c>
      <c r="J13" s="16">
        <f>SUM(J3:J12)</f>
        <v>3681.7000000000003</v>
      </c>
      <c r="K13" s="16">
        <f t="shared" ref="K13" si="2">J13/H13</f>
        <v>72.190196078431384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45991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45997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26</v>
      </c>
      <c r="E18" s="7">
        <v>1918.4</v>
      </c>
      <c r="F18" s="7">
        <v>635.76</v>
      </c>
      <c r="G18" s="7">
        <f t="shared" si="3"/>
        <v>24.452307692307691</v>
      </c>
      <c r="H18" s="11">
        <v>24</v>
      </c>
      <c r="I18" s="9">
        <v>1478.8000000000002</v>
      </c>
      <c r="J18" s="9">
        <v>1001.3699999999999</v>
      </c>
      <c r="K18" s="9">
        <f t="shared" si="4"/>
        <v>41.723749999999995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28</v>
      </c>
      <c r="E21" s="27">
        <v>2367.6</v>
      </c>
      <c r="F21" s="27">
        <v>508.4</v>
      </c>
      <c r="G21" s="7">
        <f t="shared" si="3"/>
        <v>18.157142857142855</v>
      </c>
      <c r="H21" s="11">
        <v>6</v>
      </c>
      <c r="I21" s="9">
        <v>369.7</v>
      </c>
      <c r="J21" s="9">
        <v>772.96</v>
      </c>
      <c r="K21" s="9">
        <f t="shared" si="4"/>
        <v>128.82666666666668</v>
      </c>
    </row>
    <row r="22" spans="1:11" x14ac:dyDescent="0.25">
      <c r="A22" s="23"/>
      <c r="B22" s="5" t="s">
        <v>13</v>
      </c>
      <c r="C22" s="17">
        <v>35</v>
      </c>
      <c r="D22" s="10">
        <v>96</v>
      </c>
      <c r="E22" s="7">
        <v>6480</v>
      </c>
      <c r="F22" s="7">
        <v>3033.9700000000003</v>
      </c>
      <c r="G22" s="7">
        <f t="shared" si="3"/>
        <v>31.603854166666668</v>
      </c>
      <c r="H22" s="12">
        <v>43</v>
      </c>
      <c r="I22" s="9">
        <v>2659.95</v>
      </c>
      <c r="J22" s="9">
        <v>1968.1</v>
      </c>
      <c r="K22" s="9">
        <f t="shared" si="4"/>
        <v>45.769767441860466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1.61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3</v>
      </c>
      <c r="E26" s="7">
        <v>248</v>
      </c>
      <c r="F26" s="7">
        <v>16.809999999999999</v>
      </c>
      <c r="G26" s="7">
        <f t="shared" si="3"/>
        <v>5.6033333333333326</v>
      </c>
      <c r="H26" s="11">
        <v>1</v>
      </c>
      <c r="I26" s="9">
        <v>16</v>
      </c>
      <c r="J26" s="9">
        <v>29.2</v>
      </c>
      <c r="K26" s="9">
        <f t="shared" si="4"/>
        <v>29.2</v>
      </c>
    </row>
    <row r="27" spans="1:11" x14ac:dyDescent="0.25">
      <c r="A27" s="23"/>
      <c r="B27" s="5" t="s">
        <v>14</v>
      </c>
      <c r="C27" s="5"/>
      <c r="D27" s="13">
        <f>SUM(D17:D26)</f>
        <v>153</v>
      </c>
      <c r="E27" s="14">
        <f>SUM(E17:E26)</f>
        <v>11014</v>
      </c>
      <c r="F27" s="14">
        <f>SUM(F17:F26)</f>
        <v>4194.9400000000005</v>
      </c>
      <c r="G27" s="14">
        <f>F27/D27</f>
        <v>27.417908496732029</v>
      </c>
      <c r="H27" s="15">
        <f>SUM(H17:H26)</f>
        <v>74</v>
      </c>
      <c r="I27" s="16">
        <f>SUM(I17:I26)</f>
        <v>4524.45</v>
      </c>
      <c r="J27" s="16">
        <f>SUM(J17:J26)</f>
        <v>3773.24</v>
      </c>
      <c r="K27" s="16">
        <f t="shared" ref="K27" si="8">J27/H27</f>
        <v>50.989729729729724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-0.46153846153846156</v>
      </c>
      <c r="E32" s="21">
        <f t="shared" si="9"/>
        <v>-0.36983944954128439</v>
      </c>
      <c r="F32" s="21">
        <f t="shared" si="9"/>
        <v>-0.64403233924751491</v>
      </c>
      <c r="G32" s="21">
        <f t="shared" si="9"/>
        <v>-0.12486423211672071</v>
      </c>
      <c r="H32" s="21">
        <f t="shared" si="9"/>
        <v>0.20833333333333334</v>
      </c>
      <c r="I32" s="21">
        <f t="shared" si="9"/>
        <v>0.18917365431430902</v>
      </c>
      <c r="J32" s="21">
        <f t="shared" si="9"/>
        <v>4.3580294995855556E-2</v>
      </c>
      <c r="K32" s="21">
        <f t="shared" si="9"/>
        <v>-0.20810910105786667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7.1428571428571425E-2</v>
      </c>
      <c r="E35" s="21">
        <f t="shared" si="9"/>
        <v>0.20446866024666327</v>
      </c>
      <c r="F35" s="21">
        <f t="shared" si="9"/>
        <v>-0.41933516915814334</v>
      </c>
      <c r="G35" s="21">
        <f t="shared" si="9"/>
        <v>-0.5285147975549237</v>
      </c>
      <c r="H35" s="21">
        <f t="shared" si="9"/>
        <v>0.16666666666666666</v>
      </c>
      <c r="I35" s="21">
        <f t="shared" si="9"/>
        <v>0.18920746551257775</v>
      </c>
      <c r="J35" s="21">
        <f t="shared" si="9"/>
        <v>-6.5656696336162279E-2</v>
      </c>
      <c r="K35" s="21">
        <f t="shared" si="9"/>
        <v>-0.27878803560339471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-0.14583333333333334</v>
      </c>
      <c r="E36" s="21">
        <f t="shared" si="9"/>
        <v>-0.21095679012345678</v>
      </c>
      <c r="F36" s="21">
        <f t="shared" si="9"/>
        <v>-0.20459661763300221</v>
      </c>
      <c r="G36" s="21">
        <f t="shared" si="9"/>
        <v>-5.1284320843347428E-2</v>
      </c>
      <c r="H36" s="21">
        <f t="shared" si="9"/>
        <v>0.39534883720930231</v>
      </c>
      <c r="I36" s="21">
        <f t="shared" si="9"/>
        <v>0.39096599560142103</v>
      </c>
      <c r="J36" s="21">
        <f t="shared" si="9"/>
        <v>5.752756465626737E-2</v>
      </c>
      <c r="K36" s="21">
        <f t="shared" si="9"/>
        <v>-0.55870441229924994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1</v>
      </c>
      <c r="E39" s="21">
        <f t="shared" si="10"/>
        <v>1</v>
      </c>
      <c r="F39" s="21">
        <f t="shared" si="10"/>
        <v>-0.86317668054729346</v>
      </c>
      <c r="G39" s="21" t="e">
        <f t="shared" si="10"/>
        <v>#DIV/0!</v>
      </c>
      <c r="H39" s="21">
        <f t="shared" si="10"/>
        <v>0</v>
      </c>
      <c r="I39" s="21">
        <f t="shared" si="10"/>
        <v>-1.03125</v>
      </c>
      <c r="J39" s="21">
        <f t="shared" si="10"/>
        <v>-0.49246575342465754</v>
      </c>
      <c r="K39" s="21">
        <f t="shared" si="10"/>
        <v>-0.49246575342465754</v>
      </c>
    </row>
    <row r="40" spans="1:11" x14ac:dyDescent="0.25">
      <c r="A40" s="23"/>
      <c r="B40" s="5" t="s">
        <v>14</v>
      </c>
      <c r="C40" s="5"/>
      <c r="D40" s="22">
        <f t="shared" si="10"/>
        <v>-0.13725490196078433</v>
      </c>
      <c r="E40" s="22">
        <f t="shared" si="10"/>
        <v>-0.12206282912656616</v>
      </c>
      <c r="F40" s="22">
        <f t="shared" si="10"/>
        <v>-0.29985887760015623</v>
      </c>
      <c r="G40" s="22">
        <f t="shared" si="10"/>
        <v>-0.1429793578897926</v>
      </c>
      <c r="H40" s="22">
        <f t="shared" si="10"/>
        <v>0.3108108108108108</v>
      </c>
      <c r="I40" s="22">
        <f t="shared" si="10"/>
        <v>0.30349545248593746</v>
      </c>
      <c r="J40" s="22">
        <f t="shared" si="10"/>
        <v>2.4260317393009594E-2</v>
      </c>
      <c r="K40" s="22">
        <f t="shared" si="10"/>
        <v>-0.41577914731210391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2025-12-08T13:39:19Z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