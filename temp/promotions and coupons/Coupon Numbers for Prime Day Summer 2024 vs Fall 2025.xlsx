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2024 vs 2025" sheetId="1" r:id="rId5"/>
    <sheet state="visible" name="Coupon Detail Info" sheetId="2" r:id="rId6"/>
  </sheets>
  <definedNames/>
  <calcPr/>
</workbook>
</file>

<file path=xl/sharedStrings.xml><?xml version="1.0" encoding="utf-8"?>
<sst xmlns="http://schemas.openxmlformats.org/spreadsheetml/2006/main" count="94" uniqueCount="61">
  <si>
    <t>Product Name</t>
  </si>
  <si>
    <t>Discount 24</t>
  </si>
  <si>
    <t>Discount 25</t>
  </si>
  <si>
    <t>Clips 24</t>
  </si>
  <si>
    <t>Clips 25</t>
  </si>
  <si>
    <t>Redeemed 24</t>
  </si>
  <si>
    <t>Redeemed 25</t>
  </si>
  <si>
    <t>Sales 24</t>
  </si>
  <si>
    <t>Sales 25</t>
  </si>
  <si>
    <t>Δ Sales</t>
  </si>
  <si>
    <t>% Change</t>
  </si>
  <si>
    <t>Prosvent Supplements</t>
  </si>
  <si>
    <t>Better Bladder Supplements</t>
  </si>
  <si>
    <t>Ideal Prostate Supplements</t>
  </si>
  <si>
    <t>AromaTru Oil Sets / Essential Oils</t>
  </si>
  <si>
    <t>NA</t>
  </si>
  <si>
    <t>Prime Day Fall 2025</t>
  </si>
  <si>
    <t>Coupon title</t>
  </si>
  <si>
    <t>Link</t>
  </si>
  <si>
    <t>Coupon type</t>
  </si>
  <si>
    <t>Discount</t>
  </si>
  <si>
    <t>Schedule</t>
  </si>
  <si>
    <t>Budget</t>
  </si>
  <si>
    <t>BUDGET SPENT</t>
  </si>
  <si>
    <t>CLIPS</t>
  </si>
  <si>
    <t>REDEEMED</t>
  </si>
  <si>
    <t>SALES</t>
  </si>
  <si>
    <t>Save 18% on AromaTru Oil Sets</t>
  </si>
  <si>
    <t>https://sellercentral.amazon.com/coupons/view-coupon/c542d136-3fc6-40f0-a5df-1b6b362cd5df</t>
  </si>
  <si>
    <t>Standard</t>
  </si>
  <si>
    <t>10/06/2025 - 10/12/2025</t>
  </si>
  <si>
    <t>Save 35% on Ideal Prostate Supplements</t>
  </si>
  <si>
    <t>https://sellercentral.amazon.com/coupons/view-coupon/efd2ce64-3fee-450b-af7d-1679ed9d05c7</t>
  </si>
  <si>
    <t>Subscribe &amp; Save</t>
  </si>
  <si>
    <t>Save 35% on Prosvent Supplements</t>
  </si>
  <si>
    <t>https://sellercentral.amazon.com/coupons/view-coupon/a3fabf06-e7cc-4fee-8633-a1a0a00351bd</t>
  </si>
  <si>
    <t>Save 35% on Better Bladder Supplements</t>
  </si>
  <si>
    <t>https://sellercentral.amazon.com/coupons/view-coupon/b3e84e91-84a8-4a10-b0c3-a638d41dcdbe</t>
  </si>
  <si>
    <t>Prime Day Summer 2024</t>
  </si>
  <si>
    <t>Save $20 on 1st Sub and Save Prosvent Ultra Advanced Mens Prostate Support Supplement</t>
  </si>
  <si>
    <t>https://sellercentral.amazon.com/coupons/view-coupon/9588bd34-185c-4766-ae0b-b3ac75f49bf5</t>
  </si>
  <si>
    <t>07/15/2024 - 07/21/2024</t>
  </si>
  <si>
    <t>Save $20 on 1st Sub and Save Prosvent Advanced Mens Prostate Support Supplement</t>
  </si>
  <si>
    <t>https://sellercentral.amazon.com/coupons/view-coupon/39f1c560-e27c-4078-a92d-518dee5fba6a</t>
  </si>
  <si>
    <t>Save $20 on 1st Sub and Save Better Bladder Ultra Bladder Support Supplement</t>
  </si>
  <si>
    <t>https://sellercentral.amazon.com/coupons/view-coupon/f4f754e9-d8d1-49f7-a894-db82b5afd002</t>
  </si>
  <si>
    <t>ave $20 on 1st Sub and Save Better Bladder Advanced Bladder Control</t>
  </si>
  <si>
    <t>https://sellercentral.amazon.com/coupons/view-coupon/9dc5d385-2846-48a4-ab43-aeefc3a3ca3e</t>
  </si>
  <si>
    <t>Save 35% on 1st Sub and Save Cebria Ultra Advanced Brain Supplement</t>
  </si>
  <si>
    <t>https://sellercentral.amazon.com/coupons/view-coupon/dab6fc9e-eb96-47ba-924e-6c7c5809dd8f</t>
  </si>
  <si>
    <t>Save $30 on 1st Sub and Save BeFlexible Ultra Advanced Joint Support Supplement</t>
  </si>
  <si>
    <t>https://sellercentral.amazon.com/coupons/view-coupon/0018be57-9369-4b2d-b6ae-7708b0fd2fe2</t>
  </si>
  <si>
    <t>Save $20 on 1st Sub and Save Ideal Prostate Advanced Prostate Support Supplement</t>
  </si>
  <si>
    <t>https://sellercentral.amazon.com/coupons/view-coupon/284005d5-f937-48a0-8109-e1dc3283883e</t>
  </si>
  <si>
    <t>Save $20 on 1st Sub and Save Profemin Ultra Advanced Womens Menopause Supplement</t>
  </si>
  <si>
    <t>https://sellercentral.amazon.com/coupons/view-coupon/64e27afd-117e-48ae-b612-f6862a3a7bbc</t>
  </si>
  <si>
    <t>Save $20 on 1st Sub and Save Ideal Prostate Ultra Advanced Prostate Support Supplement</t>
  </si>
  <si>
    <t>https://sellercentral.amazon.com/coupons/view-coupon/e770f68c-7be6-462e-aa20-27b50d341e74</t>
  </si>
  <si>
    <t>Save 15% on AromaTru Aromatherapy Essential Oils</t>
  </si>
  <si>
    <t>https://sellercentral.amazon.com/coupons/view-coupon/48170f1d-4515-4cd6-a695-42df8088bd01</t>
  </si>
  <si>
    <t>07/16/2024 - 07/17/2024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</si>
</sst>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7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b/>
      <sz val="15.0"/>
      <color theme="1"/>
      <name val="Calibri"/>
    </font>
    <font>
      <b/>
      <i/>
      <sz val="13.0"/>
      <color theme="1"/>
      <name val="Calibri"/>
    </font>
    <font>
      <u/>
      <color rgb="FF0000FF"/>
      <name val="Calibri"/>
    </font>
    <font>
      <u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2" fontId="1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9" xfId="0" applyAlignment="1" applyBorder="1" applyFont="1" applyNumberFormat="1">
      <alignment horizontal="left"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 shrinkToFit="0" wrapText="1"/>
    </xf>
    <xf borderId="0" fillId="3" fontId="3" numFmtId="0" xfId="0" applyAlignment="1" applyFont="1">
      <alignment horizontal="left" shrinkToFit="0" wrapText="0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9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1"/>
    </xf>
    <xf borderId="0" fillId="0" fontId="2" numFmtId="164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ellercentral.amazon.com/coupons/view-coupon/284005d5-f937-48a0-8109-e1dc3283883e" TargetMode="External"/><Relationship Id="rId10" Type="http://schemas.openxmlformats.org/officeDocument/2006/relationships/hyperlink" Target="https://sellercentral.amazon.com/coupons/view-coupon/0018be57-9369-4b2d-b6ae-7708b0fd2fe2" TargetMode="External"/><Relationship Id="rId13" Type="http://schemas.openxmlformats.org/officeDocument/2006/relationships/hyperlink" Target="https://sellercentral.amazon.com/coupons/view-coupon/e770f68c-7be6-462e-aa20-27b50d341e74" TargetMode="External"/><Relationship Id="rId12" Type="http://schemas.openxmlformats.org/officeDocument/2006/relationships/hyperlink" Target="https://sellercentral.amazon.com/coupons/view-coupon/64e27afd-117e-48ae-b612-f6862a3a7bbc" TargetMode="External"/><Relationship Id="rId1" Type="http://schemas.openxmlformats.org/officeDocument/2006/relationships/hyperlink" Target="https://sellercentral.amazon.com/coupons/view-coupon/c542d136-3fc6-40f0-a5df-1b6b362cd5df" TargetMode="External"/><Relationship Id="rId2" Type="http://schemas.openxmlformats.org/officeDocument/2006/relationships/hyperlink" Target="https://sellercentral.amazon.com/coupons/view-coupon/efd2ce64-3fee-450b-af7d-1679ed9d05c7" TargetMode="External"/><Relationship Id="rId3" Type="http://schemas.openxmlformats.org/officeDocument/2006/relationships/hyperlink" Target="https://sellercentral.amazon.com/coupons/view-coupon/a3fabf06-e7cc-4fee-8633-a1a0a00351bd" TargetMode="External"/><Relationship Id="rId4" Type="http://schemas.openxmlformats.org/officeDocument/2006/relationships/hyperlink" Target="https://sellercentral.amazon.com/coupons/view-coupon/b3e84e91-84a8-4a10-b0c3-a638d41dcdbe" TargetMode="External"/><Relationship Id="rId9" Type="http://schemas.openxmlformats.org/officeDocument/2006/relationships/hyperlink" Target="https://sellercentral.amazon.com/coupons/view-coupon/dab6fc9e-eb96-47ba-924e-6c7c5809dd8f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sellercentral.amazon.com/coupons/view-coupon/48170f1d-4515-4cd6-a695-42df8088bd01" TargetMode="External"/><Relationship Id="rId5" Type="http://schemas.openxmlformats.org/officeDocument/2006/relationships/hyperlink" Target="https://sellercentral.amazon.com/coupons/view-coupon/9588bd34-185c-4766-ae0b-b3ac75f49bf5" TargetMode="External"/><Relationship Id="rId6" Type="http://schemas.openxmlformats.org/officeDocument/2006/relationships/hyperlink" Target="https://sellercentral.amazon.com/coupons/view-coupon/39f1c560-e27c-4078-a92d-518dee5fba6a" TargetMode="External"/><Relationship Id="rId7" Type="http://schemas.openxmlformats.org/officeDocument/2006/relationships/hyperlink" Target="https://sellercentral.amazon.com/coupons/view-coupon/f4f754e9-d8d1-49f7-a894-db82b5afd002" TargetMode="External"/><Relationship Id="rId8" Type="http://schemas.openxmlformats.org/officeDocument/2006/relationships/hyperlink" Target="https://sellercentral.amazon.com/coupons/view-coupon/9dc5d385-2846-48a4-ab43-aeefc3a3ca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</row>
    <row r="2">
      <c r="A2" s="4" t="s">
        <v>11</v>
      </c>
      <c r="B2" s="5">
        <v>20.0</v>
      </c>
      <c r="C2" s="6">
        <v>0.35</v>
      </c>
      <c r="D2" s="4">
        <v>89.0</v>
      </c>
      <c r="E2" s="4">
        <v>68.0</v>
      </c>
      <c r="F2" s="4">
        <v>20.0</v>
      </c>
      <c r="G2" s="4">
        <v>19.0</v>
      </c>
      <c r="H2" s="5">
        <v>700.0</v>
      </c>
      <c r="I2" s="5">
        <v>757.25</v>
      </c>
      <c r="J2" s="7">
        <f t="shared" ref="J2:J5" si="1">I2-H2</f>
        <v>57.25</v>
      </c>
      <c r="K2" s="8">
        <f t="shared" ref="K2:K4" si="2">J2/H2</f>
        <v>0.08178571429</v>
      </c>
      <c r="L2" s="3"/>
      <c r="M2" s="3"/>
      <c r="N2" s="3"/>
      <c r="O2" s="3"/>
      <c r="P2" s="3"/>
      <c r="Q2" s="3"/>
      <c r="R2" s="3"/>
      <c r="S2" s="3"/>
      <c r="T2" s="3"/>
    </row>
    <row r="3">
      <c r="A3" s="4" t="s">
        <v>12</v>
      </c>
      <c r="B3" s="5">
        <v>20.0</v>
      </c>
      <c r="C3" s="6">
        <v>0.35</v>
      </c>
      <c r="D3" s="4">
        <v>40.0</v>
      </c>
      <c r="E3" s="4">
        <v>32.0</v>
      </c>
      <c r="F3" s="4">
        <v>11.0</v>
      </c>
      <c r="G3" s="4">
        <v>3.0</v>
      </c>
      <c r="H3" s="5">
        <v>439.45</v>
      </c>
      <c r="I3" s="5">
        <v>136.41</v>
      </c>
      <c r="J3" s="7">
        <f t="shared" si="1"/>
        <v>-303.04</v>
      </c>
      <c r="K3" s="8">
        <f t="shared" si="2"/>
        <v>-0.6895892593</v>
      </c>
      <c r="L3" s="3"/>
      <c r="M3" s="3"/>
      <c r="N3" s="3"/>
      <c r="O3" s="3"/>
      <c r="P3" s="3"/>
      <c r="Q3" s="3"/>
      <c r="R3" s="3"/>
      <c r="S3" s="3"/>
      <c r="T3" s="3"/>
    </row>
    <row r="4">
      <c r="A4" s="4" t="s">
        <v>13</v>
      </c>
      <c r="B4" s="5">
        <v>20.0</v>
      </c>
      <c r="C4" s="6">
        <v>0.35</v>
      </c>
      <c r="D4" s="4">
        <v>34.0</v>
      </c>
      <c r="E4" s="4">
        <v>16.0</v>
      </c>
      <c r="F4" s="4">
        <v>9.0</v>
      </c>
      <c r="G4" s="4">
        <v>6.0</v>
      </c>
      <c r="H4" s="5">
        <v>359.55</v>
      </c>
      <c r="I4" s="5">
        <v>233.82</v>
      </c>
      <c r="J4" s="7">
        <f t="shared" si="1"/>
        <v>-125.73</v>
      </c>
      <c r="K4" s="8">
        <f t="shared" si="2"/>
        <v>-0.3496871089</v>
      </c>
      <c r="L4" s="3"/>
      <c r="M4" s="3"/>
      <c r="N4" s="3"/>
      <c r="O4" s="3"/>
      <c r="P4" s="3"/>
      <c r="Q4" s="3"/>
      <c r="R4" s="3"/>
      <c r="S4" s="3"/>
      <c r="T4" s="3"/>
    </row>
    <row r="5">
      <c r="A5" s="4" t="s">
        <v>14</v>
      </c>
      <c r="B5" s="6">
        <v>0.15</v>
      </c>
      <c r="C5" s="6">
        <v>0.18</v>
      </c>
      <c r="D5" s="4">
        <v>0.0</v>
      </c>
      <c r="E5" s="4">
        <v>17.0</v>
      </c>
      <c r="F5" s="4">
        <v>0.0</v>
      </c>
      <c r="G5" s="4">
        <v>7.0</v>
      </c>
      <c r="H5" s="5">
        <v>0.0</v>
      </c>
      <c r="I5" s="5">
        <v>204.0</v>
      </c>
      <c r="J5" s="7">
        <f t="shared" si="1"/>
        <v>204</v>
      </c>
      <c r="K5" s="9" t="s">
        <v>15</v>
      </c>
      <c r="L5" s="3"/>
      <c r="M5" s="3"/>
      <c r="N5" s="3"/>
      <c r="O5" s="3"/>
      <c r="P5" s="3"/>
      <c r="Q5" s="3"/>
      <c r="R5" s="3"/>
      <c r="S5" s="3"/>
      <c r="T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52.5"/>
    <col customWidth="1" min="3" max="3" width="27.75"/>
    <col customWidth="1" min="5" max="5" width="25.0"/>
    <col customWidth="1" min="7" max="7" width="23.75"/>
    <col customWidth="1" min="9" max="9" width="15.88"/>
  </cols>
  <sheetData>
    <row r="1">
      <c r="A1" s="10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17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 t="s">
        <v>24</v>
      </c>
      <c r="I2" s="13" t="s">
        <v>25</v>
      </c>
      <c r="J2" s="13" t="s">
        <v>26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27</v>
      </c>
      <c r="B3" s="16" t="s">
        <v>28</v>
      </c>
      <c r="C3" s="17" t="s">
        <v>29</v>
      </c>
      <c r="D3" s="18">
        <v>0.18</v>
      </c>
      <c r="E3" s="17" t="s">
        <v>30</v>
      </c>
      <c r="F3" s="19">
        <v>10000.0</v>
      </c>
      <c r="G3" s="19">
        <v>36.0</v>
      </c>
      <c r="H3" s="17">
        <v>17.0</v>
      </c>
      <c r="I3" s="17">
        <v>7.0</v>
      </c>
      <c r="J3" s="19">
        <v>204.0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31</v>
      </c>
      <c r="B4" s="16" t="s">
        <v>32</v>
      </c>
      <c r="C4" s="17" t="s">
        <v>33</v>
      </c>
      <c r="D4" s="18">
        <v>0.35</v>
      </c>
      <c r="E4" s="17" t="s">
        <v>30</v>
      </c>
      <c r="F4" s="19">
        <v>10000.0</v>
      </c>
      <c r="G4" s="19">
        <v>125.88</v>
      </c>
      <c r="H4" s="17">
        <v>16.0</v>
      </c>
      <c r="I4" s="17">
        <v>6.0</v>
      </c>
      <c r="J4" s="19">
        <v>233.82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34</v>
      </c>
      <c r="B5" s="16" t="s">
        <v>35</v>
      </c>
      <c r="C5" s="17" t="s">
        <v>33</v>
      </c>
      <c r="D5" s="18">
        <v>0.35</v>
      </c>
      <c r="E5" s="17" t="s">
        <v>30</v>
      </c>
      <c r="F5" s="19">
        <v>10000.0</v>
      </c>
      <c r="G5" s="19">
        <v>407.75</v>
      </c>
      <c r="H5" s="17">
        <v>68.0</v>
      </c>
      <c r="I5" s="17">
        <v>19.0</v>
      </c>
      <c r="J5" s="19">
        <v>757.25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36</v>
      </c>
      <c r="B6" s="20" t="s">
        <v>37</v>
      </c>
      <c r="C6" s="17" t="s">
        <v>33</v>
      </c>
      <c r="D6" s="18">
        <v>0.35</v>
      </c>
      <c r="E6" s="17" t="s">
        <v>30</v>
      </c>
      <c r="F6" s="19">
        <v>10000.0</v>
      </c>
      <c r="G6" s="19">
        <v>73.44</v>
      </c>
      <c r="H6" s="17">
        <v>32.0</v>
      </c>
      <c r="I6" s="17">
        <v>3.0</v>
      </c>
      <c r="J6" s="19">
        <v>136.41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 t="s">
        <v>38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2" t="s">
        <v>17</v>
      </c>
      <c r="B10" s="13" t="s">
        <v>18</v>
      </c>
      <c r="C10" s="13" t="s">
        <v>19</v>
      </c>
      <c r="D10" s="13" t="s">
        <v>20</v>
      </c>
      <c r="E10" s="13" t="s">
        <v>21</v>
      </c>
      <c r="F10" s="13" t="s">
        <v>22</v>
      </c>
      <c r="G10" s="13" t="s">
        <v>23</v>
      </c>
      <c r="H10" s="13" t="s">
        <v>24</v>
      </c>
      <c r="I10" s="13" t="s">
        <v>25</v>
      </c>
      <c r="J10" s="13" t="s">
        <v>26</v>
      </c>
      <c r="K10" s="1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39</v>
      </c>
      <c r="B11" s="16" t="s">
        <v>40</v>
      </c>
      <c r="C11" s="17" t="s">
        <v>33</v>
      </c>
      <c r="D11" s="19">
        <v>20.0</v>
      </c>
      <c r="E11" s="17" t="s">
        <v>41</v>
      </c>
      <c r="F11" s="19">
        <v>10000.0</v>
      </c>
      <c r="G11" s="19">
        <v>123.6</v>
      </c>
      <c r="H11" s="17">
        <v>35.0</v>
      </c>
      <c r="I11" s="17">
        <v>6.0</v>
      </c>
      <c r="J11" s="19">
        <v>282.0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42</v>
      </c>
      <c r="B12" s="16" t="s">
        <v>43</v>
      </c>
      <c r="C12" s="17" t="s">
        <v>33</v>
      </c>
      <c r="D12" s="19">
        <v>20.0</v>
      </c>
      <c r="E12" s="17" t="s">
        <v>41</v>
      </c>
      <c r="F12" s="19">
        <v>10000.0</v>
      </c>
      <c r="G12" s="19">
        <v>412.0</v>
      </c>
      <c r="H12" s="17">
        <v>89.0</v>
      </c>
      <c r="I12" s="17">
        <v>20.0</v>
      </c>
      <c r="J12" s="19">
        <v>700.0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44</v>
      </c>
      <c r="B13" s="16" t="s">
        <v>45</v>
      </c>
      <c r="C13" s="17" t="s">
        <v>33</v>
      </c>
      <c r="D13" s="19">
        <v>20.0</v>
      </c>
      <c r="E13" s="17" t="s">
        <v>41</v>
      </c>
      <c r="F13" s="19">
        <v>10000.0</v>
      </c>
      <c r="G13" s="22">
        <v>103.0</v>
      </c>
      <c r="H13" s="17">
        <v>34.0</v>
      </c>
      <c r="I13" s="17">
        <v>5.0</v>
      </c>
      <c r="J13" s="19">
        <v>249.75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46</v>
      </c>
      <c r="B14" s="16" t="s">
        <v>47</v>
      </c>
      <c r="C14" s="17" t="s">
        <v>33</v>
      </c>
      <c r="D14" s="19">
        <v>20.0</v>
      </c>
      <c r="E14" s="17" t="s">
        <v>41</v>
      </c>
      <c r="F14" s="19">
        <v>10000.0</v>
      </c>
      <c r="G14" s="19">
        <v>226.6</v>
      </c>
      <c r="H14" s="17">
        <v>40.0</v>
      </c>
      <c r="I14" s="17">
        <v>11.0</v>
      </c>
      <c r="J14" s="19">
        <v>439.45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48</v>
      </c>
      <c r="B15" s="16" t="s">
        <v>49</v>
      </c>
      <c r="C15" s="17" t="s">
        <v>33</v>
      </c>
      <c r="D15" s="18">
        <v>0.35</v>
      </c>
      <c r="E15" s="17" t="s">
        <v>41</v>
      </c>
      <c r="F15" s="19">
        <v>10000.0</v>
      </c>
      <c r="G15" s="22">
        <v>8.5</v>
      </c>
      <c r="H15" s="17">
        <v>5.0</v>
      </c>
      <c r="I15" s="17">
        <v>2.0</v>
      </c>
      <c r="J15" s="19">
        <v>50.7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50</v>
      </c>
      <c r="B16" s="16" t="s">
        <v>51</v>
      </c>
      <c r="C16" s="17" t="s">
        <v>33</v>
      </c>
      <c r="D16" s="19">
        <v>30.0</v>
      </c>
      <c r="E16" s="17" t="s">
        <v>41</v>
      </c>
      <c r="F16" s="19">
        <v>10000.0</v>
      </c>
      <c r="G16" s="22">
        <v>0.0</v>
      </c>
      <c r="H16" s="17">
        <v>0.0</v>
      </c>
      <c r="I16" s="17">
        <v>0.0</v>
      </c>
      <c r="J16" s="22">
        <v>0.0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52</v>
      </c>
      <c r="B17" s="16" t="s">
        <v>53</v>
      </c>
      <c r="C17" s="17" t="s">
        <v>33</v>
      </c>
      <c r="D17" s="19">
        <v>20.0</v>
      </c>
      <c r="E17" s="17" t="s">
        <v>41</v>
      </c>
      <c r="F17" s="19">
        <v>10000.0</v>
      </c>
      <c r="G17" s="19">
        <v>185.4</v>
      </c>
      <c r="H17" s="17">
        <v>34.0</v>
      </c>
      <c r="I17" s="17">
        <v>9.0</v>
      </c>
      <c r="J17" s="19">
        <v>359.55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54</v>
      </c>
      <c r="B18" s="16" t="s">
        <v>55</v>
      </c>
      <c r="C18" s="17" t="s">
        <v>33</v>
      </c>
      <c r="D18" s="19">
        <v>20.0</v>
      </c>
      <c r="E18" s="17" t="s">
        <v>41</v>
      </c>
      <c r="F18" s="19">
        <v>10000.0</v>
      </c>
      <c r="G18" s="19">
        <v>103.0</v>
      </c>
      <c r="H18" s="17">
        <v>6.0</v>
      </c>
      <c r="I18" s="17">
        <v>5.0</v>
      </c>
      <c r="J18" s="19">
        <v>174.75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56</v>
      </c>
      <c r="B19" s="16" t="s">
        <v>57</v>
      </c>
      <c r="C19" s="17" t="s">
        <v>33</v>
      </c>
      <c r="D19" s="19">
        <v>20.0</v>
      </c>
      <c r="E19" s="17" t="s">
        <v>41</v>
      </c>
      <c r="F19" s="19">
        <v>10000.0</v>
      </c>
      <c r="G19" s="19">
        <v>61.8</v>
      </c>
      <c r="H19" s="17">
        <v>9.0</v>
      </c>
      <c r="I19" s="17">
        <v>3.0</v>
      </c>
      <c r="J19" s="19">
        <v>149.85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58</v>
      </c>
      <c r="B20" s="16" t="s">
        <v>59</v>
      </c>
      <c r="C20" s="17" t="s">
        <v>29</v>
      </c>
      <c r="D20" s="18">
        <v>0.15</v>
      </c>
      <c r="E20" s="17" t="s">
        <v>60</v>
      </c>
      <c r="F20" s="19">
        <v>100000.0</v>
      </c>
      <c r="G20" s="22">
        <v>0.0</v>
      </c>
      <c r="H20" s="17">
        <v>0.0</v>
      </c>
      <c r="I20" s="17">
        <v>0.0</v>
      </c>
      <c r="J20" s="22">
        <v>0.0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1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1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1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1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1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1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1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1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1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1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1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1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1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1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1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1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1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1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1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1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1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1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1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1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1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1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1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1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1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1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1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1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1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1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1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1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1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1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1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1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1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1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1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1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1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1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1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1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1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1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1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1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1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1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1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1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1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1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1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1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1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1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1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1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1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1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1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1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1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1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1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1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1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1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1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1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1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1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1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1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1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1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1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1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1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1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1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1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1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1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1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1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1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1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1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1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1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1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1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1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1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1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1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1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1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1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1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1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1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1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1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1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1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1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1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1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1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1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1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1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1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1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1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1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1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1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1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1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1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1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1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1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1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1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1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1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1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1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1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1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1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1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1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1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1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1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1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1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1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1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1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1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1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1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1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1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1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1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1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1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1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1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1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1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1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1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1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1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1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1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1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1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1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1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1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1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1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1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1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1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1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1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1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1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1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1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1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1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1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1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1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1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1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1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1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1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1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1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1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1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1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1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1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1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1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1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1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1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1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1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1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1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1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1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1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1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1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1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1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1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1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1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1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1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1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1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1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1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1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1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1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1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1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1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1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1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1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1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1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1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1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1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1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1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1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1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1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1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1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1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1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1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1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1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1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1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1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1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1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1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1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1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1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1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1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1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1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1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1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1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1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1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1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1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1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1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1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1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1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1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1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1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1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1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1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1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1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1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1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1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1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1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1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1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1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1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1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1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1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1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1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1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1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1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1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1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1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1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1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1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1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1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1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1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1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1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1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1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1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1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1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1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1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1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1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1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1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1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1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1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1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1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1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1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1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1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1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1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1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1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1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1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1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1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1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1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1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1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1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1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1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1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1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1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1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1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1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1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1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1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1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1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1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1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1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1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1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1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1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1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1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1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1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1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1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1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1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1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1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1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1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1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1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1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1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1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1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1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1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1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1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1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1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1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1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1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1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1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1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1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1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1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1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1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1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1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1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1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1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1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1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1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1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1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1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1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1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1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1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1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1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1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1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1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1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1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1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1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1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1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1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1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1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1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1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1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1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1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21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1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21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1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1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1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1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1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1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1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1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1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1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1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1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1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1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1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1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1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1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1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1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1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1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1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1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1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1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1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1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1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1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1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1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1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1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1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1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1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1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1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1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1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1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1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1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1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1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1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1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1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1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1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1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1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1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1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1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1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1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1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1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1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1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1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1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1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1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1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1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1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1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1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1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1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1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1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1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1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1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1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1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1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1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1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1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1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1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1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1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1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1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1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1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1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1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1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1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1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1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1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1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1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1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1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1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1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1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1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1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1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1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1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1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1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1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1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1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1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1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1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1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1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1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1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1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1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1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1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1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1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1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1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1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1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1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1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1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1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1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1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1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1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1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1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1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1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1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1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1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1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1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1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1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1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1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1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1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1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1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1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1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1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1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1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1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1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1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1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1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1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1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1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1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1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1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1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1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1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1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1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1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1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1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1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1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1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1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1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1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1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1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1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1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1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1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1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1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1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1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1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1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1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1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1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1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1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1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1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1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1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1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1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1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1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1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1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1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1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1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1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1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1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1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1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1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1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1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1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1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1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1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1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1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1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1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1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1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1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1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1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1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1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1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1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1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1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1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1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1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1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1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1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1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1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1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1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1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1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1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1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1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1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1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1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1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1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1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1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1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1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1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1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1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1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1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1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1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1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1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1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1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1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1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1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1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1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1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1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1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1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1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1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1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1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1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1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1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1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1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1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1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1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1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1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1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1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1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1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1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1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1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1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1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1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1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</sheetData>
  <hyperlinks>
    <hyperlink r:id="rId1" ref="B3"/>
    <hyperlink r:id="rId2" ref="B4"/>
    <hyperlink r:id="rId3" ref="B5"/>
    <hyperlink r:id="rId4" ref="B6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</hyperlinks>
  <drawing r:id="rId15"/>
</worksheet>
</file>