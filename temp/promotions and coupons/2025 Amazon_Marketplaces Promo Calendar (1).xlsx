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  <sheet state="visible" name="Template" sheetId="13" r:id="rId17"/>
  </sheets>
  <definedNames/>
  <calcPr/>
</workbook>
</file>

<file path=xl/sharedStrings.xml><?xml version="1.0" encoding="utf-8"?>
<sst xmlns="http://schemas.openxmlformats.org/spreadsheetml/2006/main" count="9987" uniqueCount="1286">
  <si>
    <t>JANUARY</t>
  </si>
  <si>
    <t>Marketplace Legend</t>
  </si>
  <si>
    <t>TEAM</t>
  </si>
  <si>
    <t>SKU</t>
  </si>
  <si>
    <t>ASIN</t>
  </si>
  <si>
    <t>PRODUCT</t>
  </si>
  <si>
    <t>MAP "LOWEST PRICE"</t>
  </si>
  <si>
    <t>MSRP "HIGHEST PRICE"</t>
  </si>
  <si>
    <t>Marketplace SELLING PRICE</t>
  </si>
  <si>
    <t>Jan 1st-5th</t>
  </si>
  <si>
    <t>Jan 6th-12th</t>
  </si>
  <si>
    <t>Jan 13th-19th</t>
  </si>
  <si>
    <t>Jan 20th-26th</t>
  </si>
  <si>
    <t>Jan 27th-31st</t>
  </si>
  <si>
    <t>Notes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</si>
  <si>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</si>
  <si>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t>AirDoctor</t>
  </si>
  <si>
    <t>-</t>
  </si>
  <si>
    <t>AD Main Units</t>
  </si>
  <si>
    <t>90AD01AT01-W</t>
  </si>
  <si>
    <t>B0BS9YNZH2</t>
  </si>
  <si>
    <t>AD1000</t>
  </si>
  <si>
    <t>90AD200AD01 //
B0BDTFD3JP.missing</t>
  </si>
  <si>
    <t>B0BDTFD3JP</t>
  </si>
  <si>
    <t>AD2000</t>
  </si>
  <si>
    <t>15% off 8th-11th</t>
  </si>
  <si>
    <t>90AD200SC01</t>
  </si>
  <si>
    <t>B0CPR48RPR</t>
  </si>
  <si>
    <t>AD2000i</t>
  </si>
  <si>
    <t>90AD250AD01</t>
  </si>
  <si>
    <t>B0DF476FG4</t>
  </si>
  <si>
    <t>AD2500</t>
  </si>
  <si>
    <t>90AD350AD01</t>
  </si>
  <si>
    <t>B0C9L68PVF</t>
  </si>
  <si>
    <t>AD3500</t>
  </si>
  <si>
    <t>90AD350SC01</t>
  </si>
  <si>
    <t>B0CPP1DSWD</t>
  </si>
  <si>
    <t>AD3500i</t>
  </si>
  <si>
    <t>90AD550AD01</t>
  </si>
  <si>
    <t>B0C92LZX2F</t>
  </si>
  <si>
    <t>AD5500</t>
  </si>
  <si>
    <t>30% off 8th-11th</t>
  </si>
  <si>
    <t>90AD550SC01</t>
  </si>
  <si>
    <t>B0CPRDC2B2</t>
  </si>
  <si>
    <t>AD5500i</t>
  </si>
  <si>
    <t>AD Filters/Accessories</t>
  </si>
  <si>
    <t>10AD01TF01</t>
  </si>
  <si>
    <t>B0BTN8F23B</t>
  </si>
  <si>
    <t xml:space="preserve">AD1000 Filter Set </t>
  </si>
  <si>
    <t>10AD200CMPK1-stickerless</t>
  </si>
  <si>
    <t>B0BSP2QQG3</t>
  </si>
  <si>
    <t xml:space="preserve">AD2000 1 Yr Combo Pack </t>
  </si>
  <si>
    <t>10AD200GRF01-stickerless</t>
  </si>
  <si>
    <t>B0BT4L4FZJ</t>
  </si>
  <si>
    <t xml:space="preserve">AD2000 Carbon/Gas Trap/VOC Replacement Filter with Pre-Filter </t>
  </si>
  <si>
    <t>10AD200PRF03</t>
  </si>
  <si>
    <t>B0BT4JZ29Z</t>
  </si>
  <si>
    <t xml:space="preserve">AD2000 Pre-Filter </t>
  </si>
  <si>
    <t>10AD200HRF01 // 
10AD200HRF01-stickerless</t>
  </si>
  <si>
    <t>B0BT4RCMSV</t>
  </si>
  <si>
    <t>AD2000 UltraHEPA Filter</t>
  </si>
  <si>
    <t>10AD350CMK1</t>
  </si>
  <si>
    <t>B0CCJYH1FF</t>
  </si>
  <si>
    <t>AD3000/AD3500 1 Yr Combo Pack</t>
  </si>
  <si>
    <t>10AD350GRF01</t>
  </si>
  <si>
    <t>B0CCGDRMQD</t>
  </si>
  <si>
    <t>AD3000/AD3500 Carbon Gas Trap VOC Filters with Pre-Filter</t>
  </si>
  <si>
    <t>10AD350PRF03</t>
  </si>
  <si>
    <t>B0CCK37ST4</t>
  </si>
  <si>
    <t xml:space="preserve">AD3000/AD3500 Pre-Filters </t>
  </si>
  <si>
    <t>10AD350HRF01</t>
  </si>
  <si>
    <t>B0CC7617LD</t>
  </si>
  <si>
    <t>AIRDOCTOR AD3000 / AD3500 UltraHEPA Filter</t>
  </si>
  <si>
    <t>10AD550CMPK1</t>
  </si>
  <si>
    <t>B0CC6WT7JT</t>
  </si>
  <si>
    <t xml:space="preserve">AD5000/AD5500 1 Yr Combo Pack </t>
  </si>
  <si>
    <t>10AD550GRF02-stickerless</t>
  </si>
  <si>
    <t>B0C7BN4HC9</t>
  </si>
  <si>
    <t>AD5000/AD5500 Carbon Gas Trap VOC Filters</t>
  </si>
  <si>
    <t>10AD500PRF02</t>
  </si>
  <si>
    <t>B0BSP111WS</t>
  </si>
  <si>
    <t xml:space="preserve">AD5000/AD5500 Pre-Filter </t>
  </si>
  <si>
    <t>10AD550HRF02-stickerless</t>
  </si>
  <si>
    <t>B0C7BMY3ZC</t>
  </si>
  <si>
    <t>AD5000/AD5500 UltraHEPA Filter</t>
  </si>
  <si>
    <t>10AD01FNB02</t>
  </si>
  <si>
    <t>B0C1DTSPWV</t>
  </si>
  <si>
    <t>MERV 14 HVAC Filter</t>
  </si>
  <si>
    <t>10AD01FNE02</t>
  </si>
  <si>
    <t>B0C1F1LMG4</t>
  </si>
  <si>
    <t>10AD01FNC02</t>
  </si>
  <si>
    <t>B0C1FGN61N</t>
  </si>
  <si>
    <t>10AD01FNA02</t>
  </si>
  <si>
    <t>B0C1F3LNGR</t>
  </si>
  <si>
    <t>10AD01FND02</t>
  </si>
  <si>
    <t>B0C1F88PYC</t>
  </si>
  <si>
    <t>10AD01FNF02</t>
  </si>
  <si>
    <t>B0C1FDHNVR</t>
  </si>
  <si>
    <t>AquaTru</t>
  </si>
  <si>
    <t>AQT Main Units</t>
  </si>
  <si>
    <t>90AT04AT01</t>
  </si>
  <si>
    <t>B0CNS8LZW3</t>
  </si>
  <si>
    <t>AQT Classic</t>
  </si>
  <si>
    <t>90AT03ATA01-stickerless</t>
  </si>
  <si>
    <t>B0B7ZSYMR4</t>
  </si>
  <si>
    <t>AQT Classic Alkaline</t>
  </si>
  <si>
    <t>90AT01ATATM02</t>
  </si>
  <si>
    <t>B07XVMJX1D</t>
  </si>
  <si>
    <t>AQT Classic + Minerals</t>
  </si>
  <si>
    <t>KC-5527-7BT3-stickerless</t>
  </si>
  <si>
    <t>B099Z4DB71</t>
  </si>
  <si>
    <t xml:space="preserve">AQT Connect </t>
  </si>
  <si>
    <t>90AT01SCA01-stickerless</t>
  </si>
  <si>
    <t>B0B7TS8XSM</t>
  </si>
  <si>
    <t>AQTConnect Alkaline</t>
  </si>
  <si>
    <t>90AT100AT01-stickerless</t>
  </si>
  <si>
    <t>B0BT4FYHFJ</t>
  </si>
  <si>
    <t xml:space="preserve">AQT Carafe </t>
  </si>
  <si>
    <t>90AT100ATA01-stickerless</t>
  </si>
  <si>
    <t>B0C36HFC5Q</t>
  </si>
  <si>
    <t>AQT Carafe Alkaline</t>
  </si>
  <si>
    <t>90AT01US01</t>
  </si>
  <si>
    <t>B09KWCFQRC</t>
  </si>
  <si>
    <t>AQT Under sink</t>
  </si>
  <si>
    <t>90AT01USA01</t>
  </si>
  <si>
    <t>B0BNTFXWJY</t>
  </si>
  <si>
    <t>AQT Under sink Alkaline</t>
  </si>
  <si>
    <t>AQT Filters/Accessories</t>
  </si>
  <si>
    <t>K6-9XMB-9CUF-stickerless</t>
  </si>
  <si>
    <t>B09YMXNJF9</t>
  </si>
  <si>
    <t>AQT VOC PH</t>
  </si>
  <si>
    <t>10AT01ROF01-stickerless</t>
  </si>
  <si>
    <t>B077J8HMWP</t>
  </si>
  <si>
    <t>AQT RO</t>
  </si>
  <si>
    <t>10AT012SF01-stickerless</t>
  </si>
  <si>
    <t>B077J3PT1C</t>
  </si>
  <si>
    <t>AQT Carbon</t>
  </si>
  <si>
    <t>10AT01VF01-stickerless</t>
  </si>
  <si>
    <t>B077J9KZFT</t>
  </si>
  <si>
    <t>AQT VOC</t>
  </si>
  <si>
    <t>10AT100CMPK1</t>
  </si>
  <si>
    <t>B0BY3XBCG2</t>
  </si>
  <si>
    <t>AQT 1 year Carafe</t>
  </si>
  <si>
    <t>10AT100VF01</t>
  </si>
  <si>
    <t>B0BW55LX2N</t>
  </si>
  <si>
    <t>AQT Carafe VOC</t>
  </si>
  <si>
    <t>10AT100RF01</t>
  </si>
  <si>
    <t>B0BW57C41L</t>
  </si>
  <si>
    <t>AQT Carafe RO</t>
  </si>
  <si>
    <t>10AT100SF01</t>
  </si>
  <si>
    <t>B0BW58WFBR</t>
  </si>
  <si>
    <t>AQT Carafe Carbon</t>
  </si>
  <si>
    <t>10AT02CMPK1</t>
  </si>
  <si>
    <t>B077J4Z6SX</t>
  </si>
  <si>
    <t>AQT Classic 1 year</t>
  </si>
  <si>
    <t>90AT01ATATM01</t>
  </si>
  <si>
    <t>B077MPM6TM</t>
  </si>
  <si>
    <t>AQT Perfect Minerals</t>
  </si>
  <si>
    <t>AromaTru</t>
  </si>
  <si>
    <t>AromaTru Main Units</t>
  </si>
  <si>
    <t>90AR01BP01</t>
  </si>
  <si>
    <t>B0BT8Y173C</t>
  </si>
  <si>
    <t>AromaTru Smart (Bamboo)</t>
  </si>
  <si>
    <t>15% OFF</t>
  </si>
  <si>
    <t>90AR01MP01</t>
  </si>
  <si>
    <t>B0BT8ZX8RG</t>
  </si>
  <si>
    <t>AromaTru Smart (Marble)</t>
  </si>
  <si>
    <t>90AR01WP01</t>
  </si>
  <si>
    <t>B0BT8Y569Q</t>
  </si>
  <si>
    <t>AromaTru Smart (Walnut)</t>
  </si>
  <si>
    <t>AromaTru Oil Sets</t>
  </si>
  <si>
    <t>10AR01K002</t>
  </si>
  <si>
    <t>B0BHGZ5KVW</t>
  </si>
  <si>
    <t>AromaTru Oil Sets (Purify)</t>
  </si>
  <si>
    <t>15% OFF (thru Jan 6th)</t>
  </si>
  <si>
    <t>25% OFF (1/23-2/14)</t>
  </si>
  <si>
    <t>10AR01K003</t>
  </si>
  <si>
    <t>B0BHHFTQ4N</t>
  </si>
  <si>
    <t>AromaTru Oil Sets (Refresh)</t>
  </si>
  <si>
    <t>10AR01K006</t>
  </si>
  <si>
    <t>B0BLGKX4HY</t>
  </si>
  <si>
    <t>AromaTru Oil Sets (Breathe)</t>
  </si>
  <si>
    <t>10AR01K011</t>
  </si>
  <si>
    <t>B0BLY2FYN5</t>
  </si>
  <si>
    <t>AromaTru Oil Sets (Slumber)</t>
  </si>
  <si>
    <t>10AR01K005</t>
  </si>
  <si>
    <t>B0BKH5GWYL</t>
  </si>
  <si>
    <t>AromaTru Oil Sets (Energize)</t>
  </si>
  <si>
    <t>10AR01K008</t>
  </si>
  <si>
    <t>B0BLH8GXS3</t>
  </si>
  <si>
    <t>AromaTru Oil Sets (Unwind)</t>
  </si>
  <si>
    <t>10AR01K010</t>
  </si>
  <si>
    <t>B0BLY1MNCB</t>
  </si>
  <si>
    <t>AromaTru Oil Sets (Balance)</t>
  </si>
  <si>
    <t>AromaTru Single Oils</t>
  </si>
  <si>
    <t>10AR01A021</t>
  </si>
  <si>
    <t>B0CJ9ZRRTR</t>
  </si>
  <si>
    <t>AromaTru Oil (Lavender)</t>
  </si>
  <si>
    <t>10AR01A014</t>
  </si>
  <si>
    <t>B0CJHDLVV6</t>
  </si>
  <si>
    <t>AromaTru Oil (Eucalyptus)</t>
  </si>
  <si>
    <t>10AR01A018</t>
  </si>
  <si>
    <t>B0CJGW993V</t>
  </si>
  <si>
    <t>AromaTru Oil (Grapefruit)</t>
  </si>
  <si>
    <t>10AR01A022</t>
  </si>
  <si>
    <t>B0CJB295M8</t>
  </si>
  <si>
    <t>AromaTru Oil (Lemon)</t>
  </si>
  <si>
    <t>10AR01A043</t>
  </si>
  <si>
    <t>B0CJHBNCJQ</t>
  </si>
  <si>
    <t>AromaTru Oil (Lemon Euc.)</t>
  </si>
  <si>
    <t>10AR01A023</t>
  </si>
  <si>
    <t>0CJB1CZGX</t>
  </si>
  <si>
    <t>AromaTru Oil (Lemongrass)</t>
  </si>
  <si>
    <t>10AR01A039</t>
  </si>
  <si>
    <t>B0CJB2XWW7</t>
  </si>
  <si>
    <t>AromaTru Oil (Orange)</t>
  </si>
  <si>
    <t>10AR01A029</t>
  </si>
  <si>
    <t>B0CJHSLWFW</t>
  </si>
  <si>
    <t>AromaTru Oil (Peppermint)</t>
  </si>
  <si>
    <t>10AR01A034</t>
  </si>
  <si>
    <t>B0CJGP9YHY</t>
  </si>
  <si>
    <t>AromaTru Oil (Rosemary)</t>
  </si>
  <si>
    <t>Hard 
Goods</t>
  </si>
  <si>
    <t>Miracle Blade</t>
  </si>
  <si>
    <t>91M3RBXST2</t>
  </si>
  <si>
    <t>B0CWSBF77F</t>
  </si>
  <si>
    <t>MB3 11pc Set</t>
  </si>
  <si>
    <t>MB 13 pc set</t>
  </si>
  <si>
    <t>B00KVI5B5A</t>
  </si>
  <si>
    <t>MB4 13pc Set</t>
  </si>
  <si>
    <t>90M401GS01</t>
  </si>
  <si>
    <t>B00WH8RBBY</t>
  </si>
  <si>
    <t>MB4 18pc Set</t>
  </si>
  <si>
    <t>91M4T1SS01A</t>
  </si>
  <si>
    <t>B00FL6GLRO</t>
  </si>
  <si>
    <t>MB4 4pc Steak Knives</t>
  </si>
  <si>
    <t>91M4T1SS02A</t>
  </si>
  <si>
    <t>B00UWHEXXG</t>
  </si>
  <si>
    <t>MB4 8pc Steak Knives</t>
  </si>
  <si>
    <t>91M3T1SS01A</t>
  </si>
  <si>
    <t>B00500KJ7O</t>
  </si>
  <si>
    <t>MB3 4pc Steak Knives</t>
  </si>
  <si>
    <t>FE-GM1B-RAVN</t>
  </si>
  <si>
    <t>B00PJX5Q8Y</t>
  </si>
  <si>
    <t>MB4 Ceramic Knife (White)</t>
  </si>
  <si>
    <t xml:space="preserve">
AT-F0YL-I88U</t>
  </si>
  <si>
    <t>B0758QGYB2</t>
  </si>
  <si>
    <t>MB4 Ceramic Knife (Black)</t>
  </si>
  <si>
    <t>90M401GSB01</t>
  </si>
  <si>
    <t>B0BLFCCPQ5</t>
  </si>
  <si>
    <t>MB4 18pc Set w Cutting Board</t>
  </si>
  <si>
    <t xml:space="preserve">
9D-FTC6-YQ6G</t>
  </si>
  <si>
    <t>B0B99QNCLM</t>
  </si>
  <si>
    <t>MB Cutting Board</t>
  </si>
  <si>
    <t>Paint Zoom</t>
  </si>
  <si>
    <t>90PZ02BM01</t>
  </si>
  <si>
    <t>B0949R4DG9</t>
  </si>
  <si>
    <t>PZ (base)</t>
  </si>
  <si>
    <t>90PZ05PZC01</t>
  </si>
  <si>
    <t>B0949PCVTC</t>
  </si>
  <si>
    <t>PZ Pro</t>
  </si>
  <si>
    <t>10PZ01PC03</t>
  </si>
  <si>
    <t>B074KRGRP7</t>
  </si>
  <si>
    <t>PZ Containers</t>
  </si>
  <si>
    <t>Rotorazer</t>
  </si>
  <si>
    <t xml:space="preserve">
90RT02GRT01</t>
  </si>
  <si>
    <t>B0D7YPZC63</t>
  </si>
  <si>
    <t>RR Compact Saw Set</t>
  </si>
  <si>
    <t xml:space="preserve">
90RT0GRTP01-stickerless (Green)</t>
  </si>
  <si>
    <t>B0D7YWVBG1</t>
  </si>
  <si>
    <t>RR Platinum Compact Saw Set</t>
  </si>
  <si>
    <t>90RT01DS01</t>
  </si>
  <si>
    <t>B078XMY7FC</t>
  </si>
  <si>
    <t>RR Drill Bit Set</t>
  </si>
  <si>
    <t>10RT01RBP01</t>
  </si>
  <si>
    <t>B076QKGD7Y</t>
  </si>
  <si>
    <t>RR Platinum Blade Replacement</t>
  </si>
  <si>
    <t>SaniTru</t>
  </si>
  <si>
    <t>90ST01ST01</t>
  </si>
  <si>
    <t>B08YLZMTG1</t>
  </si>
  <si>
    <t>ST Multi Surface Sanitizing System (1 bottle)</t>
  </si>
  <si>
    <t>EL-TADT-PEMM</t>
  </si>
  <si>
    <t>B08YLJXJGQ</t>
  </si>
  <si>
    <t>ST Multi Surface Sanitizing System (2 bottles)</t>
  </si>
  <si>
    <t>WalkFit</t>
  </si>
  <si>
    <t>98WP01DR2A</t>
  </si>
  <si>
    <t>B00P72H5J0</t>
  </si>
  <si>
    <t>WF Platinum Foot Orthotics (W 5-5.5)</t>
  </si>
  <si>
    <t>98WP01DR2B</t>
  </si>
  <si>
    <t>B003BKV7PI</t>
  </si>
  <si>
    <t>WF Platinum Foot Orthotics (M 5-5.5/W 6-6.5)</t>
  </si>
  <si>
    <t>98WP01DR2C</t>
  </si>
  <si>
    <t>B003BKPFV0</t>
  </si>
  <si>
    <t>WF Platinum Foot Orthotics (M 6-6.5/W7-7.5)</t>
  </si>
  <si>
    <t>98WP01DR2D</t>
  </si>
  <si>
    <t>B002675TYM</t>
  </si>
  <si>
    <t>WF Platinum Foot Orthotics (M 7-7.5/W 8-8.5)</t>
  </si>
  <si>
    <t>98WP01DR2E</t>
  </si>
  <si>
    <t>B00S3AVU12</t>
  </si>
  <si>
    <t>WF Platinum Foot Orthotics (M 8-8.5/W 9-9.5)</t>
  </si>
  <si>
    <t xml:space="preserve">
98WP01DR2F</t>
  </si>
  <si>
    <t>B003BKPMD6</t>
  </si>
  <si>
    <t>WF Platinum Foot Orthotics (M 9-9.5/W 10-10.5)</t>
  </si>
  <si>
    <t>98WP01DR2G</t>
  </si>
  <si>
    <t>B003BKTS8G</t>
  </si>
  <si>
    <t>WF Platinum Foot Orthotics (M 10-10.5/W 11-11.5)</t>
  </si>
  <si>
    <t>98WP01DR2H</t>
  </si>
  <si>
    <t>B003BKPNXK</t>
  </si>
  <si>
    <t>WF Platinum Foot Orthotics (M 11-11.5/W 12-12.5)</t>
  </si>
  <si>
    <t xml:space="preserve">
98WP01DR2I</t>
  </si>
  <si>
    <t>B003BKZ96G</t>
  </si>
  <si>
    <t>WF Platinum Foot Orthotics (M 12-12.5)</t>
  </si>
  <si>
    <t>98WP01DR2J</t>
  </si>
  <si>
    <t>B003BL35FM</t>
  </si>
  <si>
    <t>WF Platinum Foot Orthotics (M 13-13.5)</t>
  </si>
  <si>
    <t xml:space="preserve">
98WP01DR2K</t>
  </si>
  <si>
    <t>B003BKWDPQ</t>
  </si>
  <si>
    <t>WF Platinum Foot Orthotics (M 14-14.5)</t>
  </si>
  <si>
    <t>90WF01SN2C</t>
  </si>
  <si>
    <t>Walkfit Sandals Size C</t>
  </si>
  <si>
    <t>20% off 1st-12th</t>
  </si>
  <si>
    <t>90WF01SN2D</t>
  </si>
  <si>
    <t>Walkfit Sandals Size D</t>
  </si>
  <si>
    <t>90WF01SN2E</t>
  </si>
  <si>
    <t>Walkfit Sandals Size E</t>
  </si>
  <si>
    <t>90WF01SN2F</t>
  </si>
  <si>
    <t>Walkfit Sandals Size F</t>
  </si>
  <si>
    <t>90WF01SN2G</t>
  </si>
  <si>
    <t>Walkfit Sandals Size G</t>
  </si>
  <si>
    <t>90WF01SN2H</t>
  </si>
  <si>
    <t>Walkfit Sandals Size H</t>
  </si>
  <si>
    <t xml:space="preserve">Superthotics </t>
  </si>
  <si>
    <t>90SO01MLE</t>
  </si>
  <si>
    <t>B07X4XNTWX</t>
  </si>
  <si>
    <t>Superthotics Insert (M 9.5-11)</t>
  </si>
  <si>
    <t>90SO01MLD</t>
  </si>
  <si>
    <t>B07X1TTJMW</t>
  </si>
  <si>
    <t>Superthotics Insert (M 7.5-9)</t>
  </si>
  <si>
    <t>90SO01FMB</t>
  </si>
  <si>
    <t>B07X5VHXBQ</t>
  </si>
  <si>
    <t>Superthotics Insert size???</t>
  </si>
  <si>
    <t>90SO01FMD</t>
  </si>
  <si>
    <t>B07X522KPK</t>
  </si>
  <si>
    <t>90SO01MLC</t>
  </si>
  <si>
    <t>B07X3XSF1V</t>
  </si>
  <si>
    <t>Superthotics Insert (M 5.5-7)</t>
  </si>
  <si>
    <t>90SO01FME</t>
  </si>
  <si>
    <t>B07X3XZKRV</t>
  </si>
  <si>
    <t>90SO01FMC</t>
  </si>
  <si>
    <t>B07X2TLFG7</t>
  </si>
  <si>
    <t>90SO01MLG</t>
  </si>
  <si>
    <t>B07X1TTWYL</t>
  </si>
  <si>
    <t>Superthotics Insert 
(M 13.5-15)</t>
  </si>
  <si>
    <t>90SO01MLF</t>
  </si>
  <si>
    <t>B07X4ZM892</t>
  </si>
  <si>
    <t>Superthotics Insert 
(M 11.5-13)</t>
  </si>
  <si>
    <t>Thera-
botanics</t>
  </si>
  <si>
    <t>Profemin</t>
  </si>
  <si>
    <t>90PF02PF01</t>
  </si>
  <si>
    <t>B0B64YGDRS</t>
  </si>
  <si>
    <t xml:space="preserve">Profemin Ultra </t>
  </si>
  <si>
    <t>Ideal Prostate</t>
  </si>
  <si>
    <t>90IP01IP01</t>
  </si>
  <si>
    <t>B08BQ7JTP5</t>
  </si>
  <si>
    <t xml:space="preserve">Ideal Prostate </t>
  </si>
  <si>
    <t>90IP01IP02</t>
  </si>
  <si>
    <t>B099XC4DGH</t>
  </si>
  <si>
    <t>Ideal Prostate 2 Bottles</t>
  </si>
  <si>
    <t>90IP02IP01</t>
  </si>
  <si>
    <t>B08BQ8LGDS</t>
  </si>
  <si>
    <t>Ideal Prostate Ultra</t>
  </si>
  <si>
    <t>90IP02IP02</t>
  </si>
  <si>
    <t>B099X8R1SM</t>
  </si>
  <si>
    <t>Ideal Prostate Ultra 2 Bottles</t>
  </si>
  <si>
    <t>Cebria</t>
  </si>
  <si>
    <t>90CE03CE01</t>
  </si>
  <si>
    <t>B08QW8DHYX</t>
  </si>
  <si>
    <t>90CE01CE01</t>
  </si>
  <si>
    <t>B00HZ2P2OU</t>
  </si>
  <si>
    <t>Cebria Ultra</t>
  </si>
  <si>
    <t>Prosvent</t>
  </si>
  <si>
    <t>90PV04PV01</t>
  </si>
  <si>
    <t>B001OQ1IOQ</t>
  </si>
  <si>
    <t>90PV06PV02</t>
  </si>
  <si>
    <t>B00SWI3VQW</t>
  </si>
  <si>
    <t>Prosvent Ultra</t>
  </si>
  <si>
    <t>GASF</t>
  </si>
  <si>
    <t>90GS02GS14</t>
  </si>
  <si>
    <t>B0BNWJPG46</t>
  </si>
  <si>
    <t>GASF (14 Servings, 1 Bag)</t>
  </si>
  <si>
    <t>OG-L7Z1-016B</t>
  </si>
  <si>
    <t>B076J2XVRZ</t>
  </si>
  <si>
    <t>GASF (28 Servings, 1 Bag)</t>
  </si>
  <si>
    <t>90GS01GS02</t>
  </si>
  <si>
    <t>B07BB5MW77</t>
  </si>
  <si>
    <t>GASF (28 Servings, 2 Bags)</t>
  </si>
  <si>
    <t>90GS01EI01</t>
  </si>
  <si>
    <t>B09WJRYWLS</t>
  </si>
  <si>
    <t>GASF Ultra Vita-Immune (28 Servings, 1 Bag)</t>
  </si>
  <si>
    <t>Perfect Omega</t>
  </si>
  <si>
    <t>90CE01PO01</t>
  </si>
  <si>
    <t>B07N7J6353</t>
  </si>
  <si>
    <t>BeFlexible</t>
  </si>
  <si>
    <t>90BF01BFU01</t>
  </si>
  <si>
    <t>B08BNP1GJD</t>
  </si>
  <si>
    <t>BeFlexible Ultra</t>
  </si>
  <si>
    <t>Better Bladder</t>
  </si>
  <si>
    <t>90BL01BL02</t>
  </si>
  <si>
    <t>B0B7ZZ3FFK</t>
  </si>
  <si>
    <t>Better Bladder - 
120 Count (2 Bottles)</t>
  </si>
  <si>
    <t>90BL01BL01</t>
  </si>
  <si>
    <t>B06XVZWNPY</t>
  </si>
  <si>
    <t>Better Bladder - 
60 Count (1 Bottle)</t>
  </si>
  <si>
    <t>90BL02BL02</t>
  </si>
  <si>
    <t>B0B7VQLGBF</t>
  </si>
  <si>
    <t>Better Bladder Ultra - 
120 Count (2 Bottles)</t>
  </si>
  <si>
    <t>90BL02BL01</t>
  </si>
  <si>
    <t>B0B7VHG2W1</t>
  </si>
  <si>
    <t>Better Bladder Ultra - 
60 Count (1 Bottle)</t>
  </si>
  <si>
    <t>FEBRUARY</t>
  </si>
  <si>
    <t>Feb 1st-2nd</t>
  </si>
  <si>
    <t>Feb 3rd-9th</t>
  </si>
  <si>
    <t>Feb 10th-16th</t>
  </si>
  <si>
    <t>Feb 17th-23rd</t>
  </si>
  <si>
    <t>Feb 24th-28th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</si>
  <si>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</si>
  <si>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t>10% coupon ONLY 2/12</t>
  </si>
  <si>
    <t>10% coupon ONLY Feb 17</t>
  </si>
  <si>
    <t>Best Deal 24th-march 2</t>
  </si>
  <si>
    <t>$150 off ongoing coupon</t>
  </si>
  <si>
    <t xml:space="preserve">No Best Deals due to low/no stock
Under Sink and Connect Model, we can opt into best deals if we get accepted into it. </t>
  </si>
  <si>
    <t>20% off PE (2/11-2/17)</t>
  </si>
  <si>
    <t>RR yellow sets 25% off 2/25-3/27</t>
  </si>
  <si>
    <t>RR yellow sets 25% off 2/25-3/28</t>
  </si>
  <si>
    <t>MARCH</t>
  </si>
  <si>
    <t>Outside Promo Events --&gt;</t>
  </si>
  <si>
    <r>
      <rPr>
        <rFont val="Arial"/>
        <color theme="1"/>
        <sz val="8.0"/>
      </rPr>
      <t xml:space="preserve">Affiliates SOS March 27 - April 13; </t>
    </r>
    <r>
      <rPr>
        <rFont val="Arial"/>
        <color rgb="FF0000FF"/>
        <sz val="8.0"/>
      </rPr>
      <t>Walmart Spring Home Improvement Savings :Timeframe: 3/24 – 4/7</t>
    </r>
  </si>
  <si>
    <t>Mar 1st-2nd</t>
  </si>
  <si>
    <t>Mar 3rd-9th</t>
  </si>
  <si>
    <t>Mar 10th-16th</t>
  </si>
  <si>
    <t>Mar 17th-23rd</t>
  </si>
  <si>
    <r>
      <rPr>
        <rFont val="Arial"/>
        <color rgb="FF1E8507"/>
      </rPr>
      <t xml:space="preserve">AMZ SPRING EVENT
</t>
    </r>
    <r>
      <rPr>
        <rFont val="Arial"/>
        <color theme="1"/>
      </rPr>
      <t>Mar 24th-31st</t>
    </r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</si>
  <si>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</si>
  <si>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t>10% off Coupon 24th-31st</t>
  </si>
  <si>
    <t>x</t>
  </si>
  <si>
    <t>Best deal $350.10 17th-23rd</t>
  </si>
  <si>
    <t>Lightning Deal 3/27 311$ 20% off</t>
  </si>
  <si>
    <r>
      <rPr>
        <rFont val="Arial"/>
        <color theme="1"/>
      </rPr>
      <t xml:space="preserve">Same deals in CA as US has, </t>
    </r>
    <r>
      <rPr>
        <rFont val="Arial"/>
        <b/>
        <color theme="1"/>
      </rPr>
      <t xml:space="preserve">not lightning deals </t>
    </r>
  </si>
  <si>
    <t>Same deals in CA as US has</t>
  </si>
  <si>
    <t>Best Deal 24th-march 2nd 20% off</t>
  </si>
  <si>
    <t>Big Spring Sale 25th-31st Best Deal 20%</t>
  </si>
  <si>
    <t>Lightning deal $849.15 17th-23rd (check back after ongoing coupon)</t>
  </si>
  <si>
    <t>Lightning Deal $799</t>
  </si>
  <si>
    <r>
      <rPr>
        <rFont val="Arial"/>
        <color theme="1"/>
      </rPr>
      <t xml:space="preserve">Same deals in CA as US has, </t>
    </r>
    <r>
      <rPr>
        <rFont val="Arial"/>
        <b/>
        <color theme="1"/>
      </rPr>
      <t xml:space="preserve">not lightning deals </t>
    </r>
  </si>
  <si>
    <t>Lightning deal  $891.65 17th-23rd (check back after ongoing coupon)</t>
  </si>
  <si>
    <r>
      <rPr>
        <rFont val="Arial"/>
        <color theme="1"/>
      </rPr>
      <t xml:space="preserve">Same deals in CA as US has, </t>
    </r>
    <r>
      <rPr>
        <rFont val="Arial"/>
        <b/>
        <color theme="1"/>
      </rPr>
      <t xml:space="preserve">not lightning deals </t>
    </r>
  </si>
  <si>
    <t>$50 17th-31st PE</t>
  </si>
  <si>
    <t>Best Deal 25th-31st only $381.65</t>
  </si>
  <si>
    <t>Switched to coupon 3/25 pm -elita</t>
  </si>
  <si>
    <t>$20 17th-31st coupon</t>
  </si>
  <si>
    <t>Best Deal 25th-31st only $305.14</t>
  </si>
  <si>
    <t>COULD NOT RUN BEST DEAL FOR SPRING WEEK AS WE HAVE NO INVENTORY</t>
  </si>
  <si>
    <t>Switched to coupon 3/25 pm; only 3 so will probably need to switch to FBM -elita</t>
  </si>
  <si>
    <t>90AT100SC01</t>
  </si>
  <si>
    <t>B0DT2GJCV3</t>
  </si>
  <si>
    <t>AQT Carafe Smart</t>
  </si>
  <si>
    <t xml:space="preserve">
90AT100SCA01</t>
  </si>
  <si>
    <t>B0DT295P6</t>
  </si>
  <si>
    <t>AQT Carafe Smart Alkaline</t>
  </si>
  <si>
    <t>25% off Big Spring Sale 3/25-3/31</t>
  </si>
  <si>
    <t>25% off: 3/17-3/23</t>
  </si>
  <si>
    <t>20% off coupon</t>
  </si>
  <si>
    <t xml:space="preserve">RR yellow sets 25% off 2/25-3/31 </t>
  </si>
  <si>
    <r>
      <rPr>
        <rFont val="Arial"/>
        <color rgb="FF1E8507"/>
      </rPr>
      <t xml:space="preserve">RR yellow sets 25% off 2/25-3/31 
</t>
    </r>
    <r>
      <rPr>
        <rFont val="Arial"/>
        <color rgb="FFFF0000"/>
      </rPr>
      <t>20% off coupon GREEN UNITS 3/24-3/31 for AMZ SPRING EVENT</t>
    </r>
  </si>
  <si>
    <r>
      <rPr>
        <rFont val="Arial"/>
        <color rgb="FF1E8507"/>
      </rPr>
      <t xml:space="preserve">RR yellow sets 25% off 2/25-3/31 
</t>
    </r>
    <r>
      <rPr>
        <rFont val="Arial"/>
        <color rgb="FFFF0000"/>
      </rPr>
      <t>20% off coupon GREEN UNITS 3/24-3/31 for AMZ SPRING EVENT</t>
    </r>
  </si>
  <si>
    <t>20% off coupon  3/24-3/31 for AMZ SPRING EVENT</t>
  </si>
  <si>
    <t>5% off coupon 3/14-4/13</t>
  </si>
  <si>
    <t>15% off coupon 3/24-3/31</t>
  </si>
  <si>
    <t>Revert to the 5% off coupon after 3/31</t>
  </si>
  <si>
    <t>APRIL</t>
  </si>
  <si>
    <t xml:space="preserve">Outside Promo Events --&gt;							</t>
  </si>
  <si>
    <t>Walmart Spring Home Improvement Savings :Timeframe: 3/24 – 4/7</t>
  </si>
  <si>
    <t>Affiliates SOS March 27 - April 13</t>
  </si>
  <si>
    <r>
      <rPr>
        <rFont val="Arial"/>
        <color theme="1"/>
        <sz val="8.0"/>
      </rPr>
      <t xml:space="preserve">Easter 20th/ </t>
    </r>
    <r>
      <rPr>
        <rFont val="Arial"/>
        <color theme="4"/>
        <sz val="8.0"/>
      </rPr>
      <t>Walmart Spotlight: Spring Cleaning Stock Up Timeframe: 4/14 – 4/28</t>
    </r>
  </si>
  <si>
    <r>
      <rPr>
        <rFont val="Arial"/>
        <color theme="1"/>
        <sz val="8.0"/>
      </rPr>
      <t xml:space="preserve">Earth Day 22nd / </t>
    </r>
    <r>
      <rPr>
        <rFont val="Arial"/>
        <color theme="4"/>
        <sz val="8.0"/>
      </rPr>
      <t>Walmart Spotlight: Spring Cleaning Stock Up Timeframe: 4/14 – 4/28</t>
    </r>
  </si>
  <si>
    <t>April 1st-6th</t>
  </si>
  <si>
    <t>April 7th-13th</t>
  </si>
  <si>
    <t>April 14th-20th</t>
  </si>
  <si>
    <t>April 21st-27th</t>
  </si>
  <si>
    <t>April 28th-30th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</si>
  <si>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</si>
  <si>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r>
      <rPr>
        <rFont val="Arial"/>
        <color rgb="FF9900FF"/>
      </rPr>
      <t xml:space="preserve">10% off 11th-14th
</t>
    </r>
    <r>
      <rPr>
        <rFont val="Arial"/>
        <color rgb="FFFF0000"/>
      </rPr>
      <t>10% off 11th-14th</t>
    </r>
  </si>
  <si>
    <t>10% Coupon</t>
  </si>
  <si>
    <t>All Wayfair deals matched on AMZ, coupons in for 11th-14th</t>
  </si>
  <si>
    <r>
      <rPr>
        <rFont val="Arial"/>
        <color rgb="FF9900FF"/>
      </rPr>
      <t xml:space="preserve">10% off 11th-14th
</t>
    </r>
    <r>
      <rPr>
        <rFont val="Arial"/>
        <color rgb="FFFF0000"/>
      </rPr>
      <t>10% off 11th-14th</t>
    </r>
  </si>
  <si>
    <t>$30 coupon</t>
  </si>
  <si>
    <r>
      <rPr>
        <rFont val="Arial"/>
        <color rgb="FF9900FF"/>
      </rPr>
      <t xml:space="preserve">10% off 11th-14th
</t>
    </r>
    <r>
      <rPr>
        <rFont val="Arial"/>
        <color rgb="FFFF0000"/>
      </rPr>
      <t>10% off 11th-14th</t>
    </r>
  </si>
  <si>
    <t>Best Deal $395.10</t>
  </si>
  <si>
    <r>
      <rPr>
        <rFont val="Arial"/>
        <color rgb="FF9900FF"/>
      </rPr>
      <t xml:space="preserve">20% off 11th-14th
</t>
    </r>
    <r>
      <rPr>
        <rFont val="Arial"/>
        <color rgb="FFFF0000"/>
      </rPr>
      <t>20% off 11th-14th</t>
    </r>
  </si>
  <si>
    <t>Best Deal $415.19</t>
  </si>
  <si>
    <r>
      <rPr>
        <rFont val="Arial"/>
        <color rgb="FF9900FF"/>
      </rPr>
      <t xml:space="preserve">20% off 11th-14th
</t>
    </r>
    <r>
      <rPr>
        <rFont val="Arial"/>
        <color rgb="FFFF0000"/>
      </rPr>
      <t>20% off 11th-14th</t>
    </r>
  </si>
  <si>
    <t>Best Deal $455.20</t>
  </si>
  <si>
    <r>
      <rPr>
        <rFont val="Arial"/>
        <color rgb="FF9900FF"/>
      </rPr>
      <t xml:space="preserve">20% off 11th-14th
</t>
    </r>
    <r>
      <rPr>
        <rFont val="Arial"/>
        <color rgb="FFFF0000"/>
      </rPr>
      <t>20% off 11th-14th</t>
    </r>
  </si>
  <si>
    <t>PE $799</t>
  </si>
  <si>
    <r>
      <rPr>
        <rFont val="Arial"/>
        <color rgb="FF9900FF"/>
      </rPr>
      <t xml:space="preserve">20% off 11th-14th
</t>
    </r>
    <r>
      <rPr>
        <rFont val="Arial"/>
        <color rgb="FFFF0000"/>
      </rPr>
      <t>20% off 11th-14th</t>
    </r>
  </si>
  <si>
    <t>PE $849</t>
  </si>
  <si>
    <t>$50 off</t>
  </si>
  <si>
    <t xml:space="preserve">These are the discount for Amazon 21-27.
There is also WayFair Day which ends on the 28th so we can coninute just for wayfair.  </t>
  </si>
  <si>
    <t>$20 off</t>
  </si>
  <si>
    <t>MAY</t>
  </si>
  <si>
    <r>
      <rPr>
        <rFont val="Arial"/>
        <color theme="1"/>
        <sz val="8.0"/>
      </rPr>
      <t xml:space="preserve">Cinco De Mayo, Mothers Day; </t>
    </r>
    <r>
      <rPr>
        <rFont val="Arial"/>
        <color rgb="FF0000FF"/>
        <sz val="8.0"/>
      </rPr>
      <t>Walmart Home Improvement Makeover 5/5-5/19</t>
    </r>
  </si>
  <si>
    <t>Walmart Home Improvement Makeover 5/5-5/19</t>
  </si>
  <si>
    <t>May 1st-4th</t>
  </si>
  <si>
    <t>May 5th-11th</t>
  </si>
  <si>
    <t>May 12th-18th</t>
  </si>
  <si>
    <t>May 19th-25th</t>
  </si>
  <si>
    <t>May 26th-31st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</si>
  <si>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</si>
  <si>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t>23rd-26th
10% off</t>
  </si>
  <si>
    <t>23rd-26th
15% off</t>
  </si>
  <si>
    <t>$100 off 30th-6th</t>
  </si>
  <si>
    <t>Best Deal 5th-11th
$799.20</t>
  </si>
  <si>
    <t>23rd-26th
$200 off</t>
  </si>
  <si>
    <t>Best Deal 5th-11th
$891.65</t>
  </si>
  <si>
    <t>Memorial Day 18th - 25th</t>
  </si>
  <si>
    <t>AQT Solar Panel</t>
  </si>
  <si>
    <t>20% OFF</t>
  </si>
  <si>
    <t>19th - 31st</t>
  </si>
  <si>
    <t>25% off May 23-26</t>
  </si>
  <si>
    <t>15% off May 23-26</t>
  </si>
  <si>
    <t>NA</t>
  </si>
  <si>
    <t>20% off May 23-26</t>
  </si>
  <si>
    <t>$30 Coupon 1st-31st</t>
  </si>
  <si>
    <t>Ionic Pro</t>
  </si>
  <si>
    <t>80953</t>
  </si>
  <si>
    <t>B000H0RZB0</t>
  </si>
  <si>
    <t>Ionic Pro Turbo</t>
  </si>
  <si>
    <t>15% off 5/23-26</t>
  </si>
  <si>
    <t>B000HEB99A</t>
  </si>
  <si>
    <t>Ionic Pro Compact</t>
  </si>
  <si>
    <t>49301</t>
  </si>
  <si>
    <t>B076J4BK24</t>
  </si>
  <si>
    <t>Ionic Pro Platinum</t>
  </si>
  <si>
    <t>JUNE</t>
  </si>
  <si>
    <t>June 1st-8th</t>
  </si>
  <si>
    <t>June 9th-15th</t>
  </si>
  <si>
    <t>June 16th-22nd</t>
  </si>
  <si>
    <t>June 23rd-30th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</si>
  <si>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</si>
  <si>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t>$50 off 13th-16th</t>
  </si>
  <si>
    <t>$52 off 13th-16th</t>
  </si>
  <si>
    <t>$20 off 13th-16th</t>
  </si>
  <si>
    <t>$26 off 13th-16th</t>
  </si>
  <si>
    <t>20% off 13th-15th</t>
  </si>
  <si>
    <t>Father's Day deal</t>
  </si>
  <si>
    <t>20% off</t>
  </si>
  <si>
    <t>16% off 5th-30th</t>
  </si>
  <si>
    <t>$20 off 6th-30th</t>
  </si>
  <si>
    <t>JULY</t>
  </si>
  <si>
    <r>
      <rPr>
        <rFont val="Arial"/>
        <color rgb="FF0000FF"/>
      </rPr>
      <t xml:space="preserve">Walmart Summer Savings July event (7/8-7/13)
</t>
    </r>
    <r>
      <rPr>
        <rFont val="Arial"/>
        <color rgb="FFA61C00"/>
      </rPr>
      <t>Target Circle Days (7/6-7/12)</t>
    </r>
  </si>
  <si>
    <t>Target Air Purifier Promo Day! July13-20th</t>
  </si>
  <si>
    <t>Wayfair Black Friday 07/23/2025 to 07/29/2025</t>
  </si>
  <si>
    <t xml:space="preserve">**PLEASE NOTE: all US Prime Week deals were reflected in CA </t>
  </si>
  <si>
    <t>July 1st-6th</t>
  </si>
  <si>
    <r>
      <rPr>
        <rFont val="Arial"/>
        <color rgb="FFFF00FF"/>
      </rPr>
      <t xml:space="preserve">PRIME DAY 8-11
</t>
    </r>
    <r>
      <rPr>
        <rFont val="Arial"/>
        <color theme="1"/>
      </rPr>
      <t>July 7th-13th</t>
    </r>
  </si>
  <si>
    <t>July 14th-20th</t>
  </si>
  <si>
    <t>July 21st-27th</t>
  </si>
  <si>
    <t>July 28th-31st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</si>
  <si>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  <r>
      <rPr>
        <rFont val="Arial"/>
        <color rgb="FF783F04"/>
      </rPr>
      <t xml:space="preserve"> Target</t>
    </r>
  </si>
  <si>
    <t>10% off coupon</t>
  </si>
  <si>
    <t>15% off coupon 8th-11th</t>
  </si>
  <si>
    <t>15% off coupon 12th-13th
10% off Coupon 15th-21st</t>
  </si>
  <si>
    <t>10% off coupon 1st-7th</t>
  </si>
  <si>
    <r>
      <rPr>
        <rFont val="Arial"/>
        <color rgb="FFFF0000"/>
      </rPr>
      <t xml:space="preserve">Prime Day BD: 15% off ($330.65)
</t>
    </r>
    <r>
      <rPr>
        <rFont val="Arial"/>
        <color rgb="FF000000"/>
      </rPr>
      <t>*below evergreen, at least $360</t>
    </r>
    <r>
      <rPr>
        <rFont val="Arial"/>
        <color rgb="FFFF0000"/>
      </rPr>
      <t xml:space="preserve">
</t>
    </r>
    <r>
      <rPr>
        <rFont val="Arial"/>
        <color rgb="FF1E8507"/>
      </rPr>
      <t>Prime Day BD: 12% off ($462.13 CAD)</t>
    </r>
  </si>
  <si>
    <t>OOS in CAN (Allison)</t>
  </si>
  <si>
    <t>Prime Day BD: 25% off ($329.25)</t>
  </si>
  <si>
    <t xml:space="preserve">15% off coupon 12th-13th
</t>
  </si>
  <si>
    <t>Listing shows 15% d/c (Allison)</t>
  </si>
  <si>
    <r>
      <rPr>
        <rFont val="Arial"/>
        <color rgb="FFFF0000"/>
      </rPr>
      <t xml:space="preserve">Prime Day BD: 22% off ($419.25)
</t>
    </r>
    <r>
      <rPr>
        <rFont val="Arial"/>
        <color rgb="FF1E8507"/>
      </rPr>
      <t>Prime Day BD: 14% ($599.99 CAD)</t>
    </r>
  </si>
  <si>
    <t>On listing they are 23% off (Allison)</t>
  </si>
  <si>
    <r>
      <rPr>
        <rFont val="Arial"/>
        <color rgb="FFFF0000"/>
      </rPr>
      <t xml:space="preserve">Prime Day BD: 23% off ($459.75)
</t>
    </r>
    <r>
      <rPr>
        <rFont val="Arial"/>
        <color rgb="FF1E8507"/>
      </rPr>
      <t>Prime Day BD: 12% ($675.97 CAD)</t>
    </r>
  </si>
  <si>
    <t>On listing they are 24% off (Allison)</t>
  </si>
  <si>
    <r>
      <rPr>
        <rFont val="Arial"/>
        <color rgb="FFFF0000"/>
      </rPr>
      <t xml:space="preserve">Prime Day BD: 30% off ($699.30)
</t>
    </r>
    <r>
      <rPr>
        <rFont val="Arial"/>
        <color rgb="FF1E8507"/>
      </rPr>
      <t>PE Deal 20% off</t>
    </r>
  </si>
  <si>
    <t>30% off coupon 12th-13th
10% off coupon 15th-21st</t>
  </si>
  <si>
    <r>
      <rPr>
        <rFont val="Arial"/>
        <color rgb="FFFF0000"/>
      </rPr>
      <t xml:space="preserve">Prime Day BD: 30% off ($734.30)
</t>
    </r>
    <r>
      <rPr>
        <rFont val="Arial"/>
        <color rgb="FF1E8507"/>
      </rPr>
      <t>PE Deal 20% off</t>
    </r>
  </si>
  <si>
    <t>Prime Day Coupon Day 1: 5% off
Day 2: 10% off</t>
  </si>
  <si>
    <t>5% off coupon 12th-13th</t>
  </si>
  <si>
    <t>Dont have BuyBox during Prime Week</t>
  </si>
  <si>
    <t>Prime Day Coupon Day 1: 5% off
Day 2: no discount</t>
  </si>
  <si>
    <t>couldnt run coupon second day, AMZ wants a $0.56 deeper</t>
  </si>
  <si>
    <t>Prime Day Coupon 10% off</t>
  </si>
  <si>
    <t>$50 off coupon 1st-7th</t>
  </si>
  <si>
    <r>
      <rPr>
        <rFont val="Arial"/>
        <color rgb="FF1E8507"/>
      </rPr>
      <t xml:space="preserve">8th -11th
Prime Day BD: 12% off ($511.27 CAD)
</t>
    </r>
    <r>
      <rPr>
        <rFont val="Arial"/>
        <color rgb="FFFF0000"/>
      </rPr>
      <t>$75 off coupon 8th
20% off 9th-11th</t>
    </r>
  </si>
  <si>
    <t>no inventory for BTP</t>
  </si>
  <si>
    <r>
      <rPr>
        <rFont val="Arial"/>
        <color rgb="FF1E8507"/>
      </rPr>
      <t xml:space="preserve">Prime Day BD: 12% off ($557.17 CAD)
</t>
    </r>
    <r>
      <rPr>
        <rFont val="Arial"/>
        <color rgb="FFFF0000"/>
      </rPr>
      <t>$75 off coupon 8th
20% off 9th-11th</t>
    </r>
  </si>
  <si>
    <t>$75 off coupon 8th
20% off 9th-11th</t>
  </si>
  <si>
    <t>BTP scheduled July 13- October 10</t>
  </si>
  <si>
    <t>$34 off coupon 1st-7th</t>
  </si>
  <si>
    <t>PD Lightning 7/9: 20% off ($287.20)</t>
  </si>
  <si>
    <t>$30 off coupon 1st-7th</t>
  </si>
  <si>
    <t>PD Lightning 7/9: 20% off ($316)</t>
  </si>
  <si>
    <t>$20 off coupon 1st-7th</t>
  </si>
  <si>
    <t>$50 off coupon 8th
20% coupon 9th-11th</t>
  </si>
  <si>
    <t>B0DT295P69</t>
  </si>
  <si>
    <t>$50 off coupon 8th
20% off 9th-11th</t>
  </si>
  <si>
    <t>$50 off coupon 8th
21% off 9th-11th</t>
  </si>
  <si>
    <t>Prime Day Best Deals: no ref price, 0 inventory</t>
  </si>
  <si>
    <t>10% coupon 8th-11th 
**Done by Dielon</t>
  </si>
  <si>
    <t>A regular promotion was created instead of coupon - 07/01/2025</t>
  </si>
  <si>
    <t>Prime Day coupon scheduled - 06/25/2025</t>
  </si>
  <si>
    <t>5% coupon 8th-11th 
**Done by Dielon</t>
  </si>
  <si>
    <r>
      <rPr>
        <rFont val="Arial"/>
        <color rgb="FFFF0000"/>
        <sz val="8.0"/>
      </rPr>
      <t xml:space="preserve">These all have 10% off, except for Inspire collection: B0BLGW91QM (none) &amp; Refresh (though it appears we don't have that Buy Box.)(Allison) </t>
    </r>
    <r>
      <rPr>
        <rFont val="Arial"/>
        <color theme="1"/>
        <sz val="8.0"/>
      </rPr>
      <t xml:space="preserve"> A regular promotion was created instead of coupon - 06/28/2025</t>
    </r>
  </si>
  <si>
    <t>A regular promotion was created instead of coupon - 06/28/2025</t>
  </si>
  <si>
    <t>Prime Day 10% coupon scheduled - 06/28/2025</t>
  </si>
  <si>
    <t>10AR01K001</t>
  </si>
  <si>
    <t>B0BHHNN25M</t>
  </si>
  <si>
    <t>AromaTru Oil Sets (Comfort)</t>
  </si>
  <si>
    <t>10AR01K009</t>
  </si>
  <si>
    <t>B0BLJ231TN</t>
  </si>
  <si>
    <t>AromaTru Oil Sets (Arise)</t>
  </si>
  <si>
    <t>10AR01K013</t>
  </si>
  <si>
    <t>B0BLXZGSK7</t>
  </si>
  <si>
    <t>AromaTru Oil Sets (Elevate)</t>
  </si>
  <si>
    <t>10AR01K004</t>
  </si>
  <si>
    <t>B0BLXNQRKH</t>
  </si>
  <si>
    <t>AromaTru Oil Sets (Focus)</t>
  </si>
  <si>
    <r>
      <rPr>
        <rFont val="Arial"/>
        <color rgb="FFFF0000"/>
      </rPr>
      <t>20</t>
    </r>
    <r>
      <rPr>
        <rFont val="Arial"/>
        <color rgb="FFFF0000"/>
      </rPr>
      <t>% off coupon 1st-7th</t>
    </r>
  </si>
  <si>
    <t>25% off coupon 8th-11th</t>
  </si>
  <si>
    <t>16% off coupon 1st-7th</t>
  </si>
  <si>
    <t>20% off coupon 8th-11th</t>
  </si>
  <si>
    <r>
      <rPr>
        <rFont val="Arial"/>
        <color rgb="FFFF0000"/>
      </rPr>
      <t>20</t>
    </r>
    <r>
      <rPr>
        <rFont val="Arial"/>
        <color rgb="FFFF0000"/>
      </rPr>
      <t>% off coupon 1st-7th</t>
    </r>
  </si>
  <si>
    <r>
      <rPr>
        <rFont val="Arial"/>
        <color rgb="FFFF0000"/>
      </rPr>
      <t>20</t>
    </r>
    <r>
      <rPr>
        <rFont val="Arial"/>
        <color rgb="FFFF0000"/>
      </rPr>
      <t>% off coupon 1st-7th</t>
    </r>
  </si>
  <si>
    <r>
      <rPr>
        <rFont val="Arial"/>
        <color rgb="FFFF0000"/>
      </rPr>
      <t>20</t>
    </r>
    <r>
      <rPr>
        <rFont val="Arial"/>
        <color rgb="FFFF0000"/>
      </rPr>
      <t>% off coupon 1st-7th</t>
    </r>
  </si>
  <si>
    <t>B0F8139TQZ</t>
  </si>
  <si>
    <t>MB4 9pc Set</t>
  </si>
  <si>
    <t>49302</t>
  </si>
  <si>
    <t>CA200</t>
  </si>
  <si>
    <t>TA550</t>
  </si>
  <si>
    <t>TA740</t>
  </si>
  <si>
    <t>20% off coupon 1st-7th</t>
  </si>
  <si>
    <t>20% off coupon 8th-10th
25% off 11th</t>
  </si>
  <si>
    <t>No coupon in CAN (Allison)</t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</si>
  <si>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</si>
  <si>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</si>
  <si>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</si>
  <si>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t>OOS</t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</si>
  <si>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</si>
  <si>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</si>
  <si>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</si>
  <si>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</si>
  <si>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r>
      <rPr>
        <rFont val="Arial"/>
        <color theme="1"/>
      </rPr>
      <t xml:space="preserve">20% off
</t>
    </r>
    <r>
      <rPr>
        <rFont val="Arial"/>
        <color rgb="FFFF0000"/>
      </rPr>
      <t>coupon 1st-6th</t>
    </r>
  </si>
  <si>
    <t>AUGUST</t>
  </si>
  <si>
    <t>Walmart OCTOBER FALL EVENT DUE DATE: Sep 16, 2025</t>
  </si>
  <si>
    <t>Aug 1st-3rd</t>
  </si>
  <si>
    <t>Aug 4th-10th</t>
  </si>
  <si>
    <t>Aug 11th-17th</t>
  </si>
  <si>
    <t>Aug 18th-24th</t>
  </si>
  <si>
    <t>Aug 25th-31st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</si>
  <si>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  <r>
      <rPr>
        <rFont val="Arial"/>
        <color rgb="FF783F04"/>
      </rPr>
      <t xml:space="preserve"> Target</t>
    </r>
  </si>
  <si>
    <t>6th-19th
PE 14% off ($360.34)</t>
  </si>
  <si>
    <t>20th-31st
PE 14% off ($360.34)</t>
  </si>
  <si>
    <t xml:space="preserve">BD ($359) from 6th-12th did not go through, ran a PE deal to get closest deal amount </t>
  </si>
  <si>
    <t>8th-19th 10% off coupon</t>
  </si>
  <si>
    <t>20th-31st 10% off coupon</t>
  </si>
  <si>
    <t>3rd-9th
PE 20% off ($449)</t>
  </si>
  <si>
    <t>8th-26th 10% off coupon</t>
  </si>
  <si>
    <t>27th-2nd
20% PE DEAL</t>
  </si>
  <si>
    <t>Ongoing $150 off coupon
8/8-9/7</t>
  </si>
  <si>
    <t>8/11-9/2
11% off coupon</t>
  </si>
  <si>
    <t>SEPTEMBER</t>
  </si>
  <si>
    <t>Sept 1st-7th</t>
  </si>
  <si>
    <t>Sept 8th-14th</t>
  </si>
  <si>
    <t>Sept 15th-21st</t>
  </si>
  <si>
    <t>Sept 22nd-28th</t>
  </si>
  <si>
    <t>Sept 29th &amp; 30th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</si>
  <si>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  <r>
      <rPr>
        <rFont val="Arial"/>
        <color rgb="FF783F04"/>
      </rPr>
      <t xml:space="preserve"> Target</t>
    </r>
  </si>
  <si>
    <t>27th-2nd
15% PE DEAL</t>
  </si>
  <si>
    <t>10% off coupon all of sept</t>
  </si>
  <si>
    <t>5% off coupon all of sept</t>
  </si>
  <si>
    <t>OCTOBER</t>
  </si>
  <si>
    <r>
      <rPr>
        <rFont val="Arial"/>
        <color rgb="FFCC4125"/>
      </rPr>
      <t xml:space="preserve">Target Deals Oct.5-11th
</t>
    </r>
    <r>
      <rPr>
        <rFont val="Arial"/>
        <color rgb="FF0000FF"/>
      </rPr>
      <t>Walmart Deals Week October 7nd -12th</t>
    </r>
  </si>
  <si>
    <t>Oct 1st-5th</t>
  </si>
  <si>
    <r>
      <rPr>
        <rFont val="Arial"/>
        <color rgb="FFFF0000"/>
      </rPr>
      <t xml:space="preserve">Big Deals Day US 7th-8th
</t>
    </r>
    <r>
      <rPr>
        <rFont val="Arial"/>
        <color rgb="FF1E8507"/>
      </rPr>
      <t xml:space="preserve">Big Deals Day CA 7th-10th
</t>
    </r>
    <r>
      <rPr>
        <rFont val="Arial"/>
        <color theme="1"/>
      </rPr>
      <t>***Deals ran 7-10
Oct 6th-12th</t>
    </r>
  </si>
  <si>
    <t>Oct 13th-19th</t>
  </si>
  <si>
    <t>Oct 20th-26th</t>
  </si>
  <si>
    <t>Oct 27th-31st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</si>
  <si>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  <r>
      <rPr>
        <rFont val="Arial"/>
        <color rgb="FF783F04"/>
      </rPr>
      <t xml:space="preserve"> Target</t>
    </r>
  </si>
  <si>
    <r>
      <rPr>
        <rFont val="Arial"/>
        <color rgb="FFFF0000"/>
      </rPr>
      <t xml:space="preserve">Fall Prime Discount: Best Deal 20% off @ $335, PE extension for 9th-10th
</t>
    </r>
    <r>
      <rPr>
        <rFont val="Arial"/>
        <color rgb="FF1E8507"/>
      </rPr>
      <t>Fall Prime Discount: PE Deal CA $461CAD</t>
    </r>
  </si>
  <si>
    <r>
      <rPr>
        <rFont val="Arial"/>
        <color theme="1"/>
      </rPr>
      <t xml:space="preserve">Match Prime Day deals over to CAD </t>
    </r>
    <r>
      <rPr>
        <rFont val="Arial"/>
        <color rgb="FF0000FF"/>
      </rPr>
      <t>CAD says Currently Unavailable for me - is that cuz I live in US? Can't see price-ACC</t>
    </r>
  </si>
  <si>
    <r>
      <rPr>
        <rFont val="Arial"/>
        <color rgb="FFFF0000"/>
      </rPr>
      <t xml:space="preserve">Fall Prime Discount: Best Deal 20% off @ $326, PE extension for 9th-10th
</t>
    </r>
    <r>
      <rPr>
        <rFont val="Arial"/>
        <color rgb="FF1E8507"/>
      </rPr>
      <t xml:space="preserve">Fall Prime Discount: PE Deal CA $450.58CAD
</t>
    </r>
  </si>
  <si>
    <t>Match Prime Day deals over to CAD</t>
  </si>
  <si>
    <r>
      <rPr>
        <rFont val="Arial"/>
        <color rgb="FFFF0000"/>
      </rPr>
      <t xml:space="preserve">Fall Prime Discount: 20% off coupon
</t>
    </r>
    <r>
      <rPr>
        <rFont val="Arial"/>
        <color rgb="FF1E8507"/>
      </rPr>
      <t>OOS in CA</t>
    </r>
  </si>
  <si>
    <r>
      <rPr>
        <rFont val="Arial"/>
        <color rgb="FFFF0000"/>
      </rPr>
      <t xml:space="preserve">Fall Prime Discount: Best Deal 25% off @ $419.25, PE extension for 9th-10th
</t>
    </r>
    <r>
      <rPr>
        <rFont val="Arial"/>
        <color rgb="FF1E8507"/>
      </rPr>
      <t>Fall Prime CA: Best Deal @ $616.57 CAD (12% off)</t>
    </r>
  </si>
  <si>
    <r>
      <rPr>
        <rFont val="Arial"/>
        <color rgb="FFFF0000"/>
      </rPr>
      <t xml:space="preserve">Fall Prime Discount: Best Deal OK'd at 25% off @ $456.75 (Running 24% @ $459.75), PE extension for 9th-10th
</t>
    </r>
    <r>
      <rPr>
        <rFont val="Arial"/>
        <color rgb="FF1E8507"/>
      </rPr>
      <t>Fall Prime CA: PE deal @ $628.98 CAD</t>
    </r>
  </si>
  <si>
    <t xml:space="preserve">
90AD400AD01-B</t>
  </si>
  <si>
    <t>B0FSGDFKKL</t>
  </si>
  <si>
    <t>AD4000 (Black)</t>
  </si>
  <si>
    <t>Coupon $100 off 7th-8th</t>
  </si>
  <si>
    <r>
      <rPr>
        <rFont val="Arial"/>
        <color rgb="FFFF0000"/>
      </rPr>
      <t xml:space="preserve">Fall Prime Discount: PE/Lightning Deal 20% off @ $799, PE extension for 9th-10th
</t>
    </r>
    <r>
      <rPr>
        <rFont val="Arial"/>
        <color rgb="FF1E8507"/>
      </rPr>
      <t>Fall Prime CA: PE deal @ $1100.55 CAD</t>
    </r>
  </si>
  <si>
    <r>
      <rPr>
        <rFont val="Arial"/>
        <color rgb="FFFF0000"/>
      </rPr>
      <t xml:space="preserve">Fall Prime Discount:PE/Lightning Deal 40% off @ $629, PE extension for 9th-10th
</t>
    </r>
    <r>
      <rPr>
        <rFont val="Arial"/>
        <color rgb="FF1E8507"/>
      </rPr>
      <t>Fall Prime CA: PE deal @ $866.73CAD</t>
    </r>
  </si>
  <si>
    <t>AD3500 1 Yr Combo Pack</t>
  </si>
  <si>
    <r>
      <rPr>
        <rFont val="Arial"/>
        <color rgb="FFFF0000"/>
      </rPr>
      <t xml:space="preserve">Fall Prime Discount: Best Deal 15% off @ $151.30, extended with coupon for 9th-10th
</t>
    </r>
    <r>
      <rPr>
        <rFont val="Arial"/>
        <color rgb="FF1E8507"/>
      </rPr>
      <t>Fall Prime CA: PE deal @ $183.77 CAD</t>
    </r>
  </si>
  <si>
    <r>
      <rPr>
        <rFont val="Arial"/>
        <color theme="1"/>
      </rPr>
      <t xml:space="preserve">Match Prime Day deals over to CAD </t>
    </r>
    <r>
      <rPr>
        <rFont val="Arial"/>
        <color rgb="FF0000FF"/>
      </rPr>
      <t>OOS in CAN - 300 inbound-ACC</t>
    </r>
  </si>
  <si>
    <t>AD3500 Carbon Gas Trap VOC Filters with Pre-Filter</t>
  </si>
  <si>
    <t xml:space="preserve">AD3500 Pre-Filters </t>
  </si>
  <si>
    <t>AD3500 UltraHEPA Filter</t>
  </si>
  <si>
    <t xml:space="preserve">AD5500 1 Yr Combo Pack </t>
  </si>
  <si>
    <r>
      <rPr>
        <rFont val="Arial"/>
        <color rgb="FFFF0000"/>
      </rPr>
      <t xml:space="preserve">Fall Prime Discount: Coupon 9% off 7th-10th 
</t>
    </r>
    <r>
      <rPr>
        <rFont val="Arial"/>
        <color rgb="FF1E8507"/>
      </rPr>
      <t>OOS in CA</t>
    </r>
  </si>
  <si>
    <t>AD5500 Carbon Gas Trap VOC Filters</t>
  </si>
  <si>
    <t xml:space="preserve">AD5500 Pre-Filter </t>
  </si>
  <si>
    <t>AD5500 UltraHEPA Filter</t>
  </si>
  <si>
    <r>
      <rPr>
        <rFont val="Arial"/>
        <color rgb="FFFF0000"/>
      </rPr>
      <t xml:space="preserve">Fall Prime Discount: Coupon 15% off // </t>
    </r>
    <r>
      <rPr>
        <rFont val="Arial"/>
        <color rgb="FF1E8507"/>
      </rPr>
      <t xml:space="preserve">CA Best Deal 12% off @ $511.27CAD
</t>
    </r>
    <r>
      <rPr>
        <rFont val="Arial"/>
        <color rgb="FFFF0000"/>
      </rPr>
      <t>BTP ongoing until end of yr
8th-12th running 20% off</t>
    </r>
  </si>
  <si>
    <t>Match Prime Day deals over to CAD;  Resubmitted US at midnught; coupon wasn't live</t>
  </si>
  <si>
    <t xml:space="preserve">
B0F2GS6P8B</t>
  </si>
  <si>
    <r>
      <rPr>
        <rFont val="Arial"/>
        <color rgb="FFFF0000"/>
      </rPr>
      <t xml:space="preserve">Fall Prime Discount: Coupon 15% off // BTP ongoing until end of yr; sales price PE 10/8 376.74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</si>
  <si>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r>
      <rPr>
        <rFont val="Arial"/>
        <color theme="1"/>
      </rPr>
      <t xml:space="preserve">Match Prime Day deals over to CAD; Resubmitted US at midnught; coupon wasn't live </t>
    </r>
    <r>
      <rPr>
        <rFont val="Arial"/>
        <color rgb="FF0000FF"/>
      </rPr>
      <t>Coupon went live-ACC $410.00 sale price // OOS in CAN</t>
    </r>
  </si>
  <si>
    <r>
      <rPr>
        <rFont val="Arial"/>
        <color rgb="FFFF0000"/>
      </rPr>
      <t xml:space="preserve">Fall Prime Discount: Coupon 15% off //BTP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</si>
  <si>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t>Match Prime Day deals over to CAD; no stock</t>
  </si>
  <si>
    <t>AQT Connect /Classic Smart</t>
  </si>
  <si>
    <r>
      <rPr>
        <rFont val="Arial"/>
        <color rgb="FFFF0000"/>
      </rPr>
      <t xml:space="preserve">Fall Prime Discount: Coupon 15% off // 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</si>
  <si>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r>
      <rPr>
        <rFont val="Arial"/>
        <color theme="1"/>
      </rPr>
      <t xml:space="preserve">Match Prime Day deals over to CAD; Resubmitted US at midnught; coupon wasn't live </t>
    </r>
    <r>
      <rPr>
        <rFont val="Arial"/>
        <color rgb="FF0000FF"/>
      </rPr>
      <t>Stickerless SKU shows OOS but B0F9BZHKYR is active &amp; has deal-ACC</t>
    </r>
  </si>
  <si>
    <r>
      <rPr>
        <rFont val="Arial"/>
        <color rgb="FFFF0000"/>
      </rPr>
      <t xml:space="preserve">Fall Prime Discount: Coupon 15% off // BTP ongoing until end of yr; does not qualify for PE switch to coupon 10/8-10/12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</si>
  <si>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r>
      <rPr>
        <rFont val="Arial"/>
        <color theme="1"/>
      </rPr>
      <t xml:space="preserve">Match Prime Day deals over to CAD; Resubmitted US at midnught; coupon wasn't live </t>
    </r>
    <r>
      <rPr>
        <rFont val="Arial"/>
        <color rgb="FF0000FF"/>
      </rPr>
      <t>Shows as being OOS-ACC</t>
    </r>
  </si>
  <si>
    <r>
      <rPr>
        <rFont val="Arial"/>
        <color rgb="FFFF0000"/>
      </rPr>
      <t xml:space="preserve">Fall Prime Discount: Coupon 15% off // </t>
    </r>
    <r>
      <rPr>
        <rFont val="Arial"/>
        <color rgb="FF1E8507"/>
      </rPr>
      <t xml:space="preserve">CA Best Deal 12% off @ $426.49CAD
</t>
    </r>
    <r>
      <rPr>
        <rFont val="Arial"/>
        <color rgb="FFFF0000"/>
      </rPr>
      <t>BTP ongoing for rest of yr
8th-12th running 20% off</t>
    </r>
  </si>
  <si>
    <r>
      <rPr>
        <rFont val="Arial"/>
        <color rgb="FFFF0000"/>
      </rPr>
      <t xml:space="preserve">Fall Prime Discount: Coupon 15% off // 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</si>
  <si>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r>
      <rPr>
        <rFont val="Arial"/>
        <color rgb="FFFF0000"/>
      </rPr>
      <t xml:space="preserve">Fall Prime Discount: Coupon 15% off // 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</si>
  <si>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r>
      <rPr>
        <rFont val="Arial"/>
        <color rgb="FFFF0000"/>
      </rPr>
      <t xml:space="preserve">Fall Prime Discount: Best Deal 15% or Coupon: off MSRP // 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</si>
  <si>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t>Match Prime Day deals over to CAD; waiting for shipment</t>
  </si>
  <si>
    <r>
      <rPr>
        <rFont val="Arial"/>
        <color rgb="FFFF0000"/>
      </rPr>
      <t xml:space="preserve">Fall Prime Discount: Best Deal 15% or Coupon: off MSRP // 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</si>
  <si>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r>
      <rPr>
        <rFont val="Arial"/>
        <color rgb="FFFF0000"/>
      </rPr>
      <t xml:space="preserve">Fall Prime Discount: Coupon 15% off // BTP ongoing until end of yr
</t>
    </r>
    <r>
      <rPr>
        <rFont val="Arial"/>
        <color rgb="FF1E8507"/>
      </rPr>
      <t xml:space="preserve">CA PE Deal to match US
</t>
    </r>
    <r>
      <rPr>
        <rFont val="Arial"/>
        <color rgb="FFFF0000"/>
      </rPr>
      <t>8th-12th running 20% off</t>
    </r>
  </si>
  <si>
    <t>Fall Prime Day deal: 18% off
Done By Dielon</t>
  </si>
  <si>
    <r>
      <rPr>
        <sz val="9.0"/>
      </rPr>
      <t xml:space="preserve">Price updated to $32.50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- 10/03/2025</t>
    </r>
  </si>
  <si>
    <r>
      <rPr>
        <sz val="9.0"/>
      </rPr>
      <t xml:space="preserve">Price updated to $32.50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 - 10/03/2025 </t>
    </r>
    <r>
      <rPr>
        <color rgb="FF0000FF"/>
        <sz val="9.0"/>
      </rPr>
      <t>Doesn't look like this coupon went through yet - ACC</t>
    </r>
  </si>
  <si>
    <r>
      <rPr>
        <sz val="9.0"/>
      </rPr>
      <t xml:space="preserve">Price updated to $30.00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- 10/03/2025</t>
    </r>
  </si>
  <si>
    <r>
      <rPr>
        <sz val="9.0"/>
      </rPr>
      <t xml:space="preserve">Price updated to $30.00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 - 10/03/2025</t>
    </r>
  </si>
  <si>
    <r>
      <rPr>
        <sz val="9.0"/>
      </rPr>
      <t xml:space="preserve">Price updated to $35.00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 - 10/03/2025</t>
    </r>
  </si>
  <si>
    <r>
      <rPr>
        <sz val="9.0"/>
      </rPr>
      <t xml:space="preserve">Price updated to $35.00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 - 10/03/2025</t>
    </r>
  </si>
  <si>
    <r>
      <rPr>
        <sz val="9.0"/>
      </rPr>
      <t xml:space="preserve">Price updated to $40.00 (this will be the pre-discounted price)
==
Coupon created: </t>
    </r>
    <r>
      <rPr>
        <color rgb="FF1155CC"/>
        <sz val="9.0"/>
        <u/>
      </rPr>
      <t>https://sellercentral.amazon.com/coupons/view-coupon/c542d136-3fc6-40f0-a5df-1b6b362cd5df</t>
    </r>
    <r>
      <rPr>
        <sz val="9.0"/>
      </rPr>
      <t xml:space="preserve">  - 10/03/2025</t>
    </r>
  </si>
  <si>
    <t>90PR200PR01</t>
  </si>
  <si>
    <t>EDWARD'S Brands BTP to start 13th - 19th Oct</t>
  </si>
  <si>
    <t>90PR550PR01</t>
  </si>
  <si>
    <t xml:space="preserve">Fall Prime Discount: 20% </t>
  </si>
  <si>
    <r>
      <rPr>
        <rFont val="Arial"/>
        <color theme="1"/>
      </rPr>
      <t xml:space="preserve">
</t>
    </r>
    <r>
      <rPr>
        <rFont val="Arial"/>
        <color theme="1"/>
      </rPr>
      <t>B076J4BK24</t>
    </r>
  </si>
  <si>
    <t xml:space="preserve">Fall Prime Discount: 15% </t>
  </si>
  <si>
    <t>90M401DR09</t>
  </si>
  <si>
    <r>
      <rPr>
        <rFont val="Arial"/>
        <color rgb="FFFF0000"/>
      </rPr>
      <t xml:space="preserve">Fall Prime Discount: 25% 
</t>
    </r>
    <r>
      <rPr>
        <rFont val="Arial"/>
        <color rgb="FF1E8507"/>
      </rPr>
      <t>not in CA</t>
    </r>
  </si>
  <si>
    <r>
      <rPr>
        <rFont val="Arial"/>
        <color rgb="FFFF0000"/>
      </rPr>
      <t xml:space="preserve">Fall Prime Discount: 30% 
</t>
    </r>
    <r>
      <rPr>
        <rFont val="Arial"/>
        <color rgb="FF1E8507"/>
      </rPr>
      <t>not in CA</t>
    </r>
  </si>
  <si>
    <r>
      <rPr>
        <rFont val="Arial"/>
        <color rgb="FFFF0000"/>
      </rPr>
      <t xml:space="preserve">Fall Prime Discount: 25% 
</t>
    </r>
    <r>
      <rPr>
        <rFont val="Arial"/>
        <color rgb="FF1E8507"/>
      </rPr>
      <t>matched in CA</t>
    </r>
  </si>
  <si>
    <r>
      <rPr>
        <rFont val="Arial"/>
        <color rgb="FFFF0000"/>
      </rPr>
      <t xml:space="preserve">Fall Prime Discount: 26% 
</t>
    </r>
    <r>
      <rPr>
        <rFont val="Arial"/>
        <color rgb="FF1E8507"/>
      </rPr>
      <t>matched in CA</t>
    </r>
  </si>
  <si>
    <t>Shows 15%, not 25/26% -ACC</t>
  </si>
  <si>
    <r>
      <rPr>
        <rFont val="Arial"/>
        <color rgb="FFFF0000"/>
      </rPr>
      <t xml:space="preserve">Fall Prime Discount: 25% 
</t>
    </r>
    <r>
      <rPr>
        <rFont val="Arial"/>
        <color rgb="FF1E8507"/>
      </rPr>
      <t>matched in CA</t>
    </r>
  </si>
  <si>
    <r>
      <rPr>
        <rFont val="Arial"/>
        <color rgb="FFFF0000"/>
      </rPr>
      <t xml:space="preserve">Fall Prime Discount: 25% (sales price $21.95) 
</t>
    </r>
    <r>
      <rPr>
        <rFont val="Arial"/>
        <color rgb="FF1E8507"/>
      </rPr>
      <t>matched in CA</t>
    </r>
  </si>
  <si>
    <r>
      <rPr>
        <rFont val="Arial"/>
        <color rgb="FFFF0000"/>
      </rPr>
      <t xml:space="preserve">Still had issues with coupon </t>
    </r>
    <r>
      <rPr>
        <rFont val="Arial"/>
        <color rgb="FF0000FF"/>
      </rPr>
      <t>Yeah, no coupon went through-ACC</t>
    </r>
  </si>
  <si>
    <r>
      <rPr>
        <rFont val="Arial"/>
        <color rgb="FFFF0000"/>
      </rPr>
      <t xml:space="preserve">Fall Prime Discount: Best Deal @ $16.99
</t>
    </r>
    <r>
      <rPr>
        <rFont val="Arial"/>
        <color rgb="FF1E8507"/>
      </rPr>
      <t>matched in CA</t>
    </r>
  </si>
  <si>
    <t>30% PE/ coupon couldnt run bc no ref price; made sales price 10/7- 10/12</t>
  </si>
  <si>
    <r>
      <rPr>
        <rFont val="Arial"/>
        <color rgb="FFFF0000"/>
      </rPr>
      <t xml:space="preserve">Still had issues with coupon even though we put a reference price </t>
    </r>
    <r>
      <rPr>
        <rFont val="Arial"/>
        <color rgb="FF0000FF"/>
      </rPr>
      <t>Shows 29% off though, so that's good-ACC</t>
    </r>
  </si>
  <si>
    <r>
      <rPr>
        <rFont val="Arial"/>
        <color rgb="FFFF0000"/>
      </rPr>
      <t xml:space="preserve">Fall Prime Discount: 30% 
</t>
    </r>
    <r>
      <rPr>
        <rFont val="Arial"/>
        <color rgb="FF1E8507"/>
      </rPr>
      <t>matched in CA</t>
    </r>
  </si>
  <si>
    <r>
      <rPr>
        <rFont val="Arial"/>
        <color rgb="FFFF0000"/>
      </rPr>
      <t xml:space="preserve">Fall Prime Discount: 30% 
</t>
    </r>
    <r>
      <rPr>
        <rFont val="Arial"/>
        <color rgb="FF1E8507"/>
      </rPr>
      <t>matched in CA</t>
    </r>
  </si>
  <si>
    <r>
      <rPr>
        <rFont val="Arial"/>
        <color rgb="FFFF0000"/>
      </rPr>
      <t xml:space="preserve">Fall Prime Coupon: 15% 
</t>
    </r>
    <r>
      <rPr>
        <rFont val="Arial"/>
        <color rgb="FF1E8507"/>
      </rPr>
      <t>matched in CA</t>
    </r>
  </si>
  <si>
    <t>Fall Prime Coupon: 35%</t>
  </si>
  <si>
    <t>Closed listing</t>
  </si>
  <si>
    <t>Listing Closed-ACC</t>
  </si>
  <si>
    <t>Fall Prime Discount: 32%</t>
  </si>
  <si>
    <t>Fall Prime Discount: 20% Best Deal @ $125.65; BD fell off did 20% PE deal $118.95</t>
  </si>
  <si>
    <r>
      <rPr>
        <rFont val="Arial"/>
        <color rgb="FFFF0000"/>
      </rPr>
      <t xml:space="preserve">Extending Edward's brands through to Sunday </t>
    </r>
    <r>
      <rPr>
        <rFont val="Arial"/>
        <color rgb="FF0000FF"/>
      </rPr>
      <t>Shows 19% off-ACC</t>
    </r>
  </si>
  <si>
    <r>
      <rPr>
        <rFont val="Arial"/>
        <color rgb="FFFF0000"/>
      </rPr>
      <t xml:space="preserve">Fall Prime Discount: 20% Best Deal @ $156
</t>
    </r>
    <r>
      <rPr>
        <rFont val="Arial"/>
        <color rgb="FF1E8507"/>
      </rPr>
      <t>matched in CA</t>
    </r>
  </si>
  <si>
    <t>Shows 15% off-ACC; changed to 20% because Amazon was still showing old reference price sales price now $156 (10/7 10am)</t>
  </si>
  <si>
    <t>Fall Prime Discount: Coupon 10% off</t>
  </si>
  <si>
    <t>Shows OOS-ACC</t>
  </si>
  <si>
    <t xml:space="preserve">Fall Prime Discount: 40%  </t>
  </si>
  <si>
    <t>Shows 25% vs 40% - ACC</t>
  </si>
  <si>
    <t>Fall Prime Discount: 30% @ $30.07 Best Deal 14% off @ $36.51</t>
  </si>
  <si>
    <t>Listing Inactive - ACC</t>
  </si>
  <si>
    <t>No discount showing - ACC</t>
  </si>
  <si>
    <t>Fall Prime Discount: 40% off coupon</t>
  </si>
  <si>
    <t>This size option doesn't seem to be on the listing-ACC</t>
  </si>
  <si>
    <t>Fall Prime Discount: PE Deal 35% off</t>
  </si>
  <si>
    <r>
      <rPr>
        <color rgb="FF000000"/>
      </rPr>
      <t xml:space="preserve">Subscibe and Save coupon created: </t>
    </r>
    <r>
      <rPr>
        <color rgb="FF1155CC"/>
        <u/>
      </rPr>
      <t>https://sellercentral.amazon.com/coupons/view-coupon/efd2ce64-3fee-450b-af7d-1679ed9d05c7</t>
    </r>
    <r>
      <rPr>
        <color rgb="FF000000"/>
      </rPr>
      <t xml:space="preserve"> - 10/03/2025; BTP For all AD main units 11-19th</t>
    </r>
  </si>
  <si>
    <r>
      <rPr>
        <color rgb="FF000000"/>
      </rPr>
      <t xml:space="preserve">Subscibe and Save coupon created: </t>
    </r>
    <r>
      <rPr>
        <color rgb="FF1155CC"/>
        <u/>
      </rPr>
      <t>https://sellercentral.amazon.com/coupons/view-coupon/efd2ce64-3fee-450b-af7d-1679ed9d05c7</t>
    </r>
    <r>
      <rPr>
        <color rgb="FF000000"/>
      </rPr>
      <t xml:space="preserve"> - 10/03/2025</t>
    </r>
  </si>
  <si>
    <r>
      <rPr>
        <color rgb="FF000000"/>
      </rPr>
      <t xml:space="preserve">Subscibe and Save coupon created: </t>
    </r>
    <r>
      <rPr>
        <color rgb="FF1155CC"/>
        <u/>
      </rPr>
      <t>https://sellercentral.amazon.com/coupons/view-coupon/a3fabf06-e7cc-4fee-8633-a1a0a00351bd</t>
    </r>
    <r>
      <rPr>
        <color rgb="FF000000"/>
      </rPr>
      <t xml:space="preserve">  - 10/03/2025</t>
    </r>
  </si>
  <si>
    <r>
      <rPr>
        <color rgb="FF000000"/>
      </rPr>
      <t xml:space="preserve">Subscibe and Save coupon created: </t>
    </r>
    <r>
      <rPr>
        <color rgb="FF1155CC"/>
        <u/>
      </rPr>
      <t>https://sellercentral.amazon.com/coupons/view-coupon/a3fabf06-e7cc-4fee-8633-a1a0a00351bd</t>
    </r>
    <r>
      <rPr>
        <color rgb="FF000000"/>
      </rPr>
      <t xml:space="preserve">  - 10/03/2025</t>
    </r>
  </si>
  <si>
    <r>
      <rPr>
        <color rgb="FF000000"/>
      </rPr>
      <t xml:space="preserve">Subscibe and Save coupon created: </t>
    </r>
    <r>
      <rPr>
        <color rgb="FF1155CC"/>
        <u/>
      </rPr>
      <t>https://sellercentral.amazon.com/coupons/view-coupon/b3e84e91-84a8-4a10-b0c3-a638d41dcdbe</t>
    </r>
    <r>
      <rPr>
        <color rgb="FF000000"/>
      </rPr>
      <t xml:space="preserve">  - 10/03/2025</t>
    </r>
  </si>
  <si>
    <r>
      <rPr>
        <color rgb="FF000000"/>
      </rPr>
      <t xml:space="preserve">Subscibe and Save coupon created: </t>
    </r>
    <r>
      <rPr>
        <color rgb="FF1155CC"/>
        <u/>
      </rPr>
      <t>https://sellercentral.amazon.com/coupons/view-coupon/b3e84e91-84a8-4a10-b0c3-a638d41dcdbe</t>
    </r>
    <r>
      <rPr>
        <color rgb="FF000000"/>
      </rPr>
      <t xml:space="preserve">  - 10/03/2025</t>
    </r>
  </si>
  <si>
    <t xml:space="preserve"> NOVEMBER</t>
  </si>
  <si>
    <t>Nov 1st-2nd</t>
  </si>
  <si>
    <t>Nov 3rd-9th</t>
  </si>
  <si>
    <r>
      <rPr>
        <rFont val="Arial"/>
        <color rgb="FF0000FF"/>
      </rPr>
      <t xml:space="preserve">Walmart Black Friday Sale:14-16  </t>
    </r>
    <r>
      <rPr>
        <rFont val="Arial"/>
        <color rgb="FFFF00FF"/>
      </rPr>
      <t xml:space="preserve">Buen Fin 10th-17th
</t>
    </r>
    <r>
      <rPr>
        <rFont val="Arial"/>
        <color theme="1"/>
      </rPr>
      <t>Nov 10th-16th</t>
    </r>
  </si>
  <si>
    <r>
      <rPr>
        <rFont val="Arial"/>
        <color rgb="FFFF0000"/>
      </rPr>
      <t>AMZ BF/CM Nov20-Dec1</t>
    </r>
    <r>
      <rPr>
        <rFont val="Arial"/>
        <color theme="1"/>
      </rPr>
      <t xml:space="preserve">
Nov 17th-23rd</t>
    </r>
  </si>
  <si>
    <r>
      <rPr>
        <rFont val="Arial"/>
        <color rgb="FF0000FF"/>
      </rPr>
      <t>Walmart Cyber Monday 25-1</t>
    </r>
    <r>
      <rPr>
        <rFont val="Arial"/>
        <color rgb="FFFF0000"/>
      </rPr>
      <t xml:space="preserve">AMZ BF/CM Nov20-Dec1
</t>
    </r>
    <r>
      <rPr>
        <rFont val="Arial"/>
        <color rgb="FFFF00FF"/>
      </rPr>
      <t xml:space="preserve">Turkey 5 Nov27th-Dec1st
</t>
    </r>
    <r>
      <rPr>
        <rFont val="Arial"/>
        <color theme="1"/>
      </rPr>
      <t>Nov 24th-30th</t>
    </r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</si>
  <si>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 
</t>
    </r>
    <r>
      <rPr>
        <rFont val="Arial"/>
        <color rgb="FFFF00FF"/>
      </rPr>
      <t xml:space="preserve">Amazon MX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  <r>
      <rPr>
        <rFont val="Arial"/>
        <color rgb="FF783F04"/>
      </rPr>
      <t xml:space="preserve"> 
Target</t>
    </r>
  </si>
  <si>
    <t>Nov9-26
Best Deal
15% off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</si>
  <si>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MSRP $419 Discount 20% off - Sale Price ($335.20)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Best Deal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</si>
  <si>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MSRP $419 Discount 20% off - Sale Price ($335.20)
11/29 bumped to 24% off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Best Deal
</t>
    </r>
    <r>
      <rPr>
        <rFont val="Arial"/>
        <color rgb="FFFF00FF"/>
      </rPr>
      <t xml:space="preserve">15% off
27-1st
20%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</si>
  <si>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 xml:space="preserve">listing closed in MX 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</si>
  <si>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$409 Discount 20% off - Sale Price ($326)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Best Deal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</si>
  <si>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$409 Discount 20% off - Sale Price ($326)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Best Deal
</t>
    </r>
    <r>
      <rPr>
        <rFont val="Arial"/>
        <color rgb="FFFF00FF"/>
      </rPr>
      <t xml:space="preserve">15% off
27-1st
20%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</si>
  <si>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>Nov9-26
PE 
15% off</t>
  </si>
  <si>
    <t>Nov9-26
PE
15% off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</si>
  <si>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PE</t>
    </r>
    <r>
      <rPr>
        <rFont val="Arial"/>
        <color rgb="FFFF0000"/>
      </rPr>
      <t xml:space="preserve">
MSRP $459 Discount 20% off - Sale Price ($367.20)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</si>
  <si>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PE</t>
    </r>
    <r>
      <rPr>
        <rFont val="Arial"/>
        <color rgb="FFFF0000"/>
      </rPr>
      <t xml:space="preserve">
MSRP $459 Discount 20% off - Sale Price ($367.20)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 </t>
    </r>
    <r>
      <rPr>
        <rFont val="Arial"/>
        <color rgb="FFFF00FF"/>
      </rPr>
      <t xml:space="preserve">15% off
27-1st
20%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</si>
  <si>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strike/>
        <color rgb="FFFF0000"/>
      </rPr>
      <t xml:space="preserve">Nov20-Dec1
</t>
    </r>
    <r>
      <rPr>
        <rFont val="Arial"/>
        <b/>
        <strike/>
        <color rgb="FFFF0000"/>
      </rPr>
      <t xml:space="preserve">Best Deal
</t>
    </r>
    <r>
      <rPr>
        <rFont val="Arial"/>
        <strike/>
        <color rgb="FFFF0000"/>
      </rPr>
      <t xml:space="preserve">MSRP $559 Discount 25% off - Sale Price ($419.25)
</t>
    </r>
    <r>
      <rPr>
        <rFont val="Arial"/>
        <strike/>
        <color rgb="FF1E8507"/>
      </rPr>
      <t xml:space="preserve">Nov20-Dec1
</t>
    </r>
    <r>
      <rPr>
        <rFont val="Arial"/>
        <b/>
        <strike/>
        <color rgb="FF1E8507"/>
      </rPr>
      <t>PE</t>
    </r>
    <r>
      <rPr>
        <rFont val="Arial"/>
        <strike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</si>
  <si>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$559 Discount 25% off - Sale Price ($419.25) 11/21 changed to 29% 11/26 changed to 30% off 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</si>
  <si>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 xml:space="preserve">We obtained brand/mgt approval on 11/21 to make the AD3500 up to a 29% Off discount or $396.89.  This should be done on Walmart as well and the marketplaces.  Just noting the change done on Friday. 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</si>
  <si>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$609 Discount 25% off - Sale Price ($456.75)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  <r>
      <rPr>
        <rFont val="Arial"/>
        <color rgb="FFFF0000"/>
      </rPr>
      <t xml:space="preserve">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</si>
  <si>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$609 Discount 25% off - Sale Price ($456.75)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27-1st
20%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</si>
  <si>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>AD4000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</si>
  <si>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PE</t>
    </r>
    <r>
      <rPr>
        <rFont val="Arial"/>
        <color rgb="FFFF0000"/>
      </rPr>
      <t xml:space="preserve">
MSRP $799 Discount 30% off - Sale Price ($559.30)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</si>
  <si>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PE</t>
    </r>
    <r>
      <rPr>
        <rFont val="Arial"/>
        <color rgb="FFFF0000"/>
      </rPr>
      <t xml:space="preserve">
MSRP $799 Discount 30% off - Sale Price ($559.30)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</si>
  <si>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$999 Discount 35% off - Sale Price ($649)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</si>
  <si>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$999 Discount 35% off - Sale Price ($649)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27-1st
20%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</si>
  <si>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$1049 Discount 40% off - Sale Price ($629)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PE </t>
    </r>
    <r>
      <rPr>
        <rFont val="Arial"/>
        <color rgb="FF1E8507"/>
      </rPr>
      <t>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</si>
  <si>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$1049 Discount 40% off - Sale Price ($629)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27-1st
20%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</si>
  <si>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>Diffuser Clip</t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</si>
  <si>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PE/Coupon
</t>
    </r>
    <r>
      <rPr>
        <rFont val="Arial"/>
        <color rgb="FFFF0000"/>
      </rPr>
      <t>MSRP $29.95 Discount $10 off - Sale Price ($19.95)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</si>
  <si>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PE/Coupon
</t>
    </r>
    <r>
      <rPr>
        <rFont val="Arial"/>
        <color rgb="FFFF0000"/>
      </rPr>
      <t>MSRP $29.95 Discount $10 off - Sale Price ($19.95)</t>
    </r>
  </si>
  <si>
    <t>cant run deal yet, bc not live!</t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</si>
  <si>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$130.95 Discount 10% off - Sale Price ($117.86)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</si>
  <si>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$130.95 Discount 10% off - Sale Price ($117.86)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</si>
  <si>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t>nov26-Dec7
PE
10% off</t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</si>
  <si>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$178 Discount 10% off - Sale Price ($160.20)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</si>
  <si>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$178 Discount 10% off - Sale Price ($160.20)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</si>
  <si>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$343.99 Discount 10% off - Sale Price ($309.59)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</si>
  <si>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$343.99 Discount 10% off - Sale Price ($309.59)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</si>
  <si>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PE
15%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12% off (CA$511.27)</t>
    </r>
  </si>
  <si>
    <r>
      <rPr>
        <rFont val="Arial"/>
        <color rgb="FFFF0000"/>
      </rPr>
      <t xml:space="preserve">Nov20-Nov25
PE
15% off
changed to 20% 
nov26-dec1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27-1st
20% off
</t>
    </r>
    <r>
      <rPr>
        <rFont val="Arial"/>
        <color rgb="FFFF0000"/>
      </rPr>
      <t xml:space="preserve">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Best Deal</t>
    </r>
    <r>
      <rPr>
        <rFont val="Arial"/>
        <color rgb="FF1E8507"/>
      </rPr>
      <t xml:space="preserve">
12% off (CA$511.27)</t>
    </r>
  </si>
  <si>
    <r>
      <rPr>
        <rFont val="Arial"/>
        <color rgb="FFFF0000"/>
      </rPr>
      <t xml:space="preserve">nov22-nov27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</si>
  <si>
    <r>
      <rPr>
        <rFont val="Arial"/>
        <color rgb="FFFF0000"/>
      </rPr>
      <t xml:space="preserve">nov22-nov27
PE
15% off 
(11/28) Lightning Deal
Ref Price $469 (MSRP $483) 20% off - Sales price $375.20
nov29-dec1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
27-1st
20% off</t>
    </r>
  </si>
  <si>
    <t>90AT205SC01</t>
  </si>
  <si>
    <t>B0F9BZHKYR</t>
  </si>
  <si>
    <t>AQT Classic Smart</t>
  </si>
  <si>
    <r>
      <rPr>
        <rFont val="Arial"/>
        <color rgb="FFFF0000"/>
      </rPr>
      <t xml:space="preserve">nov20-nov27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</si>
  <si>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nov20-nov25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nov26-Dec1
coupon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</si>
  <si>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>AQT Classic Smart Alkaline</t>
  </si>
  <si>
    <r>
      <rPr>
        <rFont val="Arial"/>
        <color rgb="FFFF0000"/>
      </rPr>
      <t xml:space="preserve">nov20-nov27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</si>
  <si>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nov20-nov25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nov26-Dec1
PE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</si>
  <si>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nov20-dec7
PE
15%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17% off (CA$426.49)</t>
    </r>
  </si>
  <si>
    <r>
      <rPr>
        <rFont val="Arial"/>
        <color rgb="FFFF0000"/>
      </rPr>
      <t xml:space="preserve">nov20-nov25
PE
15% off 
nov26-Dec1
PE
20% off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17% off (CA$426.49)</t>
    </r>
  </si>
  <si>
    <r>
      <rPr>
        <rFont val="Arial"/>
        <color rgb="FFFF0000"/>
      </rPr>
      <t xml:space="preserve">nov20-dec7
PE
15%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12% off (CA$449.99)</t>
    </r>
  </si>
  <si>
    <r>
      <rPr>
        <rFont val="Arial"/>
        <color rgb="FFFF0000"/>
      </rPr>
      <t xml:space="preserve">nov20-nov25
PE
15% off 
nov26-Dec1
PE
20% off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 xml:space="preserve">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12% off (CA$449.99)</t>
    </r>
  </si>
  <si>
    <r>
      <rPr>
        <rFont val="Arial"/>
        <color rgb="FFFF0000"/>
      </rPr>
      <t xml:space="preserve">nov20-nov27
PE
15% off 
nov28-Dec1
PE
20% off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</si>
  <si>
    <r>
      <rPr>
        <rFont val="Arial"/>
        <color rgb="FFFF0000"/>
      </rPr>
      <t xml:space="preserve">nov20-nov25
PE
15% off 
nov26-Dec1
PE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
27-1st
20% off</t>
    </r>
  </si>
  <si>
    <r>
      <rPr>
        <rFont val="Arial"/>
        <color rgb="FFFF0000"/>
      </rPr>
      <t xml:space="preserve">nov20-nov27
PE
15% off 
nov28-Dec1
PE
20% off 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</si>
  <si>
    <r>
      <rPr>
        <rFont val="Arial"/>
        <color rgb="FFFF0000"/>
      </rPr>
      <t xml:space="preserve">nov20-nov25
PE
15% off 
nov26-Dec1
PE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
27-1st
20% off</t>
    </r>
  </si>
  <si>
    <t>listing does not exist in MX</t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</si>
  <si>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</si>
  <si>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nov20-nov25
PE
15% off 
nov26-Dec1
PE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</si>
  <si>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15%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</si>
  <si>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nov20-nov25
PE
15% off 
nov26-Dec1
PE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</si>
  <si>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</si>
  <si>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</si>
  <si>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/>
      <t xml:space="preserve">24% off - CHANGED ON 11/25/25 </t>
    </r>
    <r>
      <rPr>
        <color rgb="FF1155CC"/>
        <u/>
      </rPr>
      <t>https://sellercentral.amazon.com/coupons/view-coupon/3340635e-4c77-4723-8b97-8afe6f80e4b6</t>
    </r>
    <r>
      <rPr/>
      <t xml:space="preserve"> </t>
    </r>
  </si>
  <si>
    <r>
      <rPr/>
      <t xml:space="preserve">Rerun / created new coupon - 24% off  - 12/15/25 to 12/31/25
- </t>
    </r>
    <r>
      <rPr>
        <color rgb="FF1155CC"/>
        <u/>
      </rPr>
      <t>https://sellercentral.amazon.com/coupons/view-coupon/ef262f4e-96a6-4fa6-9977-2aacaaa73ed1</t>
    </r>
    <r>
      <rPr/>
      <t xml:space="preserve"> </t>
    </r>
  </si>
  <si>
    <r>
      <rPr/>
      <t xml:space="preserve">24% off -CHANGED ON 11/25/25
</t>
    </r>
    <r>
      <rPr>
        <color rgb="FF1155CC"/>
        <u/>
      </rPr>
      <t>https://sellercentral.amazon.com/coupons/view-coupon/3b46d0f2-d2e8-4216-b7bd-a4fe81d83ac0</t>
    </r>
    <r>
      <rPr/>
      <t xml:space="preserve"> </t>
    </r>
  </si>
  <si>
    <r>
      <rPr/>
      <t xml:space="preserve">Rerun / created new coupon - 24% off  - 12/15/25 to 12/31/25
- </t>
    </r>
    <r>
      <rPr>
        <color rgb="FF1155CC"/>
        <u/>
      </rPr>
      <t>https://sellercentral.amazon.com/coupons/view-coupon/d9b05d89-4260-4fef-9f2e-74d3cd5e4387</t>
    </r>
    <r>
      <rPr/>
      <t xml:space="preserve"> </t>
    </r>
  </si>
  <si>
    <r>
      <rPr/>
      <t xml:space="preserve">25% off -CHANGED ON 11/25/25
</t>
    </r>
    <r>
      <rPr>
        <color rgb="FF1155CC"/>
        <u/>
      </rPr>
      <t>https://sellercentral.amazon.com/coupons/view-coupon/f27bb271-7ae6-4ad6-b3b6-9d4effd3b2d0</t>
    </r>
  </si>
  <si>
    <r>
      <rPr/>
      <t xml:space="preserve">Rerun / created new coupon - 25% off  - 12/15/25 to 12/31/25
- </t>
    </r>
    <r>
      <rPr>
        <color rgb="FF1155CC"/>
        <u/>
      </rPr>
      <t>https://sellercentral.amazon.com/coupons/view-coupon/6afae20e-7ebb-4a86-9b37-f6ad14aaff93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</si>
  <si>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10%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</si>
  <si>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10% off</t>
    </r>
  </si>
  <si>
    <t>https://sellercentral.amazon.com/coupons/view-coupon/6e501db0-02b3-44f9-b3c0-fbb0dc7fba2b</t>
  </si>
  <si>
    <r>
      <rPr/>
      <t xml:space="preserve">Rerun / created new coupon  - 12/15/25 to 12/31/25
- </t>
    </r>
    <r>
      <rPr>
        <color rgb="FF1155CC"/>
        <u/>
      </rPr>
      <t>https://sellercentral.amazon.com/coupons/view-coupon/361956b1-3cba-48c4-ab81-ba7c3adb24c5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</si>
  <si>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10%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</si>
  <si>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10% off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</si>
  <si>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https://sellercentral.amazon.com/coupons/view-coupon/361956b1-3cba-48c4-ab81-ba7c3adb24c5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</si>
  <si>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</si>
  <si>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</si>
  <si>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t>https://sellercentral.amazon.com/coupons/view-coupon/db08d040-503d-43f2-b69c-719fbb4027d5</t>
  </si>
  <si>
    <r>
      <rPr/>
      <t xml:space="preserve">Rerun / created new coupon  - 12/15/25 to 12/31/25
- </t>
    </r>
    <r>
      <rPr>
        <color rgb="FF1155CC"/>
        <u/>
      </rPr>
      <t>https://sellercentral.amazon.com/coupons/view-coupon/128d9774-646f-4124-b661-3fa8918319e1</t>
    </r>
    <r>
      <rPr/>
      <t xml:space="preserve"> 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</si>
  <si>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</si>
  <si>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</si>
  <si>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https://sellercentral.amazon.com/coupons/view-coupon/128d9774-646f-4124-b661-3fa8918319e1</t>
    </r>
    <r>
      <rPr/>
      <t xml:space="preserve"> 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</si>
  <si>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10%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</si>
  <si>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10% off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</si>
  <si>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https://sellercentral.amazon.com/coupons/view-coupon/361956b1-3cba-48c4-ab81-ba7c3adb24c5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</si>
  <si>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</si>
  <si>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</si>
  <si>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https://sellercentral.amazon.com/coupons/view-coupon/128d9774-646f-4124-b661-3fa8918319e1</t>
    </r>
    <r>
      <rPr/>
      <t xml:space="preserve"> 
</t>
    </r>
  </si>
  <si>
    <t>\</t>
  </si>
  <si>
    <t>cant run deal until after 11/25 deal</t>
  </si>
  <si>
    <r>
      <rPr>
        <rFont val="Arial"/>
        <color rgb="FFFF0000"/>
      </rPr>
      <t xml:space="preserve">(11/25) </t>
    </r>
    <r>
      <rPr>
        <rFont val="Arial"/>
        <b/>
        <color rgb="FFFF0000"/>
      </rPr>
      <t xml:space="preserve">Lightning Deal </t>
    </r>
    <r>
      <rPr>
        <rFont val="Arial"/>
        <color rgb="FFFF0000"/>
      </rPr>
      <t>25% off @ $78.50</t>
    </r>
  </si>
  <si>
    <r>
      <rPr/>
      <t xml:space="preserve">missing buy box - </t>
    </r>
    <r>
      <rPr>
        <color rgb="FF1155CC"/>
        <u/>
      </rPr>
      <t>https://www.amazon.com/Envion-Ionic-Pro-Compact-Purifier/dp/B000HEB99A/ref=sr_1_3?crid=342X6G1V50CZO&amp;dib=eyJ2IjoiMSJ9.0DxRi4GccirJiwOvFpdkCQ.HA3vbSRQlKGnAHmIfcyk5K_cahAnPmvEXQs1shQ6BIs&amp;dib_tag=se&amp;keywords=B000HEB99A&amp;nsdOptOutParam=true&amp;qid=1763592572&amp;sprefix=b000heb99a%2Caps%2C259&amp;sr=8-3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</si>
  <si>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</si>
  <si>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</si>
  <si>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cant run deal until after 11/24 deal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</si>
  <si>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(11/24) </t>
    </r>
    <r>
      <rPr>
        <rFont val="Arial"/>
        <b/>
        <color rgb="FFFF0000"/>
      </rPr>
      <t xml:space="preserve">Lightning Deal </t>
    </r>
    <r>
      <rPr>
        <rFont val="Arial"/>
        <color rgb="FFFF0000"/>
      </rPr>
      <t xml:space="preserve">
25% off @ $224.50
</t>
    </r>
    <r>
      <rPr>
        <rFont val="Arial"/>
        <color rgb="FFFF00FF"/>
      </rPr>
      <t xml:space="preserve">
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27-Dec1
20% off</t>
    </r>
  </si>
  <si>
    <t>listing blocked in MX</t>
  </si>
  <si>
    <r>
      <rPr>
        <rFont val="Arial"/>
        <color theme="1"/>
      </rPr>
      <t xml:space="preserve">
</t>
    </r>
    <r>
      <rPr>
        <rFont val="Arial"/>
        <color theme="1"/>
      </rPr>
      <t>B076J4BK24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</si>
  <si>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</si>
  <si>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</si>
  <si>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t>11/20: coupon live in back end but missing the buy box</t>
  </si>
  <si>
    <r>
      <rPr/>
      <t xml:space="preserve">missing buy box - </t>
    </r>
    <r>
      <rPr>
        <color rgb="FF1155CC"/>
        <u/>
      </rPr>
      <t>https://www.amazon.com/Ionic-Pro-TA740-Negative-Purifier/dp/B076J4BK24/ref=sr_1_3?crid=2CF88WN8PL6X4&amp;dib=eyJ2IjoiMSJ9.UFD-Agbjn7J_DcwCaARiUA.0XNpXBRSCcGlPnKTiOaptLXF9rOOt3OOBt2hJkblam0&amp;dib_tag=se&amp;keywords=B076J4BK24&amp;nsdOptOutParam=true&amp;qid=1763592626&amp;sprefix=b076j4bk24%2Caps%2C199&amp;sr=8-3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</si>
  <si>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</si>
  <si>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35% off
nov30-dec1
</t>
    </r>
    <r>
      <rPr>
        <rFont val="Arial"/>
        <b/>
        <color rgb="FFFF0000"/>
      </rPr>
      <t xml:space="preserve">PE
</t>
    </r>
    <r>
      <rPr>
        <rFont val="Arial"/>
        <color rgb="FFFF0000"/>
      </rPr>
      <t>Amazon requesting increase to 39%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</si>
  <si>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</si>
  <si>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</si>
  <si>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</si>
  <si>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</si>
  <si>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Coupon</t>
    </r>
    <r>
      <rPr>
        <rFont val="Arial"/>
        <color rgb="FFFF0000"/>
      </rPr>
      <t xml:space="preserve">
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</si>
  <si>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Coupon</t>
    </r>
    <r>
      <rPr>
        <rFont val="Arial"/>
        <color rgb="FFFF0000"/>
      </rPr>
      <t xml:space="preserve">
25% off
OOS dec2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27-Dec1
20% off</t>
    </r>
  </si>
  <si>
    <t>listing OOS</t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</si>
  <si>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</si>
  <si>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(11/29) </t>
    </r>
    <r>
      <rPr>
        <rFont val="Arial"/>
        <b/>
        <color rgb="FFFF0000"/>
      </rPr>
      <t>Lightning Deal</t>
    </r>
    <r>
      <rPr>
        <rFont val="Arial"/>
        <color rgb="FFFF0000"/>
      </rPr>
      <t xml:space="preserve"> 
25% off @ $13.40; adding 25% on 11/28 8am
Additional </t>
    </r>
    <r>
      <rPr>
        <rFont val="Arial"/>
        <b/>
        <color rgb="FFFF0000"/>
      </rPr>
      <t>coupon</t>
    </r>
    <r>
      <rPr>
        <rFont val="Arial"/>
        <color rgb="FFFF0000"/>
      </rPr>
      <t xml:space="preserve"> added 12/1-12/7 @ 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</si>
  <si>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Coupon</t>
    </r>
    <r>
      <rPr>
        <rFont val="Arial"/>
        <color rgb="FFFF0000"/>
      </rPr>
      <t xml:space="preserve">
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</si>
  <si>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>Coupon</t>
    </r>
    <r>
      <rPr>
        <rFont val="Arial"/>
        <color rgb="FFFF0000"/>
      </rPr>
      <t xml:space="preserve">
25% off</t>
    </r>
  </si>
  <si>
    <t xml:space="preserve">listing has been closed </t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</si>
  <si>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</si>
  <si>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(11/28) </t>
    </r>
    <r>
      <rPr>
        <rFont val="Arial"/>
        <b/>
        <color rgb="FFFF0000"/>
      </rPr>
      <t>Lightning Deal</t>
    </r>
    <r>
      <rPr>
        <rFont val="Arial"/>
        <color rgb="FFFF0000"/>
      </rPr>
      <t xml:space="preserve"> 
30% off @ $13.99
nov29-dec7
</t>
    </r>
    <r>
      <rPr>
        <rFont val="Arial"/>
        <b/>
        <color rgb="FFFF0000"/>
      </rPr>
      <t>PE</t>
    </r>
    <r>
      <rPr>
        <rFont val="Arial"/>
        <color rgb="FFFF0000"/>
      </rPr>
      <t xml:space="preserve">
30% off</t>
    </r>
  </si>
  <si>
    <t>B017YJX60K</t>
  </si>
  <si>
    <t>MB3 8 pc Steak Knives</t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</si>
  <si>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</si>
  <si>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nov20-nov28
Dec2-7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</si>
  <si>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 
</t>
    </r>
    <r>
      <rPr>
        <rFont val="Arial"/>
        <b/>
        <color rgb="FFFF0000"/>
      </rPr>
      <t xml:space="preserve">Coupon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</si>
  <si>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</si>
  <si>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nov20-dec1 
</t>
    </r>
    <r>
      <rPr>
        <rFont val="Arial"/>
        <b/>
        <color rgb="FFFF0000"/>
      </rPr>
      <t xml:space="preserve">Coupon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</si>
  <si>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nov20-dec7 
</t>
    </r>
    <r>
      <rPr>
        <rFont val="Arial"/>
        <b/>
        <color rgb="FFFF0000"/>
      </rPr>
      <t xml:space="preserve">Coupon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</si>
  <si>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</si>
  <si>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</si>
  <si>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</si>
  <si>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</si>
  <si>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</si>
  <si>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</si>
  <si>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</si>
  <si>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</si>
  <si>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</si>
  <si>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(11/29) </t>
    </r>
    <r>
      <rPr>
        <rFont val="Arial"/>
        <b/>
        <color rgb="FFFF0000"/>
      </rPr>
      <t>Lightning Deal</t>
    </r>
    <r>
      <rPr>
        <rFont val="Arial"/>
        <color rgb="FFFF0000"/>
      </rPr>
      <t xml:space="preserve"> 
25% off @ $110.95</t>
    </r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</si>
  <si>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>PE</t>
    </r>
    <r>
      <rPr>
        <rFont val="Arial"/>
        <color rgb="FFFF0000"/>
      </rPr>
      <t xml:space="preserve">
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</si>
  <si>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>PE</t>
    </r>
    <r>
      <rPr>
        <rFont val="Arial"/>
        <color rgb="FFFF0000"/>
      </rPr>
      <t xml:space="preserve">
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</si>
  <si>
    <r>
      <rPr>
        <rFont val="Arial"/>
        <color rgb="FFFF0000"/>
      </rPr>
      <t xml:space="preserve">nov20-nov28
</t>
    </r>
    <r>
      <rPr>
        <rFont val="Arial"/>
        <b/>
        <color rgb="FFFF0000"/>
      </rPr>
      <t>PE</t>
    </r>
    <r>
      <rPr>
        <rFont val="Arial"/>
        <color rgb="FFFF0000"/>
      </rPr>
      <t xml:space="preserve">
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</t>
    </r>
  </si>
  <si>
    <r>
      <rPr>
        <rFont val="Arial"/>
        <color rgb="FFFF0000"/>
      </rPr>
      <t xml:space="preserve">(11/29) </t>
    </r>
    <r>
      <rPr>
        <rFont val="Arial"/>
        <b/>
        <color rgb="FFFF0000"/>
      </rPr>
      <t>Lightning Deal</t>
    </r>
    <r>
      <rPr>
        <rFont val="Arial"/>
        <color rgb="FFFF0000"/>
      </rPr>
      <t xml:space="preserve"> 
25% off @ $146
</t>
    </r>
    <r>
      <rPr>
        <rFont val="Arial"/>
        <color rgb="FFFF00FF"/>
      </rPr>
      <t xml:space="preserve">Nov9-26
</t>
    </r>
    <r>
      <rPr>
        <rFont val="Arial"/>
        <b/>
        <color rgb="FFFF00FF"/>
      </rPr>
      <t xml:space="preserve">PE
</t>
    </r>
    <r>
      <rPr>
        <rFont val="Arial"/>
        <color rgb="FFFF00FF"/>
      </rPr>
      <t>15% off
27-Dec1
20%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</si>
  <si>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18%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</si>
  <si>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18%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</si>
  <si>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</si>
  <si>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</si>
  <si>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</si>
  <si>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</si>
  <si>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</si>
  <si>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</si>
  <si>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</si>
  <si>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</si>
  <si>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</si>
  <si>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</si>
  <si>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</si>
  <si>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</si>
  <si>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</si>
  <si>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</si>
  <si>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</si>
  <si>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</si>
  <si>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</si>
  <si>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</si>
  <si>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</si>
  <si>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</si>
  <si>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</si>
  <si>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</si>
  <si>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</si>
  <si>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</si>
  <si>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</si>
  <si>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</si>
  <si>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</si>
  <si>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</si>
  <si>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</si>
  <si>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</si>
  <si>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</si>
  <si>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</si>
  <si>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</si>
  <si>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</si>
  <si>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t>listing is OOS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</si>
  <si>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</si>
  <si>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</si>
  <si>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</si>
  <si>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</si>
  <si>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</si>
  <si>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</si>
  <si>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</si>
  <si>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</si>
  <si>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</si>
  <si>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</si>
  <si>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</si>
  <si>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</si>
  <si>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</si>
  <si>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</si>
  <si>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</si>
  <si>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</si>
  <si>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</si>
  <si>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</si>
  <si>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</si>
  <si>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</si>
  <si>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t>https://sellercentral.amazon.com/coupons/view-coupon/dd0e14ae-ee56-4378-a421-d0b98e5dd80f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</si>
  <si>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40%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</si>
  <si>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40%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</si>
  <si>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</si>
  <si>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</si>
  <si>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</si>
  <si>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</si>
  <si>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t>https://sellercentral.amazon.com/coupons/view-coupon/7d556710-03a4-4cdf-8dfb-e47662158974</t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</si>
  <si>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</si>
  <si>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</si>
  <si>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</si>
  <si>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</si>
  <si>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</si>
  <si>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</si>
  <si>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</si>
  <si>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</si>
  <si>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color rgb="FF1155CC"/>
        <u/>
      </rPr>
      <t xml:space="preserve">https://sellercentral.amazon.com/coupons/view-coupon/58362663-e98c-43e2-9bba-4a693a022bf0
</t>
    </r>
    <r>
      <rPr/>
      <t xml:space="preserve">listing inactive in MX 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</si>
  <si>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</si>
  <si>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</si>
  <si>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</si>
  <si>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PE/Coupon
</t>
    </r>
    <r>
      <rPr>
        <rFont val="Arial"/>
        <color rgb="FFFF0000"/>
      </rPr>
      <t xml:space="preserve">40%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</si>
  <si>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color rgb="FF1155CC"/>
        <u/>
      </rPr>
      <t xml:space="preserve">https://sellercentral.amazon.com/coupons/view-coupon/58362663-e98c-43e2-9bba-4a693a022bf0
</t>
    </r>
    <r>
      <rPr/>
      <t xml:space="preserve">listing inactive in MX </t>
    </r>
  </si>
  <si>
    <t>DECEMBER</t>
  </si>
  <si>
    <t>Dec 1st-7th</t>
  </si>
  <si>
    <t>Dec 8th-14th</t>
  </si>
  <si>
    <t>Dec 15th-21st</t>
  </si>
  <si>
    <t>Dec 22nd-28th</t>
  </si>
  <si>
    <t>Dec 29th-31st</t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</si>
  <si>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  <r>
      <rPr>
        <rFont val="Arial"/>
        <color rgb="FF783F04"/>
      </rPr>
      <t xml:space="preserve"> Target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</si>
  <si>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MSRP $419 Discount 20% off - Sale Price ($335.20) </t>
    </r>
    <r>
      <rPr>
        <rFont val="Arial"/>
        <color rgb="FF1E8507"/>
      </rPr>
      <t xml:space="preserve">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</si>
  <si>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$335.20)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</si>
  <si>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$335.20)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</si>
  <si>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10% off 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</si>
  <si>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$409 Discount 20% off - Sale Price ($326)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$409 Discount 15% off - Sale Price ($346.21)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</si>
  <si>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$327.20)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</si>
  <si>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$327.20)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</si>
  <si>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10% off 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</si>
  <si>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PE</t>
    </r>
    <r>
      <rPr>
        <rFont val="Arial"/>
        <color rgb="FFFF0000"/>
      </rPr>
      <t xml:space="preserve">
MSRP $459 Discount 20% off - Sale Price ($367.20)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$459 Discount 15% off - Sale Price ($390.15)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</si>
  <si>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$367.20)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</si>
  <si>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$367.20)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PD</t>
    </r>
    <r>
      <rPr>
        <rFont val="Arial"/>
        <color rgb="FFFF00FF"/>
      </rPr>
      <t xml:space="preserve"> 
15% off 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</si>
  <si>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10% off 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 xml:space="preserve">PD
</t>
    </r>
    <r>
      <rPr>
        <rFont val="Arial"/>
        <color rgb="FFFF00FF"/>
      </rPr>
      <t xml:space="preserve">15% off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</si>
  <si>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$559 Discount 25% off - Sale Price ($419.25)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$559 Discount 20% off - Sale Price ($447.20)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</si>
  <si>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25% off (Sale Price - $419.25)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</si>
  <si>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25% off (Sale Price - $419.25)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BD</t>
    </r>
    <r>
      <rPr>
        <rFont val="Arial"/>
        <color rgb="FFFF00FF"/>
      </rPr>
      <t xml:space="preserve"> 
15% off 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</si>
  <si>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BD</t>
    </r>
    <r>
      <rPr>
        <rFont val="Arial"/>
        <color rgb="FFFF00FF"/>
      </rPr>
      <t xml:space="preserve"> 
15% off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</si>
  <si>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$609 Discount 25% off - Sale Price ($456.75)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$609 Discount 21% off - Sale Price ($481.11)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</si>
  <si>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$487.20)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</si>
  <si>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$487.20)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BD</t>
    </r>
    <r>
      <rPr>
        <rFont val="Arial"/>
        <color rgb="FFFF00FF"/>
      </rPr>
      <t xml:space="preserve"> 
20% off 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</si>
  <si>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BD</t>
    </r>
    <r>
      <rPr>
        <rFont val="Arial"/>
        <color rgb="FFFF00FF"/>
      </rPr>
      <t xml:space="preserve"> 
20% off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</si>
  <si>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PE</t>
    </r>
    <r>
      <rPr>
        <rFont val="Arial"/>
        <color rgb="FFFF0000"/>
      </rPr>
      <t xml:space="preserve">
MSRP $799 Discount 30% off - Sale Price ($559.30)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$799 Discount 20% off - Sale Price ($639.20)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</si>
  <si>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25% off (Sale Price - $599.25)
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</si>
  <si>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25% off (Sale Price - $599.25)
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</si>
  <si>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</si>
  <si>
    <t>not in CA or MX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</si>
  <si>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$999 Discount 35% off - Sale Price ($649)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$999 Discount 20% off - Sale Price ($799)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</si>
  <si>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30% off (Sale Price - $699.30)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</si>
  <si>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15-28
</t>
    </r>
    <r>
      <rPr>
        <rFont val="Arial"/>
        <b/>
        <color rgb="FFFF0000"/>
      </rPr>
      <t>BD</t>
    </r>
    <r>
      <rPr>
        <rFont val="Arial"/>
        <color rgb="FFFF0000"/>
      </rPr>
      <t xml:space="preserve">
30% off (Sale Price - $699.30)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BD</t>
    </r>
    <r>
      <rPr>
        <rFont val="Arial"/>
        <color rgb="FFFF00FF"/>
      </rPr>
      <t xml:space="preserve"> 
30% off </t>
    </r>
  </si>
  <si>
    <r>
      <rPr>
        <rFont val="Arial"/>
        <color rgb="FFFF0000"/>
      </rPr>
      <t xml:space="preserve">Dec 29-31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BD</t>
    </r>
    <r>
      <rPr>
        <rFont val="Arial"/>
        <color rgb="FFFF00FF"/>
      </rPr>
      <t xml:space="preserve"> 
30% off </t>
    </r>
  </si>
  <si>
    <t>no inventory in MX</t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</si>
  <si>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Best Deal
</t>
    </r>
    <r>
      <rPr>
        <rFont val="Arial"/>
        <color rgb="FFFF0000"/>
      </rPr>
      <t xml:space="preserve">MSRP $1049 Discount 40% off - Sale Price ($629)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00"/>
      </rPr>
      <t xml:space="preserve">
Dec2-7
</t>
    </r>
    <r>
      <rPr>
        <rFont val="Arial"/>
        <b/>
        <color rgb="FFFF0000"/>
      </rPr>
      <t xml:space="preserve">PE
</t>
    </r>
    <r>
      <rPr>
        <rFont val="Arial"/>
        <color rgb="FFFF0000"/>
      </rPr>
      <t>MSRP $1049 Discount 20% off - Sale Price ($839)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</si>
  <si>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</si>
  <si>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PD</t>
    </r>
    <r>
      <rPr>
        <rFont val="Arial"/>
        <color rgb="FFFF00FF"/>
      </rPr>
      <t xml:space="preserve"> 
20% off 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</si>
  <si>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PE</t>
    </r>
    <r>
      <rPr>
        <rFont val="Arial"/>
        <color rgb="FFFF0000"/>
      </rPr>
      <t xml:space="preserve">
20% off 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
</t>
    </r>
    <r>
      <rPr>
        <rFont val="Arial"/>
        <color rgb="FFFF00FF"/>
      </rPr>
      <t xml:space="preserve">Dec 18-30
</t>
    </r>
    <r>
      <rPr>
        <rFont val="Arial"/>
        <b/>
        <color rgb="FFFF00FF"/>
      </rPr>
      <t>PD</t>
    </r>
    <r>
      <rPr>
        <rFont val="Arial"/>
        <color rgb="FFFF00FF"/>
      </rPr>
      <t xml:space="preserve"> 
20% off 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</si>
  <si>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PE/Coupon
</t>
    </r>
    <r>
      <rPr>
        <rFont val="Arial"/>
        <color rgb="FFFF0000"/>
      </rPr>
      <t>MSRP $29.95 Discount $10 off - Sale Price ($19.95)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</si>
  <si>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$130.95 Discount 10% off - Sale Price ($117.86)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</si>
  <si>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$178 Discount 10% off - Sale Price ($160.20)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</si>
  <si>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MSRP $343.99 Discount 10% off - Sale Price ($309.59)
</t>
    </r>
    <r>
      <rPr>
        <rFont val="Arial"/>
        <color rgb="FF1E8507"/>
      </rPr>
      <t xml:space="preserve">Nov20-Dec1
</t>
    </r>
    <r>
      <rPr>
        <rFont val="Arial"/>
        <b/>
        <color rgb="FF1E8507"/>
      </rPr>
      <t>Coupon</t>
    </r>
    <r>
      <rPr>
        <rFont val="Arial"/>
        <color rgb="FF1E8507"/>
      </rPr>
      <t xml:space="preserve"> to match deal in US</t>
    </r>
  </si>
  <si>
    <r>
      <rPr>
        <rFont val="Arial"/>
        <color rgb="FFFF0000"/>
      </rPr>
      <t xml:space="preserve">nov26-Dec1
PE
20% off 
Dec2-7
PE
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12% off (CA$511.27)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</si>
  <si>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$380)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</si>
  <si>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$380)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</si>
  <si>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$380)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</si>
  <si>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</t>
    </r>
    <r>
      <rPr>
        <rFont val="Arial"/>
        <b/>
        <color rgb="FFFF0000"/>
      </rPr>
      <t xml:space="preserve">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</si>
  <si>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</si>
  <si>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</si>
  <si>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</si>
  <si>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20% off all main units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</si>
  <si>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20% off all main units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</si>
  <si>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20% off all main units</t>
    </r>
  </si>
  <si>
    <r>
      <rPr>
        <rFont val="Arial"/>
        <color rgb="FFFF0000"/>
      </rPr>
      <t xml:space="preserve">nov26-Dec1
PE
20% off 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</si>
  <si>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</si>
  <si>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</si>
  <si>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</si>
  <si>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</si>
  <si>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</si>
  <si>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</si>
  <si>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</si>
  <si>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Dec2-7
PE
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17% off (CA$426.49)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</si>
  <si>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</si>
  <si>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</si>
  <si>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</si>
  <si>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nov29-Dec1
PE
20% off 
Dec2-7
PE
15% off
</t>
    </r>
    <r>
      <rPr>
        <rFont val="Arial"/>
        <color rgb="FF1E8507"/>
      </rPr>
      <t xml:space="preserve">Nov20-Dec1
</t>
    </r>
    <r>
      <rPr>
        <rFont val="Arial"/>
        <b/>
        <color rgb="FF1E8507"/>
      </rPr>
      <t xml:space="preserve">Best Deal
</t>
    </r>
    <r>
      <rPr>
        <rFont val="Arial"/>
        <color rgb="FF1E8507"/>
      </rPr>
      <t>12% off (CA$449.99)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</si>
  <si>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$316)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</si>
  <si>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$316)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</si>
  <si>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$316)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</si>
  <si>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</si>
  <si>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</si>
  <si>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</si>
  <si>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$340)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</si>
  <si>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</si>
  <si>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$356)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</si>
  <si>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$356)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</si>
  <si>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 15-31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$356)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</si>
  <si>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Dec2-7
PE
15% off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</si>
  <si>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</si>
  <si>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</si>
  <si>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</si>
  <si>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nov26-Dec1
PE
20% off 
Dec2-7
PE
15% off
</t>
    </r>
    <r>
      <rPr>
        <rFont val="Arial"/>
        <color rgb="FF1E8507"/>
      </rPr>
      <t xml:space="preserve">nov20-dec7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</si>
  <si>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</si>
  <si>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</si>
  <si>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 xml:space="preserve">20% off all main units
</t>
    </r>
    <r>
      <rPr>
        <rFont val="Arial"/>
        <b/>
        <color rgb="FF1E8507"/>
      </rPr>
      <t>PE</t>
    </r>
    <r>
      <rPr>
        <rFont val="Arial"/>
        <color rgb="FF1E8507"/>
      </rPr>
      <t xml:space="preserve"> to match US deals</t>
    </r>
  </si>
  <si>
    <t>AQT Shower Filters</t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</si>
  <si>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20% off all main units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</si>
  <si>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20% off all main units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</si>
  <si>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20% off all main units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</si>
  <si>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24%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</si>
  <si>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24%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</si>
  <si>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24% off</t>
    </r>
  </si>
  <si>
    <r>
      <rPr/>
      <t xml:space="preserve">Rerun / created new coupon - 24% off  - 12/15/25 to 12/31/25
- </t>
    </r>
    <r>
      <rPr>
        <color rgb="FF1155CC"/>
        <u/>
      </rPr>
      <t>https://sellercentral.amazon.com/coupons/view-coupon/ef262f4e-96a6-4fa6-9977-2aacaaa73ed1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</si>
  <si>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24%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</si>
  <si>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24%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</si>
  <si>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24% off</t>
    </r>
  </si>
  <si>
    <r>
      <rPr/>
      <t xml:space="preserve">Rerun / created new coupon - 24% off  - 12/15/25 to 12/31/25
- </t>
    </r>
    <r>
      <rPr>
        <color rgb="FF1155CC"/>
        <u/>
      </rPr>
      <t>https://sellercentral.amazon.com/coupons/view-coupon/d9b05d89-4260-4fef-9f2e-74d3cd5e4387</t>
    </r>
    <r>
      <rPr/>
      <t xml:space="preserve"> 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</si>
  <si>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</si>
  <si>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</si>
  <si>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</si>
  <si>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/>
      <t xml:space="preserve">Rerun / created new coupon - 25% off  - 12/15/25 to 12/31/25
- </t>
    </r>
    <r>
      <rPr>
        <color rgb="FF1155CC"/>
        <u/>
      </rPr>
      <t>https://sellercentral.amazon.com/coupons/view-coupon/6afae20e-7ebb-4a86-9b37-f6ad14aaff93</t>
    </r>
    <r>
      <rPr/>
      <t xml:space="preserve"> 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</si>
  <si>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https://sellercentral.amazon.com/coupons/view-coupon/361956b1-3cba-48c4-ab81-ba7c3adb24c5</t>
    </r>
    <r>
      <rPr/>
      <t xml:space="preserve"> 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</si>
  <si>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https://sellercentral.amazon.com/coupons/view-coupon/361956b1-3cba-48c4-ab81-ba7c3adb24c5</t>
    </r>
    <r>
      <rPr/>
      <t xml:space="preserve"> 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</si>
  <si>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https://sellercentral.amazon.com/coupons/view-coupon/128d9774-646f-4124-b661-3fa8918319e1</t>
    </r>
    <r>
      <rPr/>
      <t xml:space="preserve"> 
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</si>
  <si>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https://sellercentral.amazon.com/coupons/view-coupon/128d9774-646f-4124-b661-3fa8918319e1</t>
    </r>
    <r>
      <rPr/>
      <t xml:space="preserve"> 
</t>
    </r>
  </si>
  <si>
    <t xml:space="preserve">
10AR01K004</t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</si>
  <si>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$26)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</si>
  <si>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$26)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</si>
  <si>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$26)
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</si>
  <si>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https://sellercentral.amazon.com/coupons/view-coupon/361956b1-3cba-48c4-ab81-ba7c3adb24c5</t>
    </r>
    <r>
      <rPr/>
      <t xml:space="preserve"> 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</si>
  <si>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$32)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</si>
  <si>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$32)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</si>
  <si>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$32)
</t>
    </r>
  </si>
  <si>
    <r>
      <rPr/>
      <t xml:space="preserve">Rerun / created new coupon  - 12/15/25 to 12/31/25
- </t>
    </r>
    <r>
      <rPr>
        <color rgb="FF1155CC"/>
        <u/>
      </rPr>
      <t>https://sellercentral.amazon.com/coupons/view-coupon/128d9774-646f-4124-b661-3fa8918319e1</t>
    </r>
    <r>
      <rPr/>
      <t xml:space="preserve"> 
</t>
    </r>
  </si>
  <si>
    <r>
      <rPr>
        <rFont val="Arial"/>
        <color rgb="FFFF0000"/>
      </rPr>
      <t xml:space="preserve">dec2-7
</t>
    </r>
    <r>
      <rPr>
        <rFont val="Arial"/>
        <b/>
        <color rgb="FFFF0000"/>
      </rPr>
      <t>Coupon</t>
    </r>
    <r>
      <rPr>
        <rFont val="Arial"/>
        <color rgb="FFFF0000"/>
      </rPr>
      <t xml:space="preserve">
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</si>
  <si>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</si>
  <si>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</si>
  <si>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</si>
  <si>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</si>
  <si>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</si>
  <si>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</si>
  <si>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theme="1"/>
      </rPr>
      <t xml:space="preserve">
</t>
    </r>
    <r>
      <rPr>
        <rFont val="Arial"/>
        <color theme="1"/>
      </rPr>
      <t>B076J4BK24</t>
    </r>
  </si>
  <si>
    <r>
      <rPr>
        <rFont val="Arial"/>
        <color rgb="FFFF0000"/>
      </rPr>
      <t xml:space="preserve">dec2-7
</t>
    </r>
    <r>
      <rPr>
        <rFont val="Arial"/>
        <b/>
        <color rgb="FFFF0000"/>
      </rPr>
      <t>Coupon</t>
    </r>
    <r>
      <rPr>
        <rFont val="Arial"/>
        <color rgb="FFFF0000"/>
      </rPr>
      <t xml:space="preserve">
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</si>
  <si>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</si>
  <si>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</si>
  <si>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26%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</si>
  <si>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</si>
  <si>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</si>
  <si>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</si>
  <si>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</si>
  <si>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</si>
  <si>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</si>
  <si>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</si>
  <si>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</si>
  <si>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>Coupon</t>
    </r>
    <r>
      <rPr>
        <rFont val="Arial"/>
        <color rgb="FFFF0000"/>
      </rPr>
      <t xml:space="preserve">
25% off
OOS dec2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</si>
  <si>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</si>
  <si>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</si>
  <si>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</si>
  <si>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t>12/1-12/7
Coupon
25% off</t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</si>
  <si>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</si>
  <si>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</si>
  <si>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</si>
  <si>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>Coupon</t>
    </r>
    <r>
      <rPr>
        <rFont val="Arial"/>
        <color rgb="FFFF0000"/>
      </rPr>
      <t xml:space="preserve">
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</si>
  <si>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</si>
  <si>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</si>
  <si>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</si>
  <si>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(11/28) </t>
    </r>
    <r>
      <rPr>
        <rFont val="Arial"/>
        <b/>
        <color rgb="FFFF0000"/>
      </rPr>
      <t>Lightning Deal</t>
    </r>
    <r>
      <rPr>
        <rFont val="Arial"/>
        <color rgb="FFFF0000"/>
      </rPr>
      <t xml:space="preserve"> 
30% off @ $13.99
nov29-dec7
</t>
    </r>
    <r>
      <rPr>
        <rFont val="Arial"/>
        <b/>
        <color rgb="FFFF0000"/>
      </rPr>
      <t>PE</t>
    </r>
    <r>
      <rPr>
        <rFont val="Arial"/>
        <color rgb="FFFF0000"/>
      </rPr>
      <t xml:space="preserve">
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</si>
  <si>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</si>
  <si>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</si>
  <si>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</si>
  <si>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nov20-nov28
Dec2-7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</si>
  <si>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</si>
  <si>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</si>
  <si>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</si>
  <si>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</si>
  <si>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</si>
  <si>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</si>
  <si>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</si>
  <si>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nov20-dec7 
</t>
    </r>
    <r>
      <rPr>
        <rFont val="Arial"/>
        <b/>
        <color rgb="FFFF0000"/>
      </rPr>
      <t xml:space="preserve">Coupon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</si>
  <si>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</si>
  <si>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</si>
  <si>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</si>
  <si>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</si>
  <si>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</si>
  <si>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</si>
  <si>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</si>
  <si>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</si>
  <si>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</si>
  <si>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</si>
  <si>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</si>
  <si>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</si>
  <si>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</si>
  <si>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</si>
  <si>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PE/Coupon
</t>
    </r>
    <r>
      <rPr>
        <rFont val="Arial"/>
        <color rgb="FFFF0000"/>
      </rPr>
      <t>20% off</t>
    </r>
  </si>
  <si>
    <t>12/2-12/7
PE
25% off</t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</si>
  <si>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</si>
  <si>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</si>
  <si>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</si>
  <si>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</si>
  <si>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</si>
  <si>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</si>
  <si>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18%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</si>
  <si>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18%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</si>
  <si>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18%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</si>
  <si>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18% off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</si>
  <si>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</si>
  <si>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</si>
  <si>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</si>
  <si>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</si>
  <si>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</si>
  <si>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</si>
  <si>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</si>
  <si>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</si>
  <si>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</si>
  <si>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</si>
  <si>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</si>
  <si>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</si>
  <si>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</si>
  <si>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</si>
  <si>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</si>
  <si>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</si>
  <si>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</si>
  <si>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</si>
  <si>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</si>
  <si>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</si>
  <si>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</si>
  <si>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</si>
  <si>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</si>
  <si>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</si>
  <si>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</si>
  <si>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</si>
  <si>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</si>
  <si>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</si>
  <si>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25% off
</t>
    </r>
    <r>
      <rPr>
        <rFont val="Arial"/>
        <color rgb="FFFF00FF"/>
      </rPr>
      <t xml:space="preserve">Nov9-26
</t>
    </r>
    <r>
      <rPr>
        <rFont val="Arial"/>
        <b/>
        <color rgb="FFFF00FF"/>
      </rPr>
      <t>Best Deal</t>
    </r>
    <r>
      <rPr>
        <rFont val="Arial"/>
        <color rgb="FFFF00FF"/>
      </rPr>
      <t xml:space="preserve">
15% off
27-1st
20%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</si>
  <si>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</si>
  <si>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</si>
  <si>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</si>
  <si>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</si>
  <si>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</si>
  <si>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</si>
  <si>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</si>
  <si>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</si>
  <si>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</si>
  <si>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</si>
  <si>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</si>
  <si>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</si>
  <si>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</si>
  <si>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</si>
  <si>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</si>
  <si>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nov20-dec1
</t>
    </r>
    <r>
      <rPr>
        <rFont val="Arial"/>
        <b/>
        <color rgb="FFFF0000"/>
      </rPr>
      <t xml:space="preserve">Coupon
</t>
    </r>
    <r>
      <rPr>
        <rFont val="Arial"/>
        <color rgb="FFFF0000"/>
      </rPr>
      <t>25% off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</si>
  <si>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</si>
  <si>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</si>
  <si>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Dec 15-29
</t>
    </r>
    <r>
      <rPr>
        <rFont val="Arial"/>
        <b/>
        <color rgb="FFFF0000"/>
      </rPr>
      <t>BD</t>
    </r>
    <r>
      <rPr>
        <rFont val="Arial"/>
        <color rgb="FFFF0000"/>
      </rPr>
      <t xml:space="preserve">
20% off (Sale Price - $34.36)
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</si>
  <si>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</si>
  <si>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</si>
  <si>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</si>
  <si>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</si>
  <si>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</si>
  <si>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</si>
  <si>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</si>
  <si>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</si>
  <si>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</si>
  <si>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</si>
  <si>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</si>
  <si>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</si>
  <si>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</si>
  <si>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</si>
  <si>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</si>
  <si>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</si>
  <si>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</si>
  <si>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</si>
  <si>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</si>
  <si>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</si>
  <si>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</si>
  <si>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</si>
  <si>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</si>
  <si>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</si>
  <si>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</si>
  <si>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</si>
  <si>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</si>
  <si>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</si>
  <si>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</si>
  <si>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</si>
  <si>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</si>
  <si>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</si>
  <si>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nov20-dec7
</t>
    </r>
    <r>
      <rPr>
        <rFont val="Arial"/>
        <b/>
        <color rgb="FFFF0000"/>
      </rPr>
      <t xml:space="preserve">Coupon
</t>
    </r>
    <r>
      <rPr>
        <rFont val="Arial"/>
        <color rgb="FFFF0000"/>
      </rPr>
      <t xml:space="preserve">35% off
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</si>
  <si>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</si>
  <si>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</si>
  <si>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color rgb="FFFF0000"/>
      </rPr>
      <t xml:space="preserve">dec15-31
</t>
    </r>
    <r>
      <rPr>
        <rFont val="Arial"/>
        <b/>
        <color rgb="FFFF0000"/>
      </rPr>
      <t xml:space="preserve">PE
</t>
    </r>
    <r>
      <rPr>
        <rFont val="Arial"/>
        <color rgb="FFFF0000"/>
      </rPr>
      <t>30% off</t>
    </r>
  </si>
  <si>
    <r>
      <rPr>
        <rFont val="Arial"/>
        <b/>
        <color theme="1"/>
        <sz val="23.0"/>
      </rPr>
      <t>*Month*</t>
    </r>
    <r>
      <rPr>
        <rFont val="Arial"/>
        <color theme="1"/>
        <sz val="23.0"/>
      </rPr>
      <t xml:space="preserve"> </t>
    </r>
  </si>
  <si>
    <r>
      <rPr>
        <rFont val="Arial"/>
        <color rgb="FFFF0000"/>
      </rPr>
      <t xml:space="preserve">Amazon US </t>
    </r>
    <r>
      <rPr>
        <rFont val="Arial"/>
        <color theme="1"/>
      </rPr>
      <t xml:space="preserve">
</t>
    </r>
    <r>
      <rPr>
        <rFont val="Arial"/>
        <color rgb="FFFFDF2A"/>
      </rPr>
      <t>Amazon UK</t>
    </r>
    <r>
      <rPr>
        <rFont val="Arial"/>
        <color rgb="FFFF00FF"/>
      </rPr>
      <t xml:space="preserve"> </t>
    </r>
    <r>
      <rPr>
        <rFont val="Arial"/>
        <color theme="1"/>
      </rPr>
      <t xml:space="preserve">
</t>
    </r>
    <r>
      <rPr>
        <rFont val="Arial"/>
        <color rgb="FF1E8507"/>
      </rPr>
      <t xml:space="preserve">Amazon Canada </t>
    </r>
    <r>
      <rPr>
        <rFont val="Arial"/>
        <color theme="1"/>
      </rPr>
      <t xml:space="preserve">
</t>
    </r>
    <r>
      <rPr>
        <rFont val="Arial"/>
        <color rgb="FF0000FF"/>
      </rPr>
      <t xml:space="preserve">Walmart </t>
    </r>
    <r>
      <rPr>
        <rFont val="Arial"/>
        <color theme="1"/>
      </rPr>
      <t xml:space="preserve">
</t>
    </r>
    <r>
      <rPr>
        <rFont val="Arial"/>
        <color rgb="FF9900FF"/>
      </rPr>
      <t xml:space="preserve">Wayfair </t>
    </r>
    <r>
      <rPr>
        <rFont val="Arial"/>
        <color theme="1"/>
      </rPr>
      <t xml:space="preserve">
</t>
    </r>
    <r>
      <rPr>
        <rFont val="Arial"/>
        <color rgb="FF4285F4"/>
      </rPr>
      <t>Lowes</t>
    </r>
    <r>
      <rPr>
        <rFont val="Arial"/>
        <color rgb="FF4A86E8"/>
      </rPr>
      <t xml:space="preserve"> </t>
    </r>
    <r>
      <rPr>
        <rFont val="Arial"/>
        <color theme="1"/>
      </rPr>
      <t xml:space="preserve">
</t>
    </r>
    <r>
      <rPr>
        <rFont val="Arial"/>
        <color rgb="FFFF6D01"/>
      </rPr>
      <t>Home Depot</t>
    </r>
  </si>
  <si>
    <t xml:space="preserve">AD1000 Genuine Replacement Filter Set </t>
  </si>
  <si>
    <t xml:space="preserve">AD2000 One Year Combo Pack </t>
  </si>
  <si>
    <t>AD3000/AD3500 One Year Combo Pack</t>
  </si>
  <si>
    <t xml:space="preserve">AD5000/AD5500 One Year Combo Pack </t>
  </si>
  <si>
    <t>MERV 14 HVAC Pleated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</si>
</sst>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52">
    <font>
      <sz val="10.0"/>
      <color rgb="FF000000"/>
      <name val="Arial"/>
      <scheme val="minor"/>
    </font>
    <font>
      <b/>
      <sz val="23.0"/>
      <color rgb="FFC9DAF8"/>
      <name val="Arial"/>
      <scheme val="minor"/>
    </font>
    <font/>
    <font>
      <b/>
      <sz val="23.0"/>
      <color theme="1"/>
      <name val="Arial"/>
      <scheme val="minor"/>
    </font>
    <font>
      <sz val="23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  <scheme val="minor"/>
    </font>
    <font>
      <b/>
      <sz val="9.0"/>
      <color theme="1"/>
      <name val="Arial"/>
      <scheme val="minor"/>
    </font>
    <font>
      <color rgb="FFFF0000"/>
      <name val="Arial"/>
      <scheme val="minor"/>
    </font>
    <font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  <font>
      <b/>
      <sz val="23.0"/>
      <color rgb="FFFFADC9"/>
      <name val="Arial"/>
      <scheme val="minor"/>
    </font>
    <font>
      <color rgb="FF1E8507"/>
      <name val="Arial"/>
      <scheme val="minor"/>
    </font>
    <font>
      <b/>
      <sz val="23.0"/>
      <color rgb="FFD9EAD3"/>
      <name val="Arial"/>
      <scheme val="minor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sz val="9.0"/>
      <color rgb="FFFF0000"/>
      <name val="Arial"/>
      <scheme val="minor"/>
    </font>
    <font>
      <color rgb="FFFF0000"/>
      <name val="Arial"/>
    </font>
    <font>
      <b/>
      <sz val="23.0"/>
      <color rgb="FFD5A6BD"/>
      <name val="Arial"/>
      <scheme val="minor"/>
    </font>
    <font>
      <sz val="8.0"/>
      <color theme="4"/>
      <name val="Arial"/>
      <scheme val="minor"/>
    </font>
    <font>
      <color rgb="FF9900FF"/>
      <name val="Arial"/>
      <scheme val="minor"/>
    </font>
    <font>
      <color rgb="FF0000FF"/>
      <name val="Arial"/>
      <scheme val="minor"/>
    </font>
    <font>
      <b/>
      <sz val="23.0"/>
      <color rgb="FF0B5394"/>
      <name val="Arial"/>
      <scheme val="minor"/>
    </font>
    <font>
      <b/>
      <sz val="23.0"/>
      <color rgb="FF38761D"/>
      <name val="Arial"/>
      <scheme val="minor"/>
    </font>
    <font>
      <color rgb="FFA61C00"/>
      <name val="Arial"/>
      <scheme val="minor"/>
    </font>
    <font>
      <sz val="13.0"/>
      <color rgb="FF00FFFF"/>
      <name val="Arial"/>
      <scheme val="minor"/>
    </font>
    <font>
      <sz val="8.0"/>
      <color rgb="FFFF0000"/>
      <name val="Arial"/>
      <scheme val="minor"/>
    </font>
    <font>
      <b/>
      <sz val="23.0"/>
      <color rgb="FFFFF2CC"/>
      <name val="Arial"/>
      <scheme val="minor"/>
    </font>
    <font>
      <b/>
      <sz val="23.0"/>
      <color rgb="FFFCE5CD"/>
      <name val="Arial"/>
      <scheme val="minor"/>
    </font>
    <font>
      <color rgb="FF4285F4"/>
      <name val="Arial"/>
      <scheme val="minor"/>
    </font>
    <font>
      <b/>
      <sz val="23.0"/>
      <color rgb="FF6AA84F"/>
      <name val="Arial"/>
      <scheme val="minor"/>
    </font>
    <font>
      <b/>
      <color rgb="FFFF0000"/>
      <name val="Arial"/>
      <scheme val="minor"/>
    </font>
    <font>
      <u/>
      <sz val="9.0"/>
      <color rgb="FF0000FF"/>
    </font>
    <font>
      <color rgb="FF000000"/>
    </font>
    <font>
      <b/>
      <sz val="23.0"/>
      <color rgb="FFE69138"/>
      <name val="Arial"/>
      <scheme val="minor"/>
    </font>
    <font>
      <color rgb="FFFF00FF"/>
      <name val="Arial"/>
      <scheme val="minor"/>
    </font>
    <font>
      <strike/>
      <color rgb="FFFF0000"/>
      <name val="Arial"/>
      <scheme val="minor"/>
    </font>
    <font>
      <color rgb="FFFFFFFF"/>
      <name val="Arial"/>
      <scheme val="minor"/>
    </font>
    <font>
      <u/>
      <color rgb="FF0000FF"/>
    </font>
    <font>
      <u/>
      <color rgb="FF0000FF"/>
    </font>
    <font>
      <sz val="11.0"/>
      <color rgb="FF333333"/>
      <name val="Arial"/>
    </font>
    <font>
      <u/>
      <color rgb="FF0000FF"/>
    </font>
    <font>
      <b/>
      <sz val="23.0"/>
      <color rgb="FF4A86E8"/>
      <name val="Arial"/>
      <scheme val="minor"/>
    </font>
    <font>
      <u/>
      <color rgb="FF0000FF"/>
    </font>
    <font>
      <b/>
      <sz val="10.0"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1E8507"/>
        <bgColor rgb="FF1E8507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F52A9"/>
        <bgColor rgb="FFCF52A9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rgb="FFF1C232"/>
        <bgColor rgb="FFF1C232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5B0F00"/>
        <bgColor rgb="FF5B0F00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readingOrder="0" shrinkToFit="0" vertical="bottom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6" numFmtId="49" xfId="0" applyAlignment="1" applyBorder="1" applyFont="1" applyNumberFormat="1">
      <alignment horizontal="center" readingOrder="0" shrinkToFit="0" vertical="center" wrapText="0"/>
    </xf>
    <xf borderId="7" fillId="3" fontId="7" numFmtId="164" xfId="0" applyAlignment="1" applyBorder="1" applyFill="1" applyFont="1" applyNumberFormat="1">
      <alignment horizontal="center" readingOrder="0" shrinkToFit="0" vertical="center" wrapText="1"/>
    </xf>
    <xf borderId="7" fillId="4" fontId="7" numFmtId="0" xfId="0" applyAlignment="1" applyBorder="1" applyFill="1" applyFont="1">
      <alignment horizontal="center" readingOrder="0" shrinkToFit="0" vertical="center" wrapText="1"/>
    </xf>
    <xf borderId="7" fillId="5" fontId="7" numFmtId="165" xfId="0" applyAlignment="1" applyBorder="1" applyFill="1" applyFont="1" applyNumberFormat="1">
      <alignment horizontal="center" readingOrder="0" shrinkToFit="0" vertical="center" wrapText="1"/>
    </xf>
    <xf borderId="7" fillId="0" fontId="8" numFmtId="0" xfId="0" applyAlignment="1" applyBorder="1" applyFont="1">
      <alignment readingOrder="0" shrinkToFit="0" wrapText="1"/>
    </xf>
    <xf borderId="7" fillId="6" fontId="8" numFmtId="0" xfId="0" applyAlignment="1" applyBorder="1" applyFill="1" applyFont="1">
      <alignment readingOrder="0" shrinkToFit="0" wrapText="1"/>
    </xf>
    <xf borderId="7" fillId="0" fontId="8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shrinkToFit="0" wrapText="1"/>
    </xf>
    <xf borderId="8" fillId="0" fontId="9" numFmtId="0" xfId="0" applyAlignment="1" applyBorder="1" applyFont="1">
      <alignment shrinkToFit="0" vertical="top" wrapText="1"/>
    </xf>
    <xf borderId="8" fillId="0" fontId="10" numFmtId="0" xfId="0" applyAlignment="1" applyBorder="1" applyFont="1">
      <alignment horizontal="center" readingOrder="0" shrinkToFit="0" vertical="center" wrapText="1"/>
    </xf>
    <xf borderId="7" fillId="7" fontId="8" numFmtId="49" xfId="0" applyAlignment="1" applyBorder="1" applyFill="1" applyFont="1" applyNumberFormat="1">
      <alignment horizontal="center" readingOrder="0" shrinkToFit="0" vertical="center" wrapText="0"/>
    </xf>
    <xf borderId="7" fillId="7" fontId="8" numFmtId="0" xfId="0" applyAlignment="1" applyBorder="1" applyFont="1">
      <alignment horizontal="center" readingOrder="0" shrinkToFit="0" vertical="center" wrapText="1"/>
    </xf>
    <xf borderId="7" fillId="7" fontId="11" numFmtId="0" xfId="0" applyAlignment="1" applyBorder="1" applyFont="1">
      <alignment horizontal="center" readingOrder="0" shrinkToFit="0" vertical="center" wrapText="1"/>
    </xf>
    <xf borderId="7" fillId="7" fontId="8" numFmtId="164" xfId="0" applyAlignment="1" applyBorder="1" applyFont="1" applyNumberFormat="1">
      <alignment horizontal="center" readingOrder="0" shrinkToFit="0" vertical="center" wrapText="1"/>
    </xf>
    <xf borderId="7" fillId="7" fontId="8" numFmtId="165" xfId="0" applyAlignment="1" applyBorder="1" applyFont="1" applyNumberFormat="1">
      <alignment horizontal="center" readingOrder="0" shrinkToFit="0" vertical="center" wrapText="1"/>
    </xf>
    <xf borderId="7" fillId="6" fontId="8" numFmtId="165" xfId="0" applyAlignment="1" applyBorder="1" applyFont="1" applyNumberFormat="1">
      <alignment horizontal="center" readingOrder="0" shrinkToFit="0" vertical="center" wrapText="1"/>
    </xf>
    <xf borderId="9" fillId="0" fontId="2" numFmtId="0" xfId="0" applyBorder="1" applyFont="1"/>
    <xf borderId="7" fillId="0" fontId="8" numFmtId="49" xfId="0" applyAlignment="1" applyBorder="1" applyFont="1" applyNumberFormat="1">
      <alignment readingOrder="0" shrinkToFit="0" vertical="top" wrapText="0"/>
    </xf>
    <xf borderId="7" fillId="8" fontId="8" numFmtId="164" xfId="0" applyAlignment="1" applyBorder="1" applyFill="1" applyFont="1" applyNumberFormat="1">
      <alignment horizontal="right" readingOrder="0" shrinkToFit="0" wrapText="1"/>
    </xf>
    <xf borderId="7" fillId="6" fontId="8" numFmtId="165" xfId="0" applyAlignment="1" applyBorder="1" applyFont="1" applyNumberFormat="1">
      <alignment horizontal="right" readingOrder="0" shrinkToFit="0" wrapText="1"/>
    </xf>
    <xf borderId="7" fillId="9" fontId="8" numFmtId="165" xfId="0" applyAlignment="1" applyBorder="1" applyFill="1" applyFont="1" applyNumberFormat="1">
      <alignment horizontal="right" readingOrder="0" shrinkToFit="0" wrapText="1"/>
    </xf>
    <xf borderId="7" fillId="0" fontId="8" numFmtId="0" xfId="0" applyAlignment="1" applyBorder="1" applyFont="1">
      <alignment shrinkToFit="0" wrapText="1"/>
    </xf>
    <xf borderId="7" fillId="6" fontId="8" numFmtId="0" xfId="0" applyAlignment="1" applyBorder="1" applyFont="1">
      <alignment shrinkToFit="0" wrapText="1"/>
    </xf>
    <xf borderId="7" fillId="6" fontId="12" numFmtId="0" xfId="0" applyAlignment="1" applyBorder="1" applyFont="1">
      <alignment readingOrder="0" shrinkToFit="0" wrapText="1"/>
    </xf>
    <xf borderId="7" fillId="8" fontId="8" numFmtId="164" xfId="0" applyAlignment="1" applyBorder="1" applyFont="1" applyNumberFormat="1">
      <alignment horizontal="right" shrinkToFit="0" wrapText="1"/>
    </xf>
    <xf borderId="7" fillId="6" fontId="12" numFmtId="0" xfId="0" applyAlignment="1" applyBorder="1" applyFont="1">
      <alignment readingOrder="0" shrinkToFit="0" wrapText="0"/>
    </xf>
    <xf borderId="0" fillId="0" fontId="8" numFmtId="0" xfId="0" applyAlignment="1" applyFont="1">
      <alignment readingOrder="0"/>
    </xf>
    <xf borderId="10" fillId="0" fontId="2" numFmtId="0" xfId="0" applyBorder="1" applyFont="1"/>
    <xf borderId="7" fillId="0" fontId="8" numFmtId="49" xfId="0" applyAlignment="1" applyBorder="1" applyFont="1" applyNumberFormat="1">
      <alignment readingOrder="0" shrinkToFit="0" wrapText="0"/>
    </xf>
    <xf borderId="7" fillId="0" fontId="8" numFmtId="0" xfId="0" applyAlignment="1" applyBorder="1" applyFont="1">
      <alignment readingOrder="0" shrinkToFit="0" wrapText="0"/>
    </xf>
    <xf borderId="7" fillId="6" fontId="8" numFmtId="164" xfId="0" applyAlignment="1" applyBorder="1" applyFont="1" applyNumberFormat="1">
      <alignment horizontal="right" readingOrder="0" shrinkToFit="0" wrapText="1"/>
    </xf>
    <xf borderId="7" fillId="9" fontId="8" numFmtId="164" xfId="0" applyAlignment="1" applyBorder="1" applyFont="1" applyNumberFormat="1">
      <alignment horizontal="right" readingOrder="0" shrinkToFit="0" wrapText="1"/>
    </xf>
    <xf borderId="7" fillId="0" fontId="8" numFmtId="49" xfId="0" applyAlignment="1" applyBorder="1" applyFont="1" applyNumberFormat="1">
      <alignment shrinkToFit="0" vertical="top" wrapText="0"/>
    </xf>
    <xf borderId="7" fillId="0" fontId="8" numFmtId="0" xfId="0" applyBorder="1" applyFont="1"/>
    <xf borderId="0" fillId="10" fontId="13" numFmtId="49" xfId="0" applyAlignment="1" applyFill="1" applyFont="1" applyNumberFormat="1">
      <alignment horizontal="left" readingOrder="0" shrinkToFit="0" vertical="top" wrapText="0"/>
    </xf>
    <xf borderId="7" fillId="6" fontId="8" numFmtId="164" xfId="0" applyAlignment="1" applyBorder="1" applyFont="1" applyNumberFormat="1">
      <alignment horizontal="right" shrinkToFit="0" wrapText="1"/>
    </xf>
    <xf borderId="7" fillId="6" fontId="13" numFmtId="164" xfId="0" applyAlignment="1" applyBorder="1" applyFont="1" applyNumberFormat="1">
      <alignment horizontal="right" readingOrder="0"/>
    </xf>
    <xf borderId="0" fillId="6" fontId="13" numFmtId="164" xfId="0" applyAlignment="1" applyFont="1" applyNumberFormat="1">
      <alignment horizontal="right" readingOrder="0"/>
    </xf>
    <xf borderId="0" fillId="10" fontId="14" numFmtId="0" xfId="0" applyAlignment="1" applyFont="1">
      <alignment readingOrder="0"/>
    </xf>
    <xf borderId="7" fillId="8" fontId="8" numFmtId="164" xfId="0" applyAlignment="1" applyBorder="1" applyFont="1" applyNumberFormat="1">
      <alignment shrinkToFit="0" wrapText="1"/>
    </xf>
    <xf borderId="7" fillId="6" fontId="8" numFmtId="164" xfId="0" applyAlignment="1" applyBorder="1" applyFont="1" applyNumberFormat="1">
      <alignment shrinkToFit="0" wrapText="1"/>
    </xf>
    <xf borderId="7" fillId="9" fontId="8" numFmtId="164" xfId="0" applyAlignment="1" applyBorder="1" applyFont="1" applyNumberFormat="1">
      <alignment readingOrder="0" shrinkToFit="0" wrapText="1"/>
    </xf>
    <xf borderId="7" fillId="10" fontId="14" numFmtId="0" xfId="0" applyAlignment="1" applyBorder="1" applyFont="1">
      <alignment readingOrder="0"/>
    </xf>
    <xf borderId="7" fillId="9" fontId="8" numFmtId="165" xfId="0" applyAlignment="1" applyBorder="1" applyFont="1" applyNumberFormat="1">
      <alignment readingOrder="0" shrinkToFit="0" wrapText="1"/>
    </xf>
    <xf borderId="7" fillId="0" fontId="8" numFmtId="49" xfId="0" applyAlignment="1" applyBorder="1" applyFont="1" applyNumberFormat="1">
      <alignment shrinkToFit="0" wrapText="0"/>
    </xf>
    <xf borderId="7" fillId="6" fontId="8" numFmtId="164" xfId="0" applyAlignment="1" applyBorder="1" applyFont="1" applyNumberFormat="1">
      <alignment readingOrder="0" shrinkToFit="0" wrapText="1"/>
    </xf>
    <xf borderId="7" fillId="0" fontId="12" numFmtId="0" xfId="0" applyAlignment="1" applyBorder="1" applyFont="1">
      <alignment readingOrder="0" shrinkToFit="0" wrapText="1"/>
    </xf>
    <xf borderId="7" fillId="8" fontId="8" numFmtId="164" xfId="0" applyAlignment="1" applyBorder="1" applyFont="1" applyNumberFormat="1">
      <alignment readingOrder="0" shrinkToFit="0" wrapText="1"/>
    </xf>
    <xf borderId="7" fillId="6" fontId="8" numFmtId="164" xfId="0" applyAlignment="1" applyBorder="1" applyFont="1" applyNumberFormat="1">
      <alignment readingOrder="0" shrinkToFit="0" wrapText="1"/>
    </xf>
    <xf borderId="7" fillId="0" fontId="8" numFmtId="0" xfId="0" applyAlignment="1" applyBorder="1" applyFont="1">
      <alignment horizontal="left" readingOrder="0" shrinkToFit="0" wrapText="1"/>
    </xf>
    <xf borderId="7" fillId="0" fontId="15" numFmtId="0" xfId="0" applyAlignment="1" applyBorder="1" applyFont="1">
      <alignment readingOrder="0"/>
    </xf>
    <xf borderId="7" fillId="10" fontId="0" numFmtId="0" xfId="0" applyAlignment="1" applyBorder="1" applyFont="1">
      <alignment readingOrder="0"/>
    </xf>
    <xf borderId="7" fillId="0" fontId="16" numFmtId="49" xfId="0" applyAlignment="1" applyBorder="1" applyFont="1" applyNumberFormat="1">
      <alignment vertical="bottom"/>
    </xf>
    <xf borderId="8" fillId="0" fontId="8" numFmtId="49" xfId="0" applyAlignment="1" applyBorder="1" applyFont="1" applyNumberFormat="1">
      <alignment readingOrder="0" shrinkToFit="0" wrapText="0"/>
    </xf>
    <xf borderId="8" fillId="0" fontId="8" numFmtId="0" xfId="0" applyAlignment="1" applyBorder="1" applyFont="1">
      <alignment readingOrder="0" shrinkToFit="0" wrapText="1"/>
    </xf>
    <xf borderId="7" fillId="7" fontId="17" numFmtId="49" xfId="0" applyAlignment="1" applyBorder="1" applyFont="1" applyNumberFormat="1">
      <alignment horizontal="center" readingOrder="0" shrinkToFit="0" vertical="center" wrapText="1"/>
    </xf>
    <xf borderId="7" fillId="7" fontId="17" numFmtId="0" xfId="0" applyAlignment="1" applyBorder="1" applyFont="1">
      <alignment horizontal="center" readingOrder="0" shrinkToFit="0" vertical="center" wrapText="1"/>
    </xf>
    <xf borderId="7" fillId="7" fontId="17" numFmtId="164" xfId="0" applyAlignment="1" applyBorder="1" applyFont="1" applyNumberFormat="1">
      <alignment horizontal="center" readingOrder="0" shrinkToFit="0" vertical="center" wrapText="1"/>
    </xf>
    <xf borderId="7" fillId="0" fontId="17" numFmtId="49" xfId="0" applyAlignment="1" applyBorder="1" applyFont="1" applyNumberFormat="1">
      <alignment shrinkToFit="0" vertical="bottom" wrapText="1"/>
    </xf>
    <xf borderId="7" fillId="0" fontId="17" numFmtId="0" xfId="0" applyAlignment="1" applyBorder="1" applyFont="1">
      <alignment readingOrder="0" shrinkToFit="0" wrapText="1"/>
    </xf>
    <xf borderId="7" fillId="8" fontId="17" numFmtId="164" xfId="0" applyAlignment="1" applyBorder="1" applyFont="1" applyNumberFormat="1">
      <alignment readingOrder="0" shrinkToFit="0" wrapText="1"/>
    </xf>
    <xf borderId="7" fillId="6" fontId="17" numFmtId="164" xfId="0" applyAlignment="1" applyBorder="1" applyFont="1" applyNumberFormat="1">
      <alignment readingOrder="0" shrinkToFit="0" wrapText="1"/>
    </xf>
    <xf borderId="7" fillId="0" fontId="17" numFmtId="49" xfId="0" applyAlignment="1" applyBorder="1" applyFont="1" applyNumberFormat="1">
      <alignment readingOrder="0" shrinkToFit="0" vertical="bottom" wrapText="1"/>
    </xf>
    <xf borderId="7" fillId="0" fontId="17" numFmtId="49" xfId="0" applyAlignment="1" applyBorder="1" applyFont="1" applyNumberFormat="1">
      <alignment readingOrder="0" vertical="bottom"/>
    </xf>
    <xf borderId="7" fillId="0" fontId="17" numFmtId="49" xfId="0" applyAlignment="1" applyBorder="1" applyFont="1" applyNumberFormat="1">
      <alignment readingOrder="0" shrinkToFit="0" wrapText="0"/>
    </xf>
    <xf borderId="1" fillId="11" fontId="18" numFmtId="0" xfId="0" applyAlignment="1" applyBorder="1" applyFill="1" applyFont="1">
      <alignment horizontal="center" readingOrder="0" shrinkToFit="0" vertical="center" wrapText="1"/>
    </xf>
    <xf borderId="7" fillId="0" fontId="9" numFmtId="0" xfId="0" applyAlignment="1" applyBorder="1" applyFont="1">
      <alignment horizontal="right" shrinkToFit="0" vertical="bottom" wrapText="1"/>
    </xf>
    <xf borderId="8" fillId="6" fontId="8" numFmtId="0" xfId="0" applyAlignment="1" applyBorder="1" applyFont="1">
      <alignment readingOrder="0" shrinkToFit="0" wrapText="1"/>
    </xf>
    <xf borderId="7" fillId="7" fontId="9" numFmtId="165" xfId="0" applyAlignment="1" applyBorder="1" applyFont="1" applyNumberFormat="1">
      <alignment horizontal="center" shrinkToFit="0" wrapText="1"/>
    </xf>
    <xf borderId="7" fillId="0" fontId="19" numFmtId="0" xfId="0" applyAlignment="1" applyBorder="1" applyFont="1">
      <alignment readingOrder="0" shrinkToFit="0" wrapText="1"/>
    </xf>
    <xf borderId="1" fillId="12" fontId="20" numFmtId="0" xfId="0" applyAlignment="1" applyBorder="1" applyFill="1" applyFont="1">
      <alignment horizontal="center" readingOrder="0" shrinkToFit="0" vertical="center" wrapText="1"/>
    </xf>
    <xf borderId="11" fillId="0" fontId="5" numFmtId="0" xfId="0" applyAlignment="1" applyBorder="1" applyFont="1">
      <alignment horizontal="right" readingOrder="0" shrinkToFit="0" vertical="bottom" wrapText="1"/>
    </xf>
    <xf borderId="12" fillId="0" fontId="2" numFmtId="0" xfId="0" applyBorder="1" applyFont="1"/>
    <xf borderId="13" fillId="0" fontId="2" numFmtId="0" xfId="0" applyBorder="1" applyFont="1"/>
    <xf borderId="7" fillId="0" fontId="21" numFmtId="0" xfId="0" applyAlignment="1" applyBorder="1" applyFont="1">
      <alignment readingOrder="0" shrinkToFit="0" wrapText="1"/>
    </xf>
    <xf borderId="7" fillId="0" fontId="22" numFmtId="0" xfId="0" applyAlignment="1" applyBorder="1" applyFont="1">
      <alignment shrinkToFit="0" wrapText="1"/>
    </xf>
    <xf borderId="7" fillId="0" fontId="23" numFmtId="0" xfId="0" applyAlignment="1" applyBorder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7" fillId="0" fontId="22" numFmtId="0" xfId="0" applyAlignment="1" applyBorder="1" applyFont="1">
      <alignment readingOrder="0" shrinkToFit="0" wrapText="0"/>
    </xf>
    <xf borderId="7" fillId="0" fontId="22" numFmtId="0" xfId="0" applyAlignment="1" applyBorder="1" applyFont="1">
      <alignment readingOrder="0" shrinkToFit="0" wrapText="1"/>
    </xf>
    <xf borderId="7" fillId="13" fontId="24" numFmtId="0" xfId="0" applyAlignment="1" applyBorder="1" applyFill="1" applyFont="1">
      <alignment horizontal="right" readingOrder="0" shrinkToFit="0" vertical="bottom" wrapText="1"/>
    </xf>
    <xf borderId="7" fillId="13" fontId="12" numFmtId="0" xfId="0" applyAlignment="1" applyBorder="1" applyFont="1">
      <alignment readingOrder="0" shrinkToFit="0" wrapText="1"/>
    </xf>
    <xf borderId="7" fillId="0" fontId="24" numFmtId="0" xfId="0" applyAlignment="1" applyBorder="1" applyFont="1">
      <alignment horizontal="right" shrinkToFit="0" vertical="bottom" wrapText="1"/>
    </xf>
    <xf borderId="7" fillId="0" fontId="12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readingOrder="0"/>
    </xf>
    <xf borderId="7" fillId="0" fontId="24" numFmtId="0" xfId="0" applyAlignment="1" applyBorder="1" applyFont="1">
      <alignment horizontal="right" readingOrder="0" shrinkToFit="0" vertical="bottom" wrapText="1"/>
    </xf>
    <xf borderId="1" fillId="14" fontId="25" numFmtId="0" xfId="0" applyAlignment="1" applyBorder="1" applyFill="1" applyFont="1">
      <alignment horizontal="center" readingOrder="0" shrinkToFit="0" vertical="center" wrapText="1"/>
    </xf>
    <xf borderId="7" fillId="0" fontId="26" numFmtId="0" xfId="0" applyAlignment="1" applyBorder="1" applyFont="1">
      <alignment readingOrder="0" shrinkToFit="0" wrapText="1"/>
    </xf>
    <xf borderId="7" fillId="0" fontId="27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horizontal="right" readingOrder="0" shrinkToFit="0" vertical="bottom" wrapText="1"/>
    </xf>
    <xf borderId="1" fillId="15" fontId="18" numFmtId="0" xfId="0" applyAlignment="1" applyBorder="1" applyFill="1" applyFont="1">
      <alignment horizontal="center" readingOrder="0" shrinkToFit="0" vertical="center" wrapText="1"/>
    </xf>
    <xf borderId="7" fillId="0" fontId="28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vertical="center" wrapText="1"/>
    </xf>
    <xf borderId="7" fillId="0" fontId="8" numFmtId="49" xfId="0" applyAlignment="1" applyBorder="1" applyFont="1" applyNumberFormat="1">
      <alignment horizontal="center" readingOrder="0" shrinkToFit="0" vertical="center" wrapText="0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8" numFmtId="164" xfId="0" applyAlignment="1" applyBorder="1" applyFont="1" applyNumberFormat="1">
      <alignment horizontal="center" readingOrder="0" shrinkToFit="0" vertical="center" wrapText="1"/>
    </xf>
    <xf borderId="7" fillId="0" fontId="8" numFmtId="165" xfId="0" applyAlignment="1" applyBorder="1" applyFont="1" applyNumberFormat="1">
      <alignment horizontal="center" readingOrder="0" shrinkToFit="0" vertical="center" wrapText="1"/>
    </xf>
    <xf borderId="7" fillId="0" fontId="8" numFmtId="9" xfId="0" applyAlignment="1" applyBorder="1" applyFont="1" applyNumberFormat="1">
      <alignment horizontal="center" readingOrder="0" shrinkToFit="0" vertical="center" wrapText="1"/>
    </xf>
    <xf borderId="7" fillId="0" fontId="10" numFmtId="0" xfId="0" applyAlignment="1" applyBorder="1" applyFont="1">
      <alignment horizontal="center" readingOrder="0" shrinkToFit="0" vertical="center" wrapText="1"/>
    </xf>
    <xf borderId="8" fillId="7" fontId="17" numFmtId="49" xfId="0" applyAlignment="1" applyBorder="1" applyFont="1" applyNumberFormat="1">
      <alignment horizontal="center" readingOrder="0" shrinkToFit="0" vertical="center" wrapText="1"/>
    </xf>
    <xf borderId="8" fillId="7" fontId="17" numFmtId="0" xfId="0" applyAlignment="1" applyBorder="1" applyFont="1">
      <alignment horizontal="center" readingOrder="0" shrinkToFit="0" vertical="center" wrapText="1"/>
    </xf>
    <xf borderId="8" fillId="7" fontId="11" numFmtId="0" xfId="0" applyAlignment="1" applyBorder="1" applyFont="1">
      <alignment horizontal="center" readingOrder="0" shrinkToFit="0" vertical="center" wrapText="1"/>
    </xf>
    <xf borderId="8" fillId="10" fontId="17" numFmtId="49" xfId="0" applyAlignment="1" applyBorder="1" applyFont="1" applyNumberFormat="1">
      <alignment horizontal="center" readingOrder="0" shrinkToFit="0" vertical="center" wrapText="1"/>
    </xf>
    <xf borderId="8" fillId="10" fontId="17" numFmtId="0" xfId="0" applyAlignment="1" applyBorder="1" applyFont="1">
      <alignment horizontal="center" readingOrder="0" shrinkToFit="0" vertical="center" wrapText="1"/>
    </xf>
    <xf borderId="8" fillId="10" fontId="22" numFmtId="0" xfId="0" applyAlignment="1" applyBorder="1" applyFont="1">
      <alignment horizontal="center" readingOrder="0" shrinkToFit="0" vertical="center" wrapText="1"/>
    </xf>
    <xf borderId="7" fillId="10" fontId="17" numFmtId="164" xfId="0" applyAlignment="1" applyBorder="1" applyFont="1" applyNumberFormat="1">
      <alignment horizontal="center" readingOrder="0" shrinkToFit="0" vertical="center" wrapText="1"/>
    </xf>
    <xf borderId="7" fillId="10" fontId="8" numFmtId="165" xfId="0" applyAlignment="1" applyBorder="1" applyFont="1" applyNumberFormat="1">
      <alignment horizontal="center" readingOrder="0" shrinkToFit="0" vertical="center" wrapText="1"/>
    </xf>
    <xf borderId="7" fillId="10" fontId="12" numFmtId="165" xfId="0" applyAlignment="1" applyBorder="1" applyFont="1" applyNumberFormat="1">
      <alignment horizontal="center" readingOrder="0" shrinkToFit="0" vertical="center" wrapText="1"/>
    </xf>
    <xf borderId="1" fillId="16" fontId="29" numFmtId="0" xfId="0" applyAlignment="1" applyBorder="1" applyFill="1" applyFont="1">
      <alignment horizontal="center" readingOrder="0" shrinkToFit="0" vertical="center" wrapText="1"/>
    </xf>
    <xf borderId="1" fillId="17" fontId="30" numFmtId="0" xfId="0" applyAlignment="1" applyBorder="1" applyFill="1" applyFont="1">
      <alignment horizontal="center" readingOrder="0" shrinkToFit="0" vertical="center" wrapText="1"/>
    </xf>
    <xf borderId="7" fillId="0" fontId="31" numFmtId="0" xfId="0" applyAlignment="1" applyBorder="1" applyFont="1">
      <alignment readingOrder="0" shrinkToFit="0" wrapText="1"/>
    </xf>
    <xf borderId="7" fillId="18" fontId="32" numFmtId="0" xfId="0" applyAlignment="1" applyBorder="1" applyFill="1" applyFont="1">
      <alignment horizontal="center" readingOrder="0" shrinkToFit="0" wrapText="1"/>
    </xf>
    <xf borderId="8" fillId="0" fontId="9" numFmtId="0" xfId="0" applyAlignment="1" applyBorder="1" applyFont="1">
      <alignment readingOrder="0" shrinkToFit="0" vertical="top" wrapText="1"/>
    </xf>
    <xf borderId="7" fillId="7" fontId="12" numFmtId="165" xfId="0" applyAlignment="1" applyBorder="1" applyFont="1" applyNumberFormat="1">
      <alignment horizontal="center" readingOrder="0" shrinkToFit="0" vertical="center" wrapText="1"/>
    </xf>
    <xf borderId="7" fillId="0" fontId="24" numFmtId="165" xfId="0" applyAlignment="1" applyBorder="1" applyFont="1" applyNumberFormat="1">
      <alignment horizontal="right" readingOrder="0" shrinkToFit="0" vertical="bottom" wrapText="1"/>
    </xf>
    <xf borderId="7" fillId="0" fontId="9" numFmtId="165" xfId="0" applyAlignment="1" applyBorder="1" applyFont="1" applyNumberFormat="1">
      <alignment horizontal="right" readingOrder="0" shrinkToFit="0" vertical="bottom" wrapText="1"/>
    </xf>
    <xf borderId="7" fillId="19" fontId="12" numFmtId="0" xfId="0" applyAlignment="1" applyBorder="1" applyFill="1" applyFont="1">
      <alignment readingOrder="0" shrinkToFit="0" wrapText="1"/>
    </xf>
    <xf borderId="7" fillId="0" fontId="33" numFmtId="0" xfId="0" applyAlignment="1" applyBorder="1" applyFont="1">
      <alignment readingOrder="0" shrinkToFit="0" wrapText="1"/>
    </xf>
    <xf borderId="7" fillId="7" fontId="21" numFmtId="165" xfId="0" applyAlignment="1" applyBorder="1" applyFont="1" applyNumberFormat="1">
      <alignment horizontal="center" readingOrder="0" shrinkToFit="0" vertical="center" wrapText="1"/>
    </xf>
    <xf borderId="7" fillId="20" fontId="12" numFmtId="0" xfId="0" applyAlignment="1" applyBorder="1" applyFill="1" applyFont="1">
      <alignment readingOrder="0" shrinkToFit="0" wrapText="1"/>
    </xf>
    <xf borderId="7" fillId="0" fontId="22" numFmtId="0" xfId="0" applyAlignment="1" applyBorder="1" applyFont="1">
      <alignment horizontal="center" readingOrder="0" shrinkToFit="0" vertical="center" wrapText="1"/>
    </xf>
    <xf borderId="7" fillId="8" fontId="8" numFmtId="164" xfId="0" applyAlignment="1" applyBorder="1" applyFont="1" applyNumberFormat="1">
      <alignment horizontal="right" readingOrder="0" shrinkToFit="0" vertical="bottom" wrapText="1"/>
    </xf>
    <xf borderId="7" fillId="6" fontId="8" numFmtId="164" xfId="0" applyAlignment="1" applyBorder="1" applyFont="1" applyNumberFormat="1">
      <alignment horizontal="right" readingOrder="0" shrinkToFit="0" vertical="bottom" wrapText="1"/>
    </xf>
    <xf borderId="7" fillId="9" fontId="8" numFmtId="164" xfId="0" applyAlignment="1" applyBorder="1" applyFont="1" applyNumberFormat="1">
      <alignment horizontal="right" readingOrder="0" shrinkToFit="0" vertical="bottom" wrapText="1"/>
    </xf>
    <xf borderId="7" fillId="20" fontId="12" numFmtId="0" xfId="0" applyAlignment="1" applyBorder="1" applyFont="1">
      <alignment shrinkToFit="0" wrapText="1"/>
    </xf>
    <xf borderId="7" fillId="20" fontId="8" numFmtId="0" xfId="0" applyAlignment="1" applyBorder="1" applyFont="1">
      <alignment readingOrder="0" shrinkToFit="0" wrapText="1"/>
    </xf>
    <xf borderId="1" fillId="21" fontId="34" numFmtId="0" xfId="0" applyAlignment="1" applyBorder="1" applyFill="1" applyFont="1">
      <alignment horizontal="center" readingOrder="0" shrinkToFit="0" vertical="center" wrapText="1"/>
    </xf>
    <xf borderId="7" fillId="0" fontId="28" numFmtId="0" xfId="0" applyAlignment="1" applyBorder="1" applyFont="1">
      <alignment horizontal="center" readingOrder="0" shrinkToFit="0" wrapText="1"/>
    </xf>
    <xf borderId="1" fillId="4" fontId="35" numFmtId="0" xfId="0" applyAlignment="1" applyBorder="1" applyFont="1">
      <alignment horizontal="center" readingOrder="0" shrinkToFit="0" vertical="center" wrapText="1"/>
    </xf>
    <xf borderId="7" fillId="0" fontId="36" numFmtId="0" xfId="0" applyAlignment="1" applyBorder="1" applyFont="1">
      <alignment horizontal="center" readingOrder="0" shrinkToFit="0" wrapText="1"/>
    </xf>
    <xf borderId="1" fillId="22" fontId="37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readingOrder="0" shrinkToFit="0" wrapText="1"/>
    </xf>
    <xf borderId="7" fillId="0" fontId="15" numFmtId="49" xfId="0" applyAlignment="1" applyBorder="1" applyFont="1" applyNumberFormat="1">
      <alignment readingOrder="0" shrinkToFit="0" vertical="top" wrapText="0"/>
    </xf>
    <xf borderId="0" fillId="0" fontId="38" numFmtId="0" xfId="0" applyAlignment="1" applyFont="1">
      <alignment readingOrder="0" shrinkToFit="0" wrapText="1"/>
    </xf>
    <xf borderId="0" fillId="0" fontId="13" numFmtId="49" xfId="0" applyAlignment="1" applyFont="1" applyNumberFormat="1">
      <alignment horizontal="left" readingOrder="0" shrinkToFit="0" vertical="top" wrapText="0"/>
    </xf>
    <xf borderId="7" fillId="0" fontId="15" numFmtId="0" xfId="0" applyAlignment="1" applyBorder="1" applyFont="1">
      <alignment readingOrder="0" shrinkToFit="0" wrapText="1"/>
    </xf>
    <xf borderId="7" fillId="0" fontId="39" numFmtId="0" xfId="0" applyAlignment="1" applyBorder="1" applyFont="1">
      <alignment readingOrder="0" shrinkToFit="0" wrapText="1"/>
    </xf>
    <xf borderId="0" fillId="0" fontId="10" numFmtId="0" xfId="0" applyAlignment="1" applyFont="1">
      <alignment horizontal="center" readingOrder="0" shrinkToFit="0" vertical="center" wrapText="1"/>
    </xf>
    <xf borderId="7" fillId="0" fontId="9" numFmtId="0" xfId="0" applyAlignment="1" applyBorder="1" applyFont="1">
      <alignment vertical="bottom"/>
    </xf>
    <xf borderId="7" fillId="10" fontId="9" numFmtId="0" xfId="0" applyAlignment="1" applyBorder="1" applyFont="1">
      <alignment vertical="bottom"/>
    </xf>
    <xf borderId="7" fillId="8" fontId="8" numFmtId="164" xfId="0" applyAlignment="1" applyBorder="1" applyFont="1" applyNumberFormat="1">
      <alignment horizontal="center" readingOrder="0" shrinkToFit="0" vertical="center" wrapText="1"/>
    </xf>
    <xf borderId="7" fillId="6" fontId="8" numFmtId="164" xfId="0" applyAlignment="1" applyBorder="1" applyFont="1" applyNumberFormat="1">
      <alignment horizontal="center" readingOrder="0" shrinkToFit="0" vertical="center" wrapText="1"/>
    </xf>
    <xf borderId="7" fillId="9" fontId="8" numFmtId="164" xfId="0" applyAlignment="1" applyBorder="1" applyFont="1" applyNumberForma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7" fillId="10" fontId="8" numFmtId="0" xfId="0" applyAlignment="1" applyBorder="1" applyFont="1">
      <alignment readingOrder="0" shrinkToFit="0" wrapText="1"/>
    </xf>
    <xf borderId="7" fillId="23" fontId="8" numFmtId="0" xfId="0" applyAlignment="1" applyBorder="1" applyFill="1" applyFont="1">
      <alignment readingOrder="0" shrinkToFit="0" wrapText="1"/>
    </xf>
    <xf borderId="8" fillId="10" fontId="8" numFmtId="0" xfId="0" applyAlignment="1" applyBorder="1" applyFont="1">
      <alignment readingOrder="0" shrinkToFit="0" wrapText="1"/>
    </xf>
    <xf borderId="7" fillId="0" fontId="17" numFmtId="49" xfId="0" applyAlignment="1" applyBorder="1" applyFont="1" applyNumberFormat="1">
      <alignment horizontal="center" readingOrder="0" shrinkToFit="0" vertical="center" wrapText="1"/>
    </xf>
    <xf borderId="7" fillId="0" fontId="40" numFmtId="0" xfId="0" applyAlignment="1" applyBorder="1" applyFont="1">
      <alignment readingOrder="0" shrinkToFit="0" wrapText="1"/>
    </xf>
    <xf borderId="1" fillId="24" fontId="41" numFmtId="0" xfId="0" applyAlignment="1" applyBorder="1" applyFill="1" applyFont="1">
      <alignment horizontal="center" readingOrder="0" shrinkToFit="0" vertical="center" wrapText="1"/>
    </xf>
    <xf borderId="7" fillId="0" fontId="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vertical="bottom" wrapText="1"/>
    </xf>
    <xf borderId="7" fillId="7" fontId="8" numFmtId="165" xfId="0" applyAlignment="1" applyBorder="1" applyFont="1" applyNumberFormat="1">
      <alignment horizontal="center" readingOrder="0" shrinkToFit="0" vertical="top" wrapText="1"/>
    </xf>
    <xf borderId="7" fillId="0" fontId="8" numFmtId="0" xfId="0" applyAlignment="1" applyBorder="1" applyFont="1">
      <alignment shrinkToFit="0" vertical="top" wrapText="1"/>
    </xf>
    <xf borderId="7" fillId="0" fontId="42" numFmtId="0" xfId="0" applyAlignment="1" applyBorder="1" applyFont="1">
      <alignment readingOrder="0" shrinkToFit="0" vertical="top" wrapText="1"/>
    </xf>
    <xf borderId="7" fillId="0" fontId="12" numFmtId="0" xfId="0" applyAlignment="1" applyBorder="1" applyFont="1">
      <alignment readingOrder="0" shrinkToFit="0" vertical="top" wrapText="1"/>
    </xf>
    <xf borderId="7" fillId="25" fontId="8" numFmtId="0" xfId="0" applyAlignment="1" applyBorder="1" applyFill="1" applyFont="1">
      <alignment shrinkToFit="0" vertical="top" wrapText="1"/>
    </xf>
    <xf borderId="7" fillId="25" fontId="8" numFmtId="0" xfId="0" applyAlignment="1" applyBorder="1" applyFont="1">
      <alignment readingOrder="0" shrinkToFit="0" vertical="top" wrapText="0"/>
    </xf>
    <xf borderId="7" fillId="25" fontId="8" numFmtId="0" xfId="0" applyAlignment="1" applyBorder="1" applyFont="1">
      <alignment readingOrder="0" shrinkToFit="0" vertical="top" wrapText="1"/>
    </xf>
    <xf borderId="7" fillId="25" fontId="12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vertical="top" wrapText="0"/>
    </xf>
    <xf borderId="7" fillId="0" fontId="43" numFmtId="0" xfId="0" applyAlignment="1" applyBorder="1" applyFont="1">
      <alignment readingOrder="0" shrinkToFit="0" vertical="top" wrapText="1"/>
    </xf>
    <xf borderId="7" fillId="8" fontId="12" numFmtId="0" xfId="0" applyAlignment="1" applyBorder="1" applyFont="1">
      <alignment readingOrder="0" shrinkToFit="0" vertical="top" wrapText="1"/>
    </xf>
    <xf borderId="7" fillId="3" fontId="44" numFmtId="0" xfId="0" applyAlignment="1" applyBorder="1" applyFont="1">
      <alignment readingOrder="0" shrinkToFit="0" wrapText="1"/>
    </xf>
    <xf borderId="7" fillId="0" fontId="24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vertical="top"/>
    </xf>
    <xf borderId="7" fillId="19" fontId="8" numFmtId="0" xfId="0" applyAlignment="1" applyBorder="1" applyFont="1">
      <alignment shrinkToFit="0" vertical="top" wrapText="1"/>
    </xf>
    <xf borderId="7" fillId="19" fontId="12" numFmtId="0" xfId="0" applyAlignment="1" applyBorder="1" applyFont="1">
      <alignment readingOrder="0" shrinkToFit="0" vertical="top" wrapText="1"/>
    </xf>
    <xf borderId="7" fillId="19" fontId="45" numFmtId="0" xfId="0" applyAlignment="1" applyBorder="1" applyFont="1">
      <alignment readingOrder="0" shrinkToFit="0" wrapText="1"/>
    </xf>
    <xf borderId="0" fillId="0" fontId="46" numFmtId="0" xfId="0" applyAlignment="1" applyFont="1">
      <alignment readingOrder="0" shrinkToFit="0" wrapText="1"/>
    </xf>
    <xf borderId="7" fillId="19" fontId="8" numFmtId="0" xfId="0" applyAlignment="1" applyBorder="1" applyFont="1">
      <alignment readingOrder="0" shrinkToFit="0" wrapText="1"/>
    </xf>
    <xf borderId="7" fillId="26" fontId="8" numFmtId="0" xfId="0" applyAlignment="1" applyBorder="1" applyFill="1" applyFont="1">
      <alignment readingOrder="0" shrinkToFit="0" wrapText="1"/>
    </xf>
    <xf borderId="7" fillId="19" fontId="12" numFmtId="0" xfId="0" applyAlignment="1" applyBorder="1" applyFont="1">
      <alignment shrinkToFit="0" vertical="top" wrapText="1"/>
    </xf>
    <xf borderId="7" fillId="19" fontId="8" numFmtId="0" xfId="0" applyAlignment="1" applyBorder="1" applyFont="1">
      <alignment shrinkToFit="0" wrapText="1"/>
    </xf>
    <xf borderId="7" fillId="7" fontId="8" numFmtId="49" xfId="0" applyAlignment="1" applyBorder="1" applyFont="1" applyNumberFormat="1">
      <alignment horizontal="center" readingOrder="0" shrinkToFit="0" wrapText="0"/>
    </xf>
    <xf borderId="7" fillId="7" fontId="14" numFmtId="0" xfId="0" applyAlignment="1" applyBorder="1" applyFont="1">
      <alignment horizontal="center" readingOrder="0"/>
    </xf>
    <xf borderId="7" fillId="7" fontId="8" numFmtId="164" xfId="0" applyAlignment="1" applyBorder="1" applyFont="1" applyNumberFormat="1">
      <alignment horizontal="center" readingOrder="0" shrinkToFit="0" wrapText="1"/>
    </xf>
    <xf borderId="7" fillId="7" fontId="8" numFmtId="165" xfId="0" applyAlignment="1" applyBorder="1" applyFont="1" applyNumberFormat="1">
      <alignment horizontal="center" readingOrder="0" shrinkToFit="0" wrapText="1"/>
    </xf>
    <xf borderId="7" fillId="7" fontId="8" numFmtId="0" xfId="0" applyAlignment="1" applyBorder="1" applyFont="1">
      <alignment horizontal="center" readingOrder="0" shrinkToFit="0" vertical="top" wrapText="1"/>
    </xf>
    <xf borderId="7" fillId="7" fontId="8" numFmtId="0" xfId="0" applyAlignment="1" applyBorder="1" applyFont="1">
      <alignment horizontal="center" readingOrder="0" shrinkToFit="0" wrapText="1"/>
    </xf>
    <xf borderId="7" fillId="10" fontId="9" numFmtId="0" xfId="0" applyAlignment="1" applyBorder="1" applyFont="1">
      <alignment shrinkToFit="0" vertical="bottom" wrapText="1"/>
    </xf>
    <xf borderId="7" fillId="10" fontId="47" numFmtId="0" xfId="0" applyAlignment="1" applyBorder="1" applyFont="1">
      <alignment readingOrder="0"/>
    </xf>
    <xf borderId="7" fillId="0" fontId="44" numFmtId="0" xfId="0" applyAlignment="1" applyBorder="1" applyFont="1">
      <alignment readingOrder="0" shrinkToFit="0" wrapText="1"/>
    </xf>
    <xf borderId="7" fillId="27" fontId="8" numFmtId="0" xfId="0" applyAlignment="1" applyBorder="1" applyFill="1" applyFont="1">
      <alignment shrinkToFit="0" vertical="top" wrapText="1"/>
    </xf>
    <xf borderId="7" fillId="27" fontId="8" numFmtId="0" xfId="0" applyAlignment="1" applyBorder="1" applyFont="1">
      <alignment shrinkToFit="0" wrapText="1"/>
    </xf>
    <xf borderId="7" fillId="27" fontId="8" numFmtId="165" xfId="0" applyAlignment="1" applyBorder="1" applyFont="1" applyNumberFormat="1">
      <alignment horizontal="center" readingOrder="0" shrinkToFit="0" vertical="top" wrapText="1"/>
    </xf>
    <xf borderId="7" fillId="27" fontId="8" numFmtId="165" xfId="0" applyAlignment="1" applyBorder="1" applyFont="1" applyNumberFormat="1">
      <alignment horizontal="center" readingOrder="0" shrinkToFit="0" vertical="center" wrapText="1"/>
    </xf>
    <xf borderId="7" fillId="27" fontId="42" numFmtId="0" xfId="0" applyAlignment="1" applyBorder="1" applyFont="1">
      <alignment readingOrder="0" shrinkToFit="0" vertical="top" wrapText="1"/>
    </xf>
    <xf borderId="7" fillId="27" fontId="12" numFmtId="0" xfId="0" applyAlignment="1" applyBorder="1" applyFont="1">
      <alignment readingOrder="0" shrinkToFit="0" vertical="top" wrapText="1"/>
    </xf>
    <xf borderId="7" fillId="27" fontId="48" numFmtId="0" xfId="0" applyAlignment="1" applyBorder="1" applyFont="1">
      <alignment readingOrder="0" shrinkToFit="0" wrapText="1"/>
    </xf>
    <xf borderId="7" fillId="27" fontId="17" numFmtId="49" xfId="0" applyAlignment="1" applyBorder="1" applyFont="1" applyNumberFormat="1">
      <alignment horizontal="center" readingOrder="0" shrinkToFit="0" vertical="top" wrapText="1"/>
    </xf>
    <xf borderId="7" fillId="27" fontId="17" numFmtId="0" xfId="0" applyAlignment="1" applyBorder="1" applyFont="1">
      <alignment horizontal="center" readingOrder="0" shrinkToFit="0" vertical="top" wrapText="1"/>
    </xf>
    <xf borderId="7" fillId="27" fontId="17" numFmtId="164" xfId="0" applyAlignment="1" applyBorder="1" applyFont="1" applyNumberFormat="1">
      <alignment horizontal="center" readingOrder="0"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shrinkToFit="0" vertical="top" wrapText="1"/>
    </xf>
    <xf borderId="1" fillId="28" fontId="49" numFmtId="0" xfId="0" applyAlignment="1" applyBorder="1" applyFill="1" applyFont="1">
      <alignment horizontal="center" readingOrder="0" shrinkToFit="0" vertical="center" wrapText="1"/>
    </xf>
    <xf borderId="7" fillId="29" fontId="8" numFmtId="0" xfId="0" applyAlignment="1" applyBorder="1" applyFill="1" applyFont="1">
      <alignment shrinkToFit="0" wrapText="1"/>
    </xf>
    <xf borderId="7" fillId="29" fontId="8" numFmtId="0" xfId="0" applyAlignment="1" applyBorder="1" applyFont="1">
      <alignment readingOrder="0" shrinkToFit="0" wrapText="0"/>
    </xf>
    <xf borderId="7" fillId="29" fontId="8" numFmtId="0" xfId="0" applyAlignment="1" applyBorder="1" applyFont="1">
      <alignment readingOrder="0" shrinkToFit="0" vertical="top" wrapText="1"/>
    </xf>
    <xf borderId="7" fillId="29" fontId="8" numFmtId="0" xfId="0" applyAlignment="1" applyBorder="1" applyFont="1">
      <alignment readingOrder="0" shrinkToFit="0" wrapText="1"/>
    </xf>
    <xf borderId="7" fillId="8" fontId="12" numFmtId="0" xfId="0" applyAlignment="1" applyBorder="1" applyFont="1">
      <alignment readingOrder="0" shrinkToFit="0" wrapText="1"/>
    </xf>
    <xf borderId="7" fillId="0" fontId="24" numFmtId="0" xfId="0" applyAlignment="1" applyBorder="1" applyFont="1">
      <alignment readingOrder="0" shrinkToFit="0" vertical="bottom" wrapText="1"/>
    </xf>
    <xf borderId="7" fillId="0" fontId="50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readingOrder="0" shrinkToFit="0" wrapText="1"/>
    </xf>
    <xf borderId="11" fillId="7" fontId="8" numFmtId="49" xfId="0" applyAlignment="1" applyBorder="1" applyFont="1" applyNumberFormat="1">
      <alignment horizontal="center" readingOrder="0" shrinkToFit="0" vertical="center" wrapText="0"/>
    </xf>
    <xf borderId="12" fillId="7" fontId="8" numFmtId="49" xfId="0" applyAlignment="1" applyBorder="1" applyFont="1" applyNumberFormat="1">
      <alignment horizontal="center" readingOrder="0" shrinkToFit="0" vertical="center" wrapText="0"/>
    </xf>
    <xf borderId="12" fillId="7" fontId="6" numFmtId="49" xfId="0" applyAlignment="1" applyBorder="1" applyFont="1" applyNumberFormat="1">
      <alignment horizontal="center" readingOrder="0" shrinkToFit="0" vertical="center" wrapText="0"/>
    </xf>
    <xf borderId="13" fillId="7" fontId="8" numFmtId="49" xfId="0" applyAlignment="1" applyBorder="1" applyFont="1" applyNumberFormat="1">
      <alignment horizontal="center" readingOrder="0" shrinkToFit="0" vertical="center" wrapText="0"/>
    </xf>
    <xf borderId="7" fillId="7" fontId="8" numFmtId="0" xfId="0" applyBorder="1" applyFont="1"/>
    <xf borderId="7" fillId="7" fontId="15" numFmtId="0" xfId="0" applyAlignment="1" applyBorder="1" applyFont="1">
      <alignment horizontal="center" readingOrder="0" shrinkToFit="0" vertical="top" wrapText="1"/>
    </xf>
    <xf borderId="0" fillId="0" fontId="44" numFmtId="0" xfId="0" applyAlignment="1" applyFont="1">
      <alignment horizontal="center" readingOrder="0" shrinkToFit="0" wrapText="1"/>
    </xf>
    <xf borderId="7" fillId="7" fontId="8" numFmtId="49" xfId="0" applyAlignment="1" applyBorder="1" applyFont="1" applyNumberFormat="1">
      <alignment horizontal="center" readingOrder="0" shrinkToFit="0" vertical="top" wrapText="0"/>
    </xf>
    <xf borderId="7" fillId="7" fontId="6" numFmtId="0" xfId="0" applyAlignment="1" applyBorder="1" applyFont="1">
      <alignment horizontal="center" readingOrder="0" shrinkToFit="0" wrapText="1"/>
    </xf>
    <xf borderId="0" fillId="0" fontId="8" numFmtId="0" xfId="0" applyAlignment="1" applyFont="1">
      <alignment readingOrder="0" shrinkToFit="0" wrapText="0"/>
    </xf>
    <xf borderId="7" fillId="7" fontId="17" numFmtId="49" xfId="0" applyAlignment="1" applyBorder="1" applyFont="1" applyNumberFormat="1">
      <alignment horizontal="center" readingOrder="0" shrinkToFit="0" vertical="bottom" wrapText="1"/>
    </xf>
    <xf borderId="7" fillId="7" fontId="17" numFmtId="0" xfId="0" applyAlignment="1" applyBorder="1" applyFont="1">
      <alignment horizontal="center" readingOrder="0" shrinkToFit="0" wrapText="1"/>
    </xf>
    <xf borderId="7" fillId="7" fontId="51" numFmtId="0" xfId="0" applyAlignment="1" applyBorder="1" applyFont="1">
      <alignment horizontal="center" readingOrder="0" shrinkToFit="0" wrapText="1"/>
    </xf>
    <xf borderId="7" fillId="7" fontId="17" numFmtId="164" xfId="0" applyAlignment="1" applyBorder="1" applyFont="1" applyNumberFormat="1">
      <alignment horizontal="center" readingOrder="0" shrinkToFit="0" wrapText="1"/>
    </xf>
    <xf borderId="0" fillId="0" fontId="8" numFmtId="49" xfId="0" applyAlignment="1" applyFont="1" applyNumberFormat="1">
      <alignment shrinkToFit="0" wrapText="0"/>
    </xf>
    <xf borderId="0" fillId="0" fontId="8" numFmtId="164" xfId="0" applyAlignment="1" applyFont="1" applyNumberFormat="1">
      <alignment shrinkToFit="0" wrapText="1"/>
    </xf>
    <xf borderId="0" fillId="0" fontId="8" numFmtId="165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sellercentral.amazon.com/coupons/view-coupon/a3fabf06-e7cc-4fee-8633-a1a0a00351bd" TargetMode="External"/><Relationship Id="rId10" Type="http://schemas.openxmlformats.org/officeDocument/2006/relationships/hyperlink" Target="https://sellercentral.amazon.com/coupons/view-coupon/a3fabf06-e7cc-4fee-8633-a1a0a00351bd" TargetMode="External"/><Relationship Id="rId13" Type="http://schemas.openxmlformats.org/officeDocument/2006/relationships/hyperlink" Target="https://sellercentral.amazon.com/coupons/view-coupon/b3e84e91-84a8-4a10-b0c3-a638d41dcdbe" TargetMode="External"/><Relationship Id="rId12" Type="http://schemas.openxmlformats.org/officeDocument/2006/relationships/hyperlink" Target="https://sellercentral.amazon.com/coupons/view-coupon/b3e84e91-84a8-4a10-b0c3-a638d41dcdbe" TargetMode="External"/><Relationship Id="rId1" Type="http://schemas.openxmlformats.org/officeDocument/2006/relationships/hyperlink" Target="https://sellercentral.amazon.com/coupons/view-coupon/c542d136-3fc6-40f0-a5df-1b6b362cd5df" TargetMode="External"/><Relationship Id="rId2" Type="http://schemas.openxmlformats.org/officeDocument/2006/relationships/hyperlink" Target="https://sellercentral.amazon.com/coupons/view-coupon/c542d136-3fc6-40f0-a5df-1b6b362cd5df" TargetMode="External"/><Relationship Id="rId3" Type="http://schemas.openxmlformats.org/officeDocument/2006/relationships/hyperlink" Target="https://sellercentral.amazon.com/coupons/view-coupon/c542d136-3fc6-40f0-a5df-1b6b362cd5df" TargetMode="External"/><Relationship Id="rId4" Type="http://schemas.openxmlformats.org/officeDocument/2006/relationships/hyperlink" Target="https://sellercentral.amazon.com/coupons/view-coupon/c542d136-3fc6-40f0-a5df-1b6b362cd5df" TargetMode="External"/><Relationship Id="rId9" Type="http://schemas.openxmlformats.org/officeDocument/2006/relationships/hyperlink" Target="https://sellercentral.amazon.com/coupons/view-coupon/efd2ce64-3fee-450b-af7d-1679ed9d05c7" TargetMode="External"/><Relationship Id="rId14" Type="http://schemas.openxmlformats.org/officeDocument/2006/relationships/drawing" Target="../drawings/drawing10.xml"/><Relationship Id="rId5" Type="http://schemas.openxmlformats.org/officeDocument/2006/relationships/hyperlink" Target="https://sellercentral.amazon.com/coupons/view-coupon/c542d136-3fc6-40f0-a5df-1b6b362cd5df" TargetMode="External"/><Relationship Id="rId6" Type="http://schemas.openxmlformats.org/officeDocument/2006/relationships/hyperlink" Target="https://sellercentral.amazon.com/coupons/view-coupon/c542d136-3fc6-40f0-a5df-1b6b362cd5df" TargetMode="External"/><Relationship Id="rId7" Type="http://schemas.openxmlformats.org/officeDocument/2006/relationships/hyperlink" Target="https://sellercentral.amazon.com/coupons/view-coupon/c542d136-3fc6-40f0-a5df-1b6b362cd5df" TargetMode="External"/><Relationship Id="rId8" Type="http://schemas.openxmlformats.org/officeDocument/2006/relationships/hyperlink" Target="https://sellercentral.amazon.com/coupons/view-coupon/efd2ce64-3fee-450b-af7d-1679ed9d05c7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Ionic-Pro-TA740-Negative-Purifier/dp/B076J4BK24/ref=sr_1_3?crid=2CF88WN8PL6X4&amp;dib=eyJ2IjoiMSJ9.UFD-Agbjn7J_DcwCaARiUA.0XNpXBRSCcGlPnKTiOaptLXF9rOOt3OOBt2hJkblam0&amp;dib_tag=se&amp;keywords=B076J4BK24&amp;nsdOptOutParam=true&amp;qid=1763592626&amp;sprefix=b076j4bk24%2Caps%2C199&amp;sr=8-3" TargetMode="External"/><Relationship Id="rId22" Type="http://schemas.openxmlformats.org/officeDocument/2006/relationships/hyperlink" Target="https://sellercentral.amazon.com/coupons/view-coupon/2cfce9a0-60f2-49d5-83f2-3bddb206e45f" TargetMode="External"/><Relationship Id="rId21" Type="http://schemas.openxmlformats.org/officeDocument/2006/relationships/hyperlink" Target="https://sellercentral.amazon.com/coupons/view-coupon/2cfce9a0-60f2-49d5-83f2-3bddb206e45f" TargetMode="External"/><Relationship Id="rId24" Type="http://schemas.openxmlformats.org/officeDocument/2006/relationships/hyperlink" Target="https://sellercentral.amazon.com/coupons/view-coupon/7d556710-03a4-4cdf-8dfb-e47662158974" TargetMode="External"/><Relationship Id="rId23" Type="http://schemas.openxmlformats.org/officeDocument/2006/relationships/hyperlink" Target="https://sellercentral.amazon.com/coupons/view-coupon/7d556710-03a4-4cdf-8dfb-e47662158974" TargetMode="External"/><Relationship Id="rId1" Type="http://schemas.openxmlformats.org/officeDocument/2006/relationships/hyperlink" Target="https://sellercentral.amazon.com/coupons/view-coupon/3340635e-4c77-4723-8b97-8afe6f80e4b6" TargetMode="External"/><Relationship Id="rId2" Type="http://schemas.openxmlformats.org/officeDocument/2006/relationships/hyperlink" Target="https://sellercentral.amazon.com/coupons/view-coupon/ef262f4e-96a6-4fa6-9977-2aacaaa73ed1" TargetMode="External"/><Relationship Id="rId3" Type="http://schemas.openxmlformats.org/officeDocument/2006/relationships/hyperlink" Target="https://sellercentral.amazon.com/coupons/view-coupon/3b46d0f2-d2e8-4216-b7bd-a4fe81d83ac0" TargetMode="External"/><Relationship Id="rId4" Type="http://schemas.openxmlformats.org/officeDocument/2006/relationships/hyperlink" Target="https://sellercentral.amazon.com/coupons/view-coupon/d9b05d89-4260-4fef-9f2e-74d3cd5e4387" TargetMode="External"/><Relationship Id="rId9" Type="http://schemas.openxmlformats.org/officeDocument/2006/relationships/hyperlink" Target="https://sellercentral.amazon.com/coupons/view-coupon/6e501db0-02b3-44f9-b3c0-fbb0dc7fba2b" TargetMode="External"/><Relationship Id="rId26" Type="http://schemas.openxmlformats.org/officeDocument/2006/relationships/hyperlink" Target="https://sellercentral.amazon.com/coupons/view-coupon/997c8425-dc84-4607-9104-a28660e7f129" TargetMode="External"/><Relationship Id="rId25" Type="http://schemas.openxmlformats.org/officeDocument/2006/relationships/hyperlink" Target="https://sellercentral.amazon.com/coupons/view-coupon/997c8425-dc84-4607-9104-a28660e7f129" TargetMode="External"/><Relationship Id="rId27" Type="http://schemas.openxmlformats.org/officeDocument/2006/relationships/drawing" Target="../drawings/drawing11.xml"/><Relationship Id="rId5" Type="http://schemas.openxmlformats.org/officeDocument/2006/relationships/hyperlink" Target="https://sellercentral.amazon.com/coupons/view-coupon/f27bb271-7ae6-4ad6-b3b6-9d4effd3b2d0" TargetMode="External"/><Relationship Id="rId6" Type="http://schemas.openxmlformats.org/officeDocument/2006/relationships/hyperlink" Target="https://sellercentral.amazon.com/coupons/view-coupon/6afae20e-7ebb-4a86-9b37-f6ad14aaff93" TargetMode="External"/><Relationship Id="rId7" Type="http://schemas.openxmlformats.org/officeDocument/2006/relationships/hyperlink" Target="https://sellercentral.amazon.com/coupons/view-coupon/6e501db0-02b3-44f9-b3c0-fbb0dc7fba2b" TargetMode="External"/><Relationship Id="rId8" Type="http://schemas.openxmlformats.org/officeDocument/2006/relationships/hyperlink" Target="https://sellercentral.amazon.com/coupons/view-coupon/361956b1-3cba-48c4-ab81-ba7c3adb24c5" TargetMode="External"/><Relationship Id="rId11" Type="http://schemas.openxmlformats.org/officeDocument/2006/relationships/hyperlink" Target="https://sellercentral.amazon.com/coupons/view-coupon/db08d040-503d-43f2-b69c-719fbb4027d5" TargetMode="External"/><Relationship Id="rId10" Type="http://schemas.openxmlformats.org/officeDocument/2006/relationships/hyperlink" Target="https://sellercentral.amazon.com/coupons/view-coupon/361956b1-3cba-48c4-ab81-ba7c3adb24c5" TargetMode="External"/><Relationship Id="rId13" Type="http://schemas.openxmlformats.org/officeDocument/2006/relationships/hyperlink" Target="https://sellercentral.amazon.com/coupons/view-coupon/db08d040-503d-43f2-b69c-719fbb4027d5" TargetMode="External"/><Relationship Id="rId12" Type="http://schemas.openxmlformats.org/officeDocument/2006/relationships/hyperlink" Target="https://sellercentral.amazon.com/coupons/view-coupon/128d9774-646f-4124-b661-3fa8918319e1" TargetMode="External"/><Relationship Id="rId15" Type="http://schemas.openxmlformats.org/officeDocument/2006/relationships/hyperlink" Target="https://sellercentral.amazon.com/coupons/view-coupon/6e501db0-02b3-44f9-b3c0-fbb0dc7fba2b" TargetMode="External"/><Relationship Id="rId14" Type="http://schemas.openxmlformats.org/officeDocument/2006/relationships/hyperlink" Target="https://sellercentral.amazon.com/coupons/view-coupon/128d9774-646f-4124-b661-3fa8918319e1" TargetMode="External"/><Relationship Id="rId17" Type="http://schemas.openxmlformats.org/officeDocument/2006/relationships/hyperlink" Target="https://sellercentral.amazon.com/coupons/view-coupon/db08d040-503d-43f2-b69c-719fbb4027d5" TargetMode="External"/><Relationship Id="rId16" Type="http://schemas.openxmlformats.org/officeDocument/2006/relationships/hyperlink" Target="https://sellercentral.amazon.com/coupons/view-coupon/361956b1-3cba-48c4-ab81-ba7c3adb24c5" TargetMode="External"/><Relationship Id="rId19" Type="http://schemas.openxmlformats.org/officeDocument/2006/relationships/hyperlink" Target="https://www.amazon.com/Envion-Ionic-Pro-Compact-Purifier/dp/B000HEB99A/ref=sr_1_3?crid=342X6G1V50CZO&amp;dib=eyJ2IjoiMSJ9.0DxRi4GccirJiwOvFpdkCQ.HA3vbSRQlKGnAHmIfcyk5K_cahAnPmvEXQs1shQ6BIs&amp;dib_tag=se&amp;keywords=B000HEB99A&amp;nsdOptOutParam=true&amp;qid=1763592572&amp;sprefix=b000heb99a%2Caps%2C259&amp;sr=8-3" TargetMode="External"/><Relationship Id="rId18" Type="http://schemas.openxmlformats.org/officeDocument/2006/relationships/hyperlink" Target="https://sellercentral.amazon.com/coupons/view-coupon/128d9774-646f-4124-b661-3fa8918319e1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sellercentral.amazon.com/coupons/view-coupon/ef262f4e-96a6-4fa6-9977-2aacaaa73ed1" TargetMode="External"/><Relationship Id="rId2" Type="http://schemas.openxmlformats.org/officeDocument/2006/relationships/hyperlink" Target="https://sellercentral.amazon.com/coupons/view-coupon/d9b05d89-4260-4fef-9f2e-74d3cd5e4387" TargetMode="External"/><Relationship Id="rId3" Type="http://schemas.openxmlformats.org/officeDocument/2006/relationships/hyperlink" Target="https://sellercentral.amazon.com/coupons/view-coupon/6afae20e-7ebb-4a86-9b37-f6ad14aaff93" TargetMode="External"/><Relationship Id="rId4" Type="http://schemas.openxmlformats.org/officeDocument/2006/relationships/hyperlink" Target="https://sellercentral.amazon.com/coupons/view-coupon/361956b1-3cba-48c4-ab81-ba7c3adb24c5" TargetMode="External"/><Relationship Id="rId9" Type="http://schemas.openxmlformats.org/officeDocument/2006/relationships/hyperlink" Target="https://sellercentral.amazon.com/coupons/view-coupon/128d9774-646f-4124-b661-3fa8918319e1" TargetMode="External"/><Relationship Id="rId5" Type="http://schemas.openxmlformats.org/officeDocument/2006/relationships/hyperlink" Target="https://sellercentral.amazon.com/coupons/view-coupon/361956b1-3cba-48c4-ab81-ba7c3adb24c5" TargetMode="External"/><Relationship Id="rId6" Type="http://schemas.openxmlformats.org/officeDocument/2006/relationships/hyperlink" Target="https://sellercentral.amazon.com/coupons/view-coupon/128d9774-646f-4124-b661-3fa8918319e1" TargetMode="External"/><Relationship Id="rId7" Type="http://schemas.openxmlformats.org/officeDocument/2006/relationships/hyperlink" Target="https://sellercentral.amazon.com/coupons/view-coupon/128d9774-646f-4124-b661-3fa8918319e1" TargetMode="External"/><Relationship Id="rId8" Type="http://schemas.openxmlformats.org/officeDocument/2006/relationships/hyperlink" Target="https://sellercentral.amazon.com/coupons/view-coupon/361956b1-3cba-48c4-ab81-ba7c3adb24c5" TargetMode="External"/><Relationship Id="rId1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11.5"/>
    <col customWidth="1" min="14" max="14" width="30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</v>
      </c>
      <c r="B3" s="10" t="s">
        <v>2</v>
      </c>
      <c r="C3" s="11" t="s">
        <v>3</v>
      </c>
      <c r="D3" s="10" t="s">
        <v>4</v>
      </c>
      <c r="E3" s="10" t="s">
        <v>5</v>
      </c>
      <c r="F3" s="12" t="s">
        <v>6</v>
      </c>
      <c r="G3" s="13" t="s">
        <v>7</v>
      </c>
      <c r="H3" s="14" t="s">
        <v>8</v>
      </c>
      <c r="I3" s="15" t="s">
        <v>9</v>
      </c>
      <c r="J3" s="16" t="s">
        <v>10</v>
      </c>
      <c r="K3" s="15" t="s">
        <v>11</v>
      </c>
      <c r="L3" s="15" t="s">
        <v>12</v>
      </c>
      <c r="M3" s="15" t="s">
        <v>13</v>
      </c>
      <c r="N3" s="17" t="s">
        <v>14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15</v>
      </c>
      <c r="B4" s="20" t="s">
        <v>16</v>
      </c>
      <c r="C4" s="21" t="s">
        <v>17</v>
      </c>
      <c r="D4" s="22" t="s">
        <v>17</v>
      </c>
      <c r="E4" s="23" t="s">
        <v>18</v>
      </c>
      <c r="F4" s="24" t="s">
        <v>17</v>
      </c>
      <c r="G4" s="24" t="s">
        <v>17</v>
      </c>
      <c r="H4" s="25" t="s">
        <v>17</v>
      </c>
      <c r="I4" s="25" t="s">
        <v>17</v>
      </c>
      <c r="J4" s="26" t="s">
        <v>17</v>
      </c>
      <c r="K4" s="25" t="s">
        <v>17</v>
      </c>
      <c r="L4" s="25" t="s">
        <v>17</v>
      </c>
      <c r="M4" s="25" t="s">
        <v>17</v>
      </c>
      <c r="N4" s="25" t="s">
        <v>17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7"/>
      <c r="B5" s="27"/>
      <c r="C5" s="28" t="s">
        <v>19</v>
      </c>
      <c r="D5" s="15" t="s">
        <v>20</v>
      </c>
      <c r="E5" s="15" t="s">
        <v>21</v>
      </c>
      <c r="F5" s="29">
        <v>329.0</v>
      </c>
      <c r="G5" s="30">
        <v>399.0</v>
      </c>
      <c r="H5" s="31">
        <v>399.0</v>
      </c>
      <c r="I5" s="32"/>
      <c r="J5" s="33"/>
      <c r="K5" s="32"/>
      <c r="L5" s="32"/>
      <c r="M5" s="32"/>
      <c r="N5" s="32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22</v>
      </c>
      <c r="D6" s="15" t="s">
        <v>23</v>
      </c>
      <c r="E6" s="15" t="s">
        <v>24</v>
      </c>
      <c r="F6" s="29">
        <v>319.0</v>
      </c>
      <c r="G6" s="30">
        <v>389.0</v>
      </c>
      <c r="H6" s="31">
        <v>389.0</v>
      </c>
      <c r="I6" s="32"/>
      <c r="J6" s="34" t="s">
        <v>25</v>
      </c>
      <c r="K6" s="32"/>
      <c r="L6" s="32"/>
      <c r="M6" s="32"/>
      <c r="N6" s="32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26</v>
      </c>
      <c r="D7" s="15" t="s">
        <v>27</v>
      </c>
      <c r="E7" s="15" t="s">
        <v>28</v>
      </c>
      <c r="F7" s="35">
        <f t="shared" ref="F7:G7" si="1">F6+50</f>
        <v>369</v>
      </c>
      <c r="G7" s="30">
        <f t="shared" si="1"/>
        <v>439</v>
      </c>
      <c r="H7" s="31">
        <v>439.0</v>
      </c>
      <c r="I7" s="32"/>
      <c r="J7" s="36"/>
      <c r="K7" s="15"/>
      <c r="L7" s="15"/>
      <c r="M7" s="32"/>
      <c r="N7" s="32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29</v>
      </c>
      <c r="D8" s="15" t="s">
        <v>30</v>
      </c>
      <c r="E8" s="37" t="s">
        <v>31</v>
      </c>
      <c r="F8" s="29">
        <v>399.0</v>
      </c>
      <c r="G8" s="30">
        <v>489.0</v>
      </c>
      <c r="H8" s="31">
        <v>489.0</v>
      </c>
      <c r="I8" s="32"/>
      <c r="J8" s="36"/>
      <c r="K8" s="15"/>
      <c r="L8" s="15"/>
      <c r="M8" s="32"/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8"/>
      <c r="B9" s="27"/>
      <c r="C9" s="28" t="s">
        <v>32</v>
      </c>
      <c r="D9" s="37" t="s">
        <v>33</v>
      </c>
      <c r="E9" s="15" t="s">
        <v>34</v>
      </c>
      <c r="F9" s="29">
        <v>629.0</v>
      </c>
      <c r="G9" s="30">
        <v>629.0</v>
      </c>
      <c r="H9" s="31">
        <v>519.0</v>
      </c>
      <c r="I9" s="32"/>
      <c r="J9" s="36"/>
      <c r="K9" s="15"/>
      <c r="L9" s="15"/>
      <c r="M9" s="32"/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27"/>
      <c r="C10" s="28" t="s">
        <v>35</v>
      </c>
      <c r="D10" s="15" t="s">
        <v>36</v>
      </c>
      <c r="E10" s="15" t="s">
        <v>37</v>
      </c>
      <c r="F10" s="35">
        <f>F9+50</f>
        <v>679</v>
      </c>
      <c r="G10" s="30">
        <v>679.0</v>
      </c>
      <c r="H10" s="31">
        <v>569.0</v>
      </c>
      <c r="I10" s="32"/>
      <c r="J10" s="36"/>
      <c r="K10" s="15"/>
      <c r="L10" s="15"/>
      <c r="M10" s="32"/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38</v>
      </c>
      <c r="D11" s="15" t="s">
        <v>39</v>
      </c>
      <c r="E11" s="15" t="s">
        <v>40</v>
      </c>
      <c r="F11" s="29">
        <v>699.0</v>
      </c>
      <c r="G11" s="30">
        <v>999.0</v>
      </c>
      <c r="H11" s="31">
        <v>999.0</v>
      </c>
      <c r="I11" s="32"/>
      <c r="J11" s="36" t="s">
        <v>41</v>
      </c>
      <c r="K11" s="15"/>
      <c r="L11" s="15"/>
      <c r="M11" s="32"/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42</v>
      </c>
      <c r="D12" s="15" t="s">
        <v>43</v>
      </c>
      <c r="E12" s="15" t="s">
        <v>44</v>
      </c>
      <c r="F12" s="35">
        <f>F11+50</f>
        <v>749</v>
      </c>
      <c r="G12" s="30">
        <v>1049.0</v>
      </c>
      <c r="H12" s="31">
        <v>1049.0</v>
      </c>
      <c r="I12" s="32"/>
      <c r="J12" s="36" t="s">
        <v>41</v>
      </c>
      <c r="K12" s="15"/>
      <c r="L12" s="15"/>
      <c r="M12" s="32"/>
      <c r="N12" s="3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1" t="s">
        <v>17</v>
      </c>
      <c r="D13" s="22" t="s">
        <v>17</v>
      </c>
      <c r="E13" s="23" t="s">
        <v>45</v>
      </c>
      <c r="F13" s="24" t="s">
        <v>17</v>
      </c>
      <c r="G13" s="24" t="s">
        <v>17</v>
      </c>
      <c r="H13" s="25" t="s">
        <v>17</v>
      </c>
      <c r="I13" s="25" t="s">
        <v>17</v>
      </c>
      <c r="J13" s="25" t="s">
        <v>17</v>
      </c>
      <c r="K13" s="25" t="s">
        <v>17</v>
      </c>
      <c r="L13" s="25" t="s">
        <v>17</v>
      </c>
      <c r="M13" s="25" t="s">
        <v>17</v>
      </c>
      <c r="N13" s="25" t="s">
        <v>17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39" t="s">
        <v>46</v>
      </c>
      <c r="D14" s="40" t="s">
        <v>47</v>
      </c>
      <c r="E14" s="15" t="s">
        <v>48</v>
      </c>
      <c r="F14" s="35">
        <f t="shared" ref="F14:F32" si="2">G14*0.9</f>
        <v>71.991</v>
      </c>
      <c r="G14" s="41">
        <v>79.99</v>
      </c>
      <c r="H14" s="42">
        <v>89.95</v>
      </c>
      <c r="I14" s="32"/>
      <c r="J14" s="40"/>
      <c r="K14" s="15"/>
      <c r="L14" s="15"/>
      <c r="M14" s="32"/>
      <c r="N14" s="32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49</v>
      </c>
      <c r="D15" s="40" t="s">
        <v>50</v>
      </c>
      <c r="E15" s="15" t="s">
        <v>51</v>
      </c>
      <c r="F15" s="35">
        <f t="shared" si="2"/>
        <v>103.491</v>
      </c>
      <c r="G15" s="41">
        <v>114.99</v>
      </c>
      <c r="H15" s="42">
        <v>124.95</v>
      </c>
      <c r="I15" s="32"/>
      <c r="J15" s="40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52</v>
      </c>
      <c r="D16" s="40" t="s">
        <v>53</v>
      </c>
      <c r="E16" s="15" t="s">
        <v>54</v>
      </c>
      <c r="F16" s="35">
        <f t="shared" si="2"/>
        <v>40.455</v>
      </c>
      <c r="G16" s="41">
        <v>44.95</v>
      </c>
      <c r="H16" s="42">
        <v>54.95</v>
      </c>
      <c r="I16" s="32"/>
      <c r="J16" s="40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55</v>
      </c>
      <c r="D17" s="40" t="s">
        <v>56</v>
      </c>
      <c r="E17" s="15" t="s">
        <v>57</v>
      </c>
      <c r="F17" s="35">
        <f t="shared" si="2"/>
        <v>13.491</v>
      </c>
      <c r="G17" s="41">
        <v>14.99</v>
      </c>
      <c r="H17" s="42">
        <v>24.95</v>
      </c>
      <c r="I17" s="32"/>
      <c r="J17" s="40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58</v>
      </c>
      <c r="D18" s="40" t="s">
        <v>59</v>
      </c>
      <c r="E18" s="15" t="s">
        <v>60</v>
      </c>
      <c r="F18" s="35">
        <f t="shared" si="2"/>
        <v>40.455</v>
      </c>
      <c r="G18" s="41">
        <v>44.95</v>
      </c>
      <c r="H18" s="42">
        <v>54.95</v>
      </c>
      <c r="I18" s="32"/>
      <c r="J18" s="40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61</v>
      </c>
      <c r="D19" s="40" t="s">
        <v>62</v>
      </c>
      <c r="E19" s="15" t="s">
        <v>63</v>
      </c>
      <c r="F19" s="35">
        <f t="shared" si="2"/>
        <v>137.691</v>
      </c>
      <c r="G19" s="41">
        <v>152.99</v>
      </c>
      <c r="H19" s="31">
        <v>178.0</v>
      </c>
      <c r="I19" s="32"/>
      <c r="J19" s="40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64</v>
      </c>
      <c r="D20" s="40" t="s">
        <v>65</v>
      </c>
      <c r="E20" s="15" t="s">
        <v>66</v>
      </c>
      <c r="F20" s="35">
        <f t="shared" si="2"/>
        <v>53.955</v>
      </c>
      <c r="G20" s="41">
        <v>59.95</v>
      </c>
      <c r="H20" s="42">
        <v>69.9</v>
      </c>
      <c r="I20" s="32"/>
      <c r="J20" s="40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67</v>
      </c>
      <c r="D21" s="40" t="s">
        <v>68</v>
      </c>
      <c r="E21" s="15" t="s">
        <v>69</v>
      </c>
      <c r="F21" s="35">
        <f t="shared" si="2"/>
        <v>17.955</v>
      </c>
      <c r="G21" s="41">
        <v>19.95</v>
      </c>
      <c r="H21" s="42">
        <v>24.95</v>
      </c>
      <c r="I21" s="32"/>
      <c r="J21" s="40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70</v>
      </c>
      <c r="D22" s="40" t="s">
        <v>71</v>
      </c>
      <c r="E22" s="15" t="s">
        <v>72</v>
      </c>
      <c r="F22" s="35">
        <f t="shared" si="2"/>
        <v>53.955</v>
      </c>
      <c r="G22" s="41">
        <v>59.95</v>
      </c>
      <c r="H22" s="42">
        <v>69.95</v>
      </c>
      <c r="I22" s="32"/>
      <c r="J22" s="40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73</v>
      </c>
      <c r="D23" s="40" t="s">
        <v>74</v>
      </c>
      <c r="E23" s="15" t="s">
        <v>75</v>
      </c>
      <c r="F23" s="35">
        <f t="shared" si="2"/>
        <v>287.091</v>
      </c>
      <c r="G23" s="41">
        <v>318.99</v>
      </c>
      <c r="H23" s="42">
        <v>343.99</v>
      </c>
      <c r="I23" s="32"/>
      <c r="J23" s="40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76</v>
      </c>
      <c r="D24" s="40" t="s">
        <v>77</v>
      </c>
      <c r="E24" s="15" t="s">
        <v>78</v>
      </c>
      <c r="F24" s="35">
        <f t="shared" si="2"/>
        <v>112.5</v>
      </c>
      <c r="G24" s="30">
        <v>125.0</v>
      </c>
      <c r="H24" s="42">
        <v>134.92</v>
      </c>
      <c r="I24" s="32"/>
      <c r="J24" s="40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79</v>
      </c>
      <c r="D25" s="40" t="s">
        <v>80</v>
      </c>
      <c r="E25" s="15" t="s">
        <v>81</v>
      </c>
      <c r="F25" s="35">
        <f t="shared" si="2"/>
        <v>31.5</v>
      </c>
      <c r="G25" s="30">
        <v>35.0</v>
      </c>
      <c r="H25" s="42">
        <v>44.95</v>
      </c>
      <c r="I25" s="32"/>
      <c r="J25" s="40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82</v>
      </c>
      <c r="D26" s="40" t="s">
        <v>83</v>
      </c>
      <c r="E26" s="15" t="s">
        <v>84</v>
      </c>
      <c r="F26" s="35">
        <f t="shared" si="2"/>
        <v>112.5</v>
      </c>
      <c r="G26" s="30">
        <v>125.0</v>
      </c>
      <c r="H26" s="42">
        <v>134.95</v>
      </c>
      <c r="I26" s="32"/>
      <c r="J26" s="40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85</v>
      </c>
      <c r="D27" s="40" t="s">
        <v>86</v>
      </c>
      <c r="E27" s="15" t="s">
        <v>87</v>
      </c>
      <c r="F27" s="35">
        <f t="shared" si="2"/>
        <v>44.955</v>
      </c>
      <c r="G27" s="41">
        <v>49.95</v>
      </c>
      <c r="H27" s="42">
        <v>59.95</v>
      </c>
      <c r="I27" s="32"/>
      <c r="J27" s="40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88</v>
      </c>
      <c r="D28" s="40" t="s">
        <v>89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40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90</v>
      </c>
      <c r="D29" s="40" t="s">
        <v>91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40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92</v>
      </c>
      <c r="D30" s="40" t="s">
        <v>93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94</v>
      </c>
      <c r="D31" s="40" t="s">
        <v>95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96</v>
      </c>
      <c r="D32" s="40" t="s">
        <v>97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0" t="s">
        <v>98</v>
      </c>
      <c r="C33" s="21" t="s">
        <v>17</v>
      </c>
      <c r="D33" s="22" t="s">
        <v>17</v>
      </c>
      <c r="E33" s="23" t="s">
        <v>99</v>
      </c>
      <c r="F33" s="24" t="s">
        <v>17</v>
      </c>
      <c r="G33" s="24" t="s">
        <v>17</v>
      </c>
      <c r="H33" s="25" t="s">
        <v>17</v>
      </c>
      <c r="I33" s="25" t="s">
        <v>17</v>
      </c>
      <c r="J33" s="25" t="s">
        <v>17</v>
      </c>
      <c r="K33" s="25" t="s">
        <v>17</v>
      </c>
      <c r="L33" s="25" t="s">
        <v>17</v>
      </c>
      <c r="M33" s="25" t="s">
        <v>17</v>
      </c>
      <c r="N33" s="25" t="s">
        <v>17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7"/>
      <c r="C34" s="43" t="s">
        <v>100</v>
      </c>
      <c r="D34" s="15" t="s">
        <v>101</v>
      </c>
      <c r="E34" s="15" t="s">
        <v>102</v>
      </c>
      <c r="F34" s="35">
        <f t="shared" ref="F34:F35" si="3">G34*0.8</f>
        <v>359.2</v>
      </c>
      <c r="G34" s="41">
        <v>449.0</v>
      </c>
      <c r="H34" s="31">
        <v>449.0</v>
      </c>
      <c r="I34" s="32"/>
      <c r="J34" s="44"/>
      <c r="K34" s="44"/>
      <c r="L34" s="44"/>
      <c r="M34" s="32"/>
      <c r="N34" s="32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5" t="s">
        <v>103</v>
      </c>
      <c r="D35" s="15" t="s">
        <v>104</v>
      </c>
      <c r="E35" s="15" t="s">
        <v>105</v>
      </c>
      <c r="F35" s="35">
        <f t="shared" si="3"/>
        <v>375.2</v>
      </c>
      <c r="G35" s="41">
        <v>469.0</v>
      </c>
      <c r="H35" s="31">
        <v>469.0</v>
      </c>
      <c r="I35" s="32"/>
      <c r="J35" s="44"/>
      <c r="K35" s="44"/>
      <c r="L35" s="44"/>
      <c r="M35" s="32"/>
      <c r="N35" s="32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28" t="s">
        <v>106</v>
      </c>
      <c r="D36" s="15" t="s">
        <v>107</v>
      </c>
      <c r="E36" s="15" t="s">
        <v>108</v>
      </c>
      <c r="F36" s="35"/>
      <c r="G36" s="46"/>
      <c r="H36" s="31">
        <v>464.0</v>
      </c>
      <c r="I36" s="32"/>
      <c r="J36" s="44"/>
      <c r="K36" s="44"/>
      <c r="L36" s="44"/>
      <c r="M36" s="32"/>
      <c r="N36" s="32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109</v>
      </c>
      <c r="D37" s="15" t="s">
        <v>110</v>
      </c>
      <c r="E37" s="15" t="s">
        <v>111</v>
      </c>
      <c r="F37" s="35">
        <f t="shared" ref="F37:F42" si="4">G37*0.8</f>
        <v>399.2</v>
      </c>
      <c r="G37" s="41">
        <v>499.0</v>
      </c>
      <c r="H37" s="31">
        <v>499.0</v>
      </c>
      <c r="I37" s="32"/>
      <c r="J37" s="44"/>
      <c r="K37" s="44"/>
      <c r="L37" s="44"/>
      <c r="M37" s="32"/>
      <c r="N37" s="32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43" t="s">
        <v>112</v>
      </c>
      <c r="D38" s="15" t="s">
        <v>113</v>
      </c>
      <c r="E38" s="15" t="s">
        <v>114</v>
      </c>
      <c r="F38" s="35">
        <f t="shared" si="4"/>
        <v>415.2</v>
      </c>
      <c r="G38" s="41">
        <v>519.0</v>
      </c>
      <c r="H38" s="31">
        <v>519.0</v>
      </c>
      <c r="I38" s="32"/>
      <c r="J38" s="44"/>
      <c r="K38" s="44"/>
      <c r="L38" s="44"/>
      <c r="M38" s="32"/>
      <c r="N38" s="32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115</v>
      </c>
      <c r="D39" s="15" t="s">
        <v>116</v>
      </c>
      <c r="E39" s="15" t="s">
        <v>117</v>
      </c>
      <c r="F39" s="35">
        <f t="shared" si="4"/>
        <v>287.2</v>
      </c>
      <c r="G39" s="41">
        <v>359.0</v>
      </c>
      <c r="H39" s="31">
        <v>359.0</v>
      </c>
      <c r="I39" s="32"/>
      <c r="J39" s="44"/>
      <c r="K39" s="44"/>
      <c r="L39" s="44"/>
      <c r="M39" s="32"/>
      <c r="N39" s="32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118</v>
      </c>
      <c r="D40" s="15" t="s">
        <v>119</v>
      </c>
      <c r="E40" s="15" t="s">
        <v>120</v>
      </c>
      <c r="F40" s="35">
        <f t="shared" si="4"/>
        <v>303.2</v>
      </c>
      <c r="G40" s="47">
        <v>379.0</v>
      </c>
      <c r="H40" s="31">
        <v>379.0</v>
      </c>
      <c r="I40" s="32"/>
      <c r="J40" s="44"/>
      <c r="K40" s="44"/>
      <c r="L40" s="44"/>
      <c r="M40" s="32"/>
      <c r="N40" s="32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28" t="s">
        <v>121</v>
      </c>
      <c r="D41" s="15" t="s">
        <v>122</v>
      </c>
      <c r="E41" s="15" t="s">
        <v>123</v>
      </c>
      <c r="F41" s="35">
        <f t="shared" si="4"/>
        <v>287.2</v>
      </c>
      <c r="G41" s="41">
        <v>359.0</v>
      </c>
      <c r="H41" s="31">
        <v>369.0</v>
      </c>
      <c r="I41" s="32"/>
      <c r="J41" s="44"/>
      <c r="K41" s="44"/>
      <c r="L41" s="44"/>
      <c r="M41" s="32"/>
      <c r="N41" s="32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43" t="s">
        <v>124</v>
      </c>
      <c r="D42" s="15" t="s">
        <v>125</v>
      </c>
      <c r="E42" s="15" t="s">
        <v>126</v>
      </c>
      <c r="F42" s="35">
        <f t="shared" si="4"/>
        <v>303.2</v>
      </c>
      <c r="G42" s="48">
        <v>379.0</v>
      </c>
      <c r="H42" s="31">
        <v>389.0</v>
      </c>
      <c r="I42" s="32"/>
      <c r="J42" s="44"/>
      <c r="K42" s="44"/>
      <c r="L42" s="44"/>
      <c r="M42" s="32"/>
      <c r="N42" s="32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21" t="s">
        <v>17</v>
      </c>
      <c r="D43" s="22" t="s">
        <v>17</v>
      </c>
      <c r="E43" s="23" t="s">
        <v>127</v>
      </c>
      <c r="F43" s="24" t="s">
        <v>17</v>
      </c>
      <c r="G43" s="24" t="s">
        <v>17</v>
      </c>
      <c r="H43" s="25" t="s">
        <v>17</v>
      </c>
      <c r="I43" s="25" t="s">
        <v>17</v>
      </c>
      <c r="J43" s="25" t="s">
        <v>17</v>
      </c>
      <c r="K43" s="25" t="s">
        <v>17</v>
      </c>
      <c r="L43" s="25" t="s">
        <v>17</v>
      </c>
      <c r="M43" s="25" t="s">
        <v>17</v>
      </c>
      <c r="N43" s="25" t="s">
        <v>17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43" t="s">
        <v>128</v>
      </c>
      <c r="D44" s="49" t="s">
        <v>129</v>
      </c>
      <c r="E44" s="32" t="s">
        <v>130</v>
      </c>
      <c r="F44" s="50">
        <f t="shared" ref="F44:F53" si="5">H44</f>
        <v>59.95</v>
      </c>
      <c r="G44" s="51">
        <f t="shared" ref="G44:G53" si="6">H44</f>
        <v>59.95</v>
      </c>
      <c r="H44" s="52">
        <v>59.95</v>
      </c>
      <c r="I44" s="32"/>
      <c r="J44" s="44"/>
      <c r="K44" s="44"/>
      <c r="L44" s="44"/>
      <c r="M44" s="32"/>
      <c r="N44" s="32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131</v>
      </c>
      <c r="D45" s="15" t="s">
        <v>132</v>
      </c>
      <c r="E45" s="32" t="s">
        <v>133</v>
      </c>
      <c r="F45" s="50">
        <f t="shared" si="5"/>
        <v>59.95</v>
      </c>
      <c r="G45" s="51">
        <f t="shared" si="6"/>
        <v>59.95</v>
      </c>
      <c r="H45" s="52">
        <v>59.95</v>
      </c>
      <c r="I45" s="32"/>
      <c r="J45" s="44"/>
      <c r="K45" s="44"/>
      <c r="L45" s="44"/>
      <c r="M45" s="32"/>
      <c r="N45" s="32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43" t="s">
        <v>134</v>
      </c>
      <c r="D46" s="15" t="s">
        <v>135</v>
      </c>
      <c r="E46" s="32" t="s">
        <v>136</v>
      </c>
      <c r="F46" s="50">
        <f t="shared" si="5"/>
        <v>33.95</v>
      </c>
      <c r="G46" s="51">
        <f t="shared" si="6"/>
        <v>33.95</v>
      </c>
      <c r="H46" s="52">
        <v>33.95</v>
      </c>
      <c r="I46" s="32"/>
      <c r="J46" s="32"/>
      <c r="K46" s="32"/>
      <c r="L46" s="32"/>
      <c r="M46" s="32"/>
      <c r="N46" s="32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137</v>
      </c>
      <c r="D47" s="15" t="s">
        <v>138</v>
      </c>
      <c r="E47" s="32" t="s">
        <v>139</v>
      </c>
      <c r="F47" s="50">
        <f t="shared" si="5"/>
        <v>42.95</v>
      </c>
      <c r="G47" s="51">
        <f t="shared" si="6"/>
        <v>42.95</v>
      </c>
      <c r="H47" s="52">
        <v>42.95</v>
      </c>
      <c r="I47" s="32"/>
      <c r="J47" s="32"/>
      <c r="K47" s="32"/>
      <c r="L47" s="32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140</v>
      </c>
      <c r="D48" s="15" t="s">
        <v>141</v>
      </c>
      <c r="E48" s="32" t="s">
        <v>142</v>
      </c>
      <c r="F48" s="50">
        <f t="shared" si="5"/>
        <v>79.95</v>
      </c>
      <c r="G48" s="51">
        <f t="shared" si="6"/>
        <v>79.95</v>
      </c>
      <c r="H48" s="52">
        <v>79.95</v>
      </c>
      <c r="I48" s="32"/>
      <c r="J48" s="32"/>
      <c r="K48" s="32"/>
      <c r="L48" s="32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143</v>
      </c>
      <c r="D49" s="15" t="s">
        <v>144</v>
      </c>
      <c r="E49" s="15" t="s">
        <v>145</v>
      </c>
      <c r="F49" s="50">
        <f t="shared" si="5"/>
        <v>42.95</v>
      </c>
      <c r="G49" s="51">
        <f t="shared" si="6"/>
        <v>42.95</v>
      </c>
      <c r="H49" s="52">
        <v>42.95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146</v>
      </c>
      <c r="D50" s="15" t="s">
        <v>147</v>
      </c>
      <c r="E50" s="15" t="s">
        <v>148</v>
      </c>
      <c r="F50" s="50">
        <f t="shared" si="5"/>
        <v>59.95</v>
      </c>
      <c r="G50" s="51">
        <f t="shared" si="6"/>
        <v>59.95</v>
      </c>
      <c r="H50" s="52">
        <v>59.95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149</v>
      </c>
      <c r="D51" s="15" t="s">
        <v>150</v>
      </c>
      <c r="E51" s="15" t="s">
        <v>151</v>
      </c>
      <c r="F51" s="50">
        <f t="shared" si="5"/>
        <v>33.95</v>
      </c>
      <c r="G51" s="51">
        <f t="shared" si="6"/>
        <v>33.95</v>
      </c>
      <c r="H51" s="52">
        <v>33.95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152</v>
      </c>
      <c r="D52" s="53" t="s">
        <v>153</v>
      </c>
      <c r="E52" s="15" t="s">
        <v>154</v>
      </c>
      <c r="F52" s="50">
        <f t="shared" si="5"/>
        <v>80</v>
      </c>
      <c r="G52" s="51">
        <f t="shared" si="6"/>
        <v>80</v>
      </c>
      <c r="H52" s="54">
        <v>80.0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38"/>
      <c r="C53" s="28" t="s">
        <v>155</v>
      </c>
      <c r="D53" s="53" t="s">
        <v>156</v>
      </c>
      <c r="E53" s="15" t="s">
        <v>157</v>
      </c>
      <c r="F53" s="50">
        <f t="shared" si="5"/>
        <v>29.95</v>
      </c>
      <c r="G53" s="51">
        <f t="shared" si="6"/>
        <v>29.95</v>
      </c>
      <c r="H53" s="52">
        <v>29.95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0" t="s">
        <v>158</v>
      </c>
      <c r="C54" s="21" t="s">
        <v>17</v>
      </c>
      <c r="D54" s="22" t="s">
        <v>17</v>
      </c>
      <c r="E54" s="23" t="s">
        <v>159</v>
      </c>
      <c r="F54" s="24" t="s">
        <v>17</v>
      </c>
      <c r="G54" s="24" t="s">
        <v>17</v>
      </c>
      <c r="H54" s="25" t="s">
        <v>17</v>
      </c>
      <c r="I54" s="25" t="s">
        <v>17</v>
      </c>
      <c r="J54" s="25" t="s">
        <v>17</v>
      </c>
      <c r="K54" s="25" t="s">
        <v>17</v>
      </c>
      <c r="L54" s="25" t="s">
        <v>17</v>
      </c>
      <c r="M54" s="25" t="s">
        <v>17</v>
      </c>
      <c r="N54" s="25" t="s">
        <v>17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55" t="s">
        <v>160</v>
      </c>
      <c r="D55" s="15" t="s">
        <v>161</v>
      </c>
      <c r="E55" s="15" t="s">
        <v>162</v>
      </c>
      <c r="F55" s="50">
        <f t="shared" ref="F55:F57" si="7">H55*80%</f>
        <v>208</v>
      </c>
      <c r="G55" s="56">
        <v>260.0</v>
      </c>
      <c r="H55" s="52">
        <v>260.0</v>
      </c>
      <c r="I55" s="57" t="s">
        <v>163</v>
      </c>
      <c r="J55" s="57" t="s">
        <v>163</v>
      </c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55" t="s">
        <v>164</v>
      </c>
      <c r="D56" s="15" t="s">
        <v>165</v>
      </c>
      <c r="E56" s="15" t="s">
        <v>166</v>
      </c>
      <c r="F56" s="50">
        <f t="shared" si="7"/>
        <v>208</v>
      </c>
      <c r="G56" s="56">
        <v>260.0</v>
      </c>
      <c r="H56" s="52">
        <v>260.0</v>
      </c>
      <c r="I56" s="57" t="s">
        <v>163</v>
      </c>
      <c r="J56" s="57" t="s">
        <v>163</v>
      </c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7"/>
      <c r="C57" s="55" t="s">
        <v>167</v>
      </c>
      <c r="D57" s="15" t="s">
        <v>168</v>
      </c>
      <c r="E57" s="15" t="s">
        <v>169</v>
      </c>
      <c r="F57" s="50">
        <f t="shared" si="7"/>
        <v>208</v>
      </c>
      <c r="G57" s="56">
        <v>260.0</v>
      </c>
      <c r="H57" s="52">
        <v>260.0</v>
      </c>
      <c r="I57" s="57" t="s">
        <v>163</v>
      </c>
      <c r="J57" s="57" t="s">
        <v>163</v>
      </c>
      <c r="K57" s="32"/>
      <c r="L57" s="32"/>
      <c r="M57" s="32"/>
      <c r="N57" s="32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21" t="s">
        <v>17</v>
      </c>
      <c r="D58" s="22" t="s">
        <v>17</v>
      </c>
      <c r="E58" s="23" t="s">
        <v>170</v>
      </c>
      <c r="F58" s="24" t="s">
        <v>17</v>
      </c>
      <c r="G58" s="24" t="s">
        <v>17</v>
      </c>
      <c r="H58" s="25" t="s">
        <v>17</v>
      </c>
      <c r="I58" s="25" t="s">
        <v>17</v>
      </c>
      <c r="J58" s="25" t="s">
        <v>17</v>
      </c>
      <c r="K58" s="25" t="s">
        <v>17</v>
      </c>
      <c r="L58" s="25" t="s">
        <v>17</v>
      </c>
      <c r="M58" s="25" t="s">
        <v>17</v>
      </c>
      <c r="N58" s="25" t="s">
        <v>17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171</v>
      </c>
      <c r="D59" s="15" t="s">
        <v>172</v>
      </c>
      <c r="E59" s="15" t="s">
        <v>173</v>
      </c>
      <c r="F59" s="50">
        <f t="shared" ref="F59:F65" si="8">H59*70%</f>
        <v>51.1</v>
      </c>
      <c r="G59" s="56">
        <v>73.0</v>
      </c>
      <c r="H59" s="52">
        <v>73.0</v>
      </c>
      <c r="I59" s="57" t="s">
        <v>174</v>
      </c>
      <c r="J59" s="57" t="s">
        <v>174</v>
      </c>
      <c r="K59" s="32"/>
      <c r="L59" s="57" t="s">
        <v>175</v>
      </c>
      <c r="M59" s="57" t="s">
        <v>175</v>
      </c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176</v>
      </c>
      <c r="D60" s="15" t="s">
        <v>177</v>
      </c>
      <c r="E60" s="15" t="s">
        <v>178</v>
      </c>
      <c r="F60" s="50">
        <f t="shared" si="8"/>
        <v>51.1</v>
      </c>
      <c r="G60" s="56">
        <v>73.0</v>
      </c>
      <c r="H60" s="52">
        <v>73.0</v>
      </c>
      <c r="I60" s="57" t="s">
        <v>174</v>
      </c>
      <c r="J60" s="57" t="s">
        <v>174</v>
      </c>
      <c r="K60" s="32"/>
      <c r="L60" s="57" t="s">
        <v>175</v>
      </c>
      <c r="M60" s="57" t="s">
        <v>175</v>
      </c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179</v>
      </c>
      <c r="D61" s="15" t="s">
        <v>180</v>
      </c>
      <c r="E61" s="15" t="s">
        <v>181</v>
      </c>
      <c r="F61" s="50">
        <f t="shared" si="8"/>
        <v>57.365</v>
      </c>
      <c r="G61" s="56">
        <v>81.95</v>
      </c>
      <c r="H61" s="52">
        <v>81.95</v>
      </c>
      <c r="I61" s="57" t="s">
        <v>174</v>
      </c>
      <c r="J61" s="57" t="s">
        <v>174</v>
      </c>
      <c r="K61" s="32"/>
      <c r="L61" s="57" t="s">
        <v>175</v>
      </c>
      <c r="M61" s="57" t="s">
        <v>175</v>
      </c>
      <c r="N61" s="32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182</v>
      </c>
      <c r="D62" s="15" t="s">
        <v>183</v>
      </c>
      <c r="E62" s="15" t="s">
        <v>184</v>
      </c>
      <c r="F62" s="50">
        <f t="shared" si="8"/>
        <v>60.865</v>
      </c>
      <c r="G62" s="56">
        <v>86.95</v>
      </c>
      <c r="H62" s="52">
        <v>86.95</v>
      </c>
      <c r="I62" s="57" t="s">
        <v>174</v>
      </c>
      <c r="J62" s="57" t="s">
        <v>174</v>
      </c>
      <c r="K62" s="32"/>
      <c r="L62" s="57" t="s">
        <v>175</v>
      </c>
      <c r="M62" s="57" t="s">
        <v>175</v>
      </c>
      <c r="N62" s="32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185</v>
      </c>
      <c r="D63" s="15" t="s">
        <v>186</v>
      </c>
      <c r="E63" s="15" t="s">
        <v>187</v>
      </c>
      <c r="F63" s="50">
        <f t="shared" si="8"/>
        <v>67.165</v>
      </c>
      <c r="G63" s="56">
        <v>95.95</v>
      </c>
      <c r="H63" s="52">
        <v>95.95</v>
      </c>
      <c r="I63" s="57" t="s">
        <v>174</v>
      </c>
      <c r="J63" s="57" t="s">
        <v>174</v>
      </c>
      <c r="K63" s="32"/>
      <c r="L63" s="57" t="s">
        <v>175</v>
      </c>
      <c r="M63" s="57" t="s">
        <v>175</v>
      </c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188</v>
      </c>
      <c r="D64" s="15" t="s">
        <v>189</v>
      </c>
      <c r="E64" s="15" t="s">
        <v>190</v>
      </c>
      <c r="F64" s="50">
        <f t="shared" si="8"/>
        <v>74.865</v>
      </c>
      <c r="G64" s="56">
        <v>106.95</v>
      </c>
      <c r="H64" s="52">
        <v>106.95</v>
      </c>
      <c r="I64" s="57" t="s">
        <v>174</v>
      </c>
      <c r="J64" s="57" t="s">
        <v>174</v>
      </c>
      <c r="K64" s="32"/>
      <c r="L64" s="57" t="s">
        <v>175</v>
      </c>
      <c r="M64" s="57" t="s">
        <v>175</v>
      </c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39" t="s">
        <v>191</v>
      </c>
      <c r="D65" s="15" t="s">
        <v>192</v>
      </c>
      <c r="E65" s="15" t="s">
        <v>193</v>
      </c>
      <c r="F65" s="50">
        <f t="shared" si="8"/>
        <v>74.865</v>
      </c>
      <c r="G65" s="56">
        <v>106.95</v>
      </c>
      <c r="H65" s="52">
        <v>106.95</v>
      </c>
      <c r="I65" s="57" t="s">
        <v>174</v>
      </c>
      <c r="J65" s="57" t="s">
        <v>174</v>
      </c>
      <c r="K65" s="32"/>
      <c r="L65" s="57" t="s">
        <v>175</v>
      </c>
      <c r="M65" s="57" t="s">
        <v>175</v>
      </c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21" t="s">
        <v>17</v>
      </c>
      <c r="D66" s="22" t="s">
        <v>17</v>
      </c>
      <c r="E66" s="23" t="s">
        <v>194</v>
      </c>
      <c r="F66" s="24" t="s">
        <v>17</v>
      </c>
      <c r="G66" s="24" t="s">
        <v>17</v>
      </c>
      <c r="H66" s="25" t="s">
        <v>17</v>
      </c>
      <c r="I66" s="25" t="s">
        <v>17</v>
      </c>
      <c r="J66" s="25" t="s">
        <v>17</v>
      </c>
      <c r="K66" s="25" t="s">
        <v>17</v>
      </c>
      <c r="L66" s="25" t="s">
        <v>17</v>
      </c>
      <c r="M66" s="25" t="s">
        <v>17</v>
      </c>
      <c r="N66" s="25" t="s">
        <v>17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195</v>
      </c>
      <c r="D67" s="15" t="s">
        <v>196</v>
      </c>
      <c r="E67" s="15" t="s">
        <v>197</v>
      </c>
      <c r="F67" s="50">
        <f t="shared" ref="F67:F75" si="9">H67*70%</f>
        <v>18.2</v>
      </c>
      <c r="G67" s="56">
        <v>26.0</v>
      </c>
      <c r="H67" s="54">
        <v>26.0</v>
      </c>
      <c r="I67" s="57" t="s">
        <v>174</v>
      </c>
      <c r="J67" s="57" t="s">
        <v>174</v>
      </c>
      <c r="K67" s="32"/>
      <c r="L67" s="57" t="s">
        <v>175</v>
      </c>
      <c r="M67" s="57" t="s">
        <v>175</v>
      </c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55" t="s">
        <v>198</v>
      </c>
      <c r="D68" s="15" t="s">
        <v>199</v>
      </c>
      <c r="E68" s="15" t="s">
        <v>200</v>
      </c>
      <c r="F68" s="50">
        <f t="shared" si="9"/>
        <v>18.2</v>
      </c>
      <c r="G68" s="56">
        <v>26.0</v>
      </c>
      <c r="H68" s="54">
        <v>26.0</v>
      </c>
      <c r="I68" s="57" t="s">
        <v>174</v>
      </c>
      <c r="J68" s="57" t="s">
        <v>174</v>
      </c>
      <c r="K68" s="32"/>
      <c r="L68" s="57" t="s">
        <v>175</v>
      </c>
      <c r="M68" s="57" t="s">
        <v>175</v>
      </c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55" t="s">
        <v>201</v>
      </c>
      <c r="D69" s="15" t="s">
        <v>202</v>
      </c>
      <c r="E69" s="15" t="s">
        <v>203</v>
      </c>
      <c r="F69" s="50">
        <f t="shared" si="9"/>
        <v>21</v>
      </c>
      <c r="G69" s="56">
        <v>30.0</v>
      </c>
      <c r="H69" s="54">
        <v>30.0</v>
      </c>
      <c r="I69" s="57" t="s">
        <v>174</v>
      </c>
      <c r="J69" s="57" t="s">
        <v>174</v>
      </c>
      <c r="K69" s="32"/>
      <c r="L69" s="57" t="s">
        <v>175</v>
      </c>
      <c r="M69" s="57" t="s">
        <v>175</v>
      </c>
      <c r="N69" s="32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204</v>
      </c>
      <c r="D70" s="15" t="s">
        <v>205</v>
      </c>
      <c r="E70" s="15" t="s">
        <v>206</v>
      </c>
      <c r="F70" s="50">
        <f t="shared" si="9"/>
        <v>12.6</v>
      </c>
      <c r="G70" s="56">
        <v>18.0</v>
      </c>
      <c r="H70" s="52">
        <v>18.0</v>
      </c>
      <c r="I70" s="57" t="s">
        <v>174</v>
      </c>
      <c r="J70" s="57" t="s">
        <v>174</v>
      </c>
      <c r="K70" s="32"/>
      <c r="L70" s="57" t="s">
        <v>175</v>
      </c>
      <c r="M70" s="57" t="s">
        <v>175</v>
      </c>
      <c r="N70" s="32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207</v>
      </c>
      <c r="D71" s="15" t="s">
        <v>208</v>
      </c>
      <c r="E71" s="15" t="s">
        <v>209</v>
      </c>
      <c r="F71" s="50">
        <f t="shared" si="9"/>
        <v>15.4</v>
      </c>
      <c r="G71" s="56">
        <v>22.0</v>
      </c>
      <c r="H71" s="54">
        <v>22.0</v>
      </c>
      <c r="I71" s="57" t="s">
        <v>174</v>
      </c>
      <c r="J71" s="57" t="s">
        <v>174</v>
      </c>
      <c r="K71" s="32"/>
      <c r="L71" s="57" t="s">
        <v>175</v>
      </c>
      <c r="M71" s="57" t="s">
        <v>175</v>
      </c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210</v>
      </c>
      <c r="D72" s="15" t="s">
        <v>211</v>
      </c>
      <c r="E72" s="15" t="s">
        <v>212</v>
      </c>
      <c r="F72" s="50">
        <f t="shared" si="9"/>
        <v>11.2</v>
      </c>
      <c r="G72" s="56">
        <v>16.0</v>
      </c>
      <c r="H72" s="52">
        <v>16.0</v>
      </c>
      <c r="I72" s="57" t="s">
        <v>174</v>
      </c>
      <c r="J72" s="57" t="s">
        <v>174</v>
      </c>
      <c r="K72" s="32"/>
      <c r="L72" s="57" t="s">
        <v>175</v>
      </c>
      <c r="M72" s="57" t="s">
        <v>175</v>
      </c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213</v>
      </c>
      <c r="D73" s="15" t="s">
        <v>214</v>
      </c>
      <c r="E73" s="15" t="s">
        <v>215</v>
      </c>
      <c r="F73" s="50">
        <f t="shared" si="9"/>
        <v>11.2</v>
      </c>
      <c r="G73" s="56">
        <v>16.0</v>
      </c>
      <c r="H73" s="52">
        <v>16.0</v>
      </c>
      <c r="I73" s="57" t="s">
        <v>174</v>
      </c>
      <c r="J73" s="57" t="s">
        <v>174</v>
      </c>
      <c r="K73" s="32"/>
      <c r="L73" s="57" t="s">
        <v>175</v>
      </c>
      <c r="M73" s="57" t="s">
        <v>175</v>
      </c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216</v>
      </c>
      <c r="D74" s="15" t="s">
        <v>217</v>
      </c>
      <c r="E74" s="15" t="s">
        <v>218</v>
      </c>
      <c r="F74" s="50">
        <f t="shared" si="9"/>
        <v>14.7</v>
      </c>
      <c r="G74" s="56">
        <v>21.0</v>
      </c>
      <c r="H74" s="54">
        <v>21.0</v>
      </c>
      <c r="I74" s="57" t="s">
        <v>174</v>
      </c>
      <c r="J74" s="57" t="s">
        <v>174</v>
      </c>
      <c r="K74" s="32"/>
      <c r="L74" s="57" t="s">
        <v>175</v>
      </c>
      <c r="M74" s="57" t="s">
        <v>175</v>
      </c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38"/>
      <c r="C75" s="55" t="s">
        <v>219</v>
      </c>
      <c r="D75" s="49" t="s">
        <v>220</v>
      </c>
      <c r="E75" s="15" t="s">
        <v>221</v>
      </c>
      <c r="F75" s="50">
        <f t="shared" si="9"/>
        <v>15.4</v>
      </c>
      <c r="G75" s="56">
        <v>22.0</v>
      </c>
      <c r="H75" s="54">
        <v>22.0</v>
      </c>
      <c r="I75" s="57" t="s">
        <v>174</v>
      </c>
      <c r="J75" s="57" t="s">
        <v>174</v>
      </c>
      <c r="K75" s="32"/>
      <c r="L75" s="57" t="s">
        <v>175</v>
      </c>
      <c r="M75" s="57" t="s">
        <v>175</v>
      </c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0" t="s">
        <v>222</v>
      </c>
      <c r="C76" s="21" t="s">
        <v>17</v>
      </c>
      <c r="D76" s="22" t="s">
        <v>17</v>
      </c>
      <c r="E76" s="23" t="s">
        <v>223</v>
      </c>
      <c r="F76" s="24" t="s">
        <v>17</v>
      </c>
      <c r="G76" s="24" t="s">
        <v>17</v>
      </c>
      <c r="H76" s="25" t="s">
        <v>17</v>
      </c>
      <c r="I76" s="25" t="s">
        <v>17</v>
      </c>
      <c r="J76" s="25" t="s">
        <v>17</v>
      </c>
      <c r="K76" s="25" t="s">
        <v>17</v>
      </c>
      <c r="L76" s="25" t="s">
        <v>17</v>
      </c>
      <c r="M76" s="25" t="s">
        <v>17</v>
      </c>
      <c r="N76" s="25" t="s">
        <v>17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39" t="s">
        <v>224</v>
      </c>
      <c r="D77" s="15" t="s">
        <v>225</v>
      </c>
      <c r="E77" s="15" t="s">
        <v>226</v>
      </c>
      <c r="F77" s="58">
        <v>45.49</v>
      </c>
      <c r="G77" s="56">
        <v>69.95</v>
      </c>
      <c r="H77" s="52">
        <v>69.95</v>
      </c>
      <c r="I77" s="32"/>
      <c r="J77" s="32"/>
      <c r="K77" s="32"/>
      <c r="L77" s="32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39" t="s">
        <v>227</v>
      </c>
      <c r="D78" s="15" t="s">
        <v>228</v>
      </c>
      <c r="E78" s="15" t="s">
        <v>229</v>
      </c>
      <c r="F78" s="58">
        <v>58.84</v>
      </c>
      <c r="G78" s="56">
        <v>79.95</v>
      </c>
      <c r="H78" s="52">
        <v>79.95</v>
      </c>
      <c r="I78" s="32"/>
      <c r="J78" s="32"/>
      <c r="K78" s="32"/>
      <c r="L78" s="32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7"/>
      <c r="C79" s="39" t="s">
        <v>230</v>
      </c>
      <c r="D79" s="15" t="s">
        <v>231</v>
      </c>
      <c r="E79" s="15" t="s">
        <v>232</v>
      </c>
      <c r="F79" s="58">
        <v>92.41</v>
      </c>
      <c r="G79" s="56">
        <v>114.95</v>
      </c>
      <c r="H79" s="54">
        <v>119.0</v>
      </c>
      <c r="I79" s="32"/>
      <c r="J79" s="32"/>
      <c r="K79" s="32"/>
      <c r="L79" s="32"/>
      <c r="M79" s="32"/>
      <c r="N79" s="32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233</v>
      </c>
      <c r="D80" s="15" t="s">
        <v>234</v>
      </c>
      <c r="E80" s="15" t="s">
        <v>235</v>
      </c>
      <c r="F80" s="58">
        <v>17.99</v>
      </c>
      <c r="G80" s="56">
        <v>24.95</v>
      </c>
      <c r="H80" s="52">
        <v>24.95</v>
      </c>
      <c r="I80" s="32"/>
      <c r="J80" s="32"/>
      <c r="K80" s="32"/>
      <c r="L80" s="32"/>
      <c r="M80" s="32"/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236</v>
      </c>
      <c r="D81" s="15" t="s">
        <v>237</v>
      </c>
      <c r="E81" s="15" t="s">
        <v>238</v>
      </c>
      <c r="F81" s="58">
        <v>27.99</v>
      </c>
      <c r="G81" s="59">
        <v>32.95</v>
      </c>
      <c r="H81" s="52">
        <v>32.95</v>
      </c>
      <c r="I81" s="32"/>
      <c r="J81" s="32"/>
      <c r="K81" s="32"/>
      <c r="L81" s="32"/>
      <c r="M81" s="32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239</v>
      </c>
      <c r="D82" s="15" t="s">
        <v>240</v>
      </c>
      <c r="E82" s="15" t="s">
        <v>241</v>
      </c>
      <c r="F82" s="58">
        <v>19.95</v>
      </c>
      <c r="G82" s="59">
        <v>19.95</v>
      </c>
      <c r="H82" s="52">
        <v>19.95</v>
      </c>
      <c r="I82" s="32"/>
      <c r="J82" s="32"/>
      <c r="K82" s="32"/>
      <c r="L82" s="32"/>
      <c r="M82" s="32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242</v>
      </c>
      <c r="D83" s="15" t="s">
        <v>243</v>
      </c>
      <c r="E83" s="15" t="s">
        <v>244</v>
      </c>
      <c r="F83" s="58">
        <v>33.71</v>
      </c>
      <c r="G83" s="59">
        <v>44.95</v>
      </c>
      <c r="H83" s="52">
        <v>44.95</v>
      </c>
      <c r="I83" s="32"/>
      <c r="J83" s="32"/>
      <c r="K83" s="32"/>
      <c r="L83" s="32"/>
      <c r="M83" s="32"/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245</v>
      </c>
      <c r="D84" s="15" t="s">
        <v>246</v>
      </c>
      <c r="E84" s="15" t="s">
        <v>247</v>
      </c>
      <c r="F84" s="58">
        <v>33.71</v>
      </c>
      <c r="G84" s="59">
        <v>44.95</v>
      </c>
      <c r="H84" s="52">
        <v>44.95</v>
      </c>
      <c r="I84" s="32"/>
      <c r="J84" s="32"/>
      <c r="K84" s="32"/>
      <c r="L84" s="32"/>
      <c r="M84" s="32"/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248</v>
      </c>
      <c r="D85" s="15" t="s">
        <v>249</v>
      </c>
      <c r="E85" s="15" t="s">
        <v>250</v>
      </c>
      <c r="F85" s="58">
        <v>104.99</v>
      </c>
      <c r="G85" s="59">
        <v>129.95</v>
      </c>
      <c r="H85" s="52">
        <v>129.95</v>
      </c>
      <c r="I85" s="32"/>
      <c r="J85" s="32"/>
      <c r="K85" s="32"/>
      <c r="L85" s="32"/>
      <c r="M85" s="32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251</v>
      </c>
      <c r="D86" s="15" t="s">
        <v>252</v>
      </c>
      <c r="E86" s="15" t="s">
        <v>253</v>
      </c>
      <c r="F86" s="58">
        <v>21.24</v>
      </c>
      <c r="G86" s="59">
        <v>24.95</v>
      </c>
      <c r="H86" s="52">
        <v>24.95</v>
      </c>
      <c r="I86" s="32"/>
      <c r="J86" s="32"/>
      <c r="K86" s="32"/>
      <c r="L86" s="32"/>
      <c r="M86" s="32"/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21" t="s">
        <v>17</v>
      </c>
      <c r="D87" s="22" t="s">
        <v>17</v>
      </c>
      <c r="E87" s="23" t="s">
        <v>254</v>
      </c>
      <c r="F87" s="24" t="s">
        <v>17</v>
      </c>
      <c r="G87" s="24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  <c r="L87" s="25" t="s">
        <v>17</v>
      </c>
      <c r="M87" s="25" t="s">
        <v>17</v>
      </c>
      <c r="N87" s="25" t="s">
        <v>17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255</v>
      </c>
      <c r="D88" s="15" t="s">
        <v>256</v>
      </c>
      <c r="E88" s="15" t="s">
        <v>257</v>
      </c>
      <c r="F88" s="58">
        <v>84.4</v>
      </c>
      <c r="G88" s="59">
        <v>99.95</v>
      </c>
      <c r="H88" s="52">
        <v>99.95</v>
      </c>
      <c r="I88" s="32"/>
      <c r="J88" s="32"/>
      <c r="K88" s="32"/>
      <c r="L88" s="32"/>
      <c r="M88" s="32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258</v>
      </c>
      <c r="D89" s="15" t="s">
        <v>259</v>
      </c>
      <c r="E89" s="15" t="s">
        <v>260</v>
      </c>
      <c r="F89" s="58">
        <v>126.82</v>
      </c>
      <c r="G89" s="59">
        <v>163.95</v>
      </c>
      <c r="H89" s="52">
        <v>163.95</v>
      </c>
      <c r="I89" s="32"/>
      <c r="J89" s="32"/>
      <c r="K89" s="32"/>
      <c r="L89" s="32"/>
      <c r="M89" s="32"/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261</v>
      </c>
      <c r="D90" s="15" t="s">
        <v>262</v>
      </c>
      <c r="E90" s="15" t="s">
        <v>263</v>
      </c>
      <c r="F90" s="58">
        <v>24.95</v>
      </c>
      <c r="G90" s="59">
        <v>24.95</v>
      </c>
      <c r="H90" s="52">
        <v>24.95</v>
      </c>
      <c r="I90" s="32"/>
      <c r="J90" s="32"/>
      <c r="K90" s="32"/>
      <c r="L90" s="32"/>
      <c r="M90" s="32"/>
      <c r="N90" s="32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21" t="s">
        <v>17</v>
      </c>
      <c r="D91" s="22" t="s">
        <v>17</v>
      </c>
      <c r="E91" s="23" t="s">
        <v>264</v>
      </c>
      <c r="F91" s="24" t="s">
        <v>17</v>
      </c>
      <c r="G91" s="24" t="s">
        <v>17</v>
      </c>
      <c r="H91" s="25" t="s">
        <v>17</v>
      </c>
      <c r="I91" s="25" t="s">
        <v>17</v>
      </c>
      <c r="J91" s="25" t="s">
        <v>17</v>
      </c>
      <c r="K91" s="25" t="s">
        <v>17</v>
      </c>
      <c r="L91" s="25" t="s">
        <v>17</v>
      </c>
      <c r="M91" s="25" t="s">
        <v>17</v>
      </c>
      <c r="N91" s="25" t="s">
        <v>17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265</v>
      </c>
      <c r="D92" s="15" t="s">
        <v>266</v>
      </c>
      <c r="E92" s="15" t="s">
        <v>267</v>
      </c>
      <c r="F92" s="58">
        <v>104.97</v>
      </c>
      <c r="G92" s="56">
        <v>199.95</v>
      </c>
      <c r="H92" s="52">
        <v>149.95</v>
      </c>
      <c r="I92" s="32"/>
      <c r="J92" s="32"/>
      <c r="K92" s="32"/>
      <c r="L92" s="32"/>
      <c r="M92" s="32"/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268</v>
      </c>
      <c r="D93" s="15" t="s">
        <v>269</v>
      </c>
      <c r="E93" s="15" t="s">
        <v>270</v>
      </c>
      <c r="F93" s="58">
        <v>136.5</v>
      </c>
      <c r="G93" s="56">
        <v>244.95</v>
      </c>
      <c r="H93" s="54">
        <v>195.0</v>
      </c>
      <c r="I93" s="32"/>
      <c r="J93" s="32"/>
      <c r="K93" s="32"/>
      <c r="L93" s="32"/>
      <c r="M93" s="32"/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271</v>
      </c>
      <c r="D94" s="15" t="s">
        <v>272</v>
      </c>
      <c r="E94" s="15" t="s">
        <v>273</v>
      </c>
      <c r="F94" s="58">
        <v>19.95</v>
      </c>
      <c r="G94" s="56">
        <v>49.95</v>
      </c>
      <c r="H94" s="52">
        <v>29.95</v>
      </c>
      <c r="I94" s="32"/>
      <c r="J94" s="32"/>
      <c r="K94" s="32"/>
      <c r="L94" s="32"/>
      <c r="M94" s="32"/>
      <c r="N94" s="32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274</v>
      </c>
      <c r="D95" s="15" t="s">
        <v>275</v>
      </c>
      <c r="E95" s="15" t="s">
        <v>276</v>
      </c>
      <c r="F95" s="58">
        <v>19.95</v>
      </c>
      <c r="G95" s="56">
        <v>29.95</v>
      </c>
      <c r="H95" s="52">
        <v>29.95</v>
      </c>
      <c r="I95" s="32"/>
      <c r="J95" s="32"/>
      <c r="K95" s="32"/>
      <c r="L95" s="32"/>
      <c r="M95" s="32"/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21" t="s">
        <v>17</v>
      </c>
      <c r="D96" s="22" t="s">
        <v>17</v>
      </c>
      <c r="E96" s="23" t="s">
        <v>277</v>
      </c>
      <c r="F96" s="24" t="s">
        <v>17</v>
      </c>
      <c r="G96" s="24" t="s">
        <v>17</v>
      </c>
      <c r="H96" s="25" t="s">
        <v>17</v>
      </c>
      <c r="I96" s="25" t="s">
        <v>17</v>
      </c>
      <c r="J96" s="25" t="s">
        <v>17</v>
      </c>
      <c r="K96" s="25" t="s">
        <v>17</v>
      </c>
      <c r="L96" s="25" t="s">
        <v>17</v>
      </c>
      <c r="M96" s="25" t="s">
        <v>17</v>
      </c>
      <c r="N96" s="25" t="s">
        <v>17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278</v>
      </c>
      <c r="D97" s="15" t="s">
        <v>279</v>
      </c>
      <c r="E97" s="15" t="s">
        <v>280</v>
      </c>
      <c r="F97" s="58">
        <v>52.61</v>
      </c>
      <c r="G97" s="59">
        <v>79.95</v>
      </c>
      <c r="H97" s="52">
        <v>79.95</v>
      </c>
      <c r="I97" s="32"/>
      <c r="J97" s="32"/>
      <c r="K97" s="32"/>
      <c r="L97" s="32"/>
      <c r="M97" s="32"/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281</v>
      </c>
      <c r="D98" s="15" t="s">
        <v>282</v>
      </c>
      <c r="E98" s="15" t="s">
        <v>283</v>
      </c>
      <c r="F98" s="58">
        <v>64.5</v>
      </c>
      <c r="G98" s="59">
        <v>129.0</v>
      </c>
      <c r="H98" s="52">
        <v>129.0</v>
      </c>
      <c r="I98" s="32"/>
      <c r="J98" s="32"/>
      <c r="K98" s="32"/>
      <c r="L98" s="32"/>
      <c r="M98" s="32"/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284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285</v>
      </c>
      <c r="D100" s="60" t="s">
        <v>286</v>
      </c>
      <c r="E100" s="15" t="s">
        <v>287</v>
      </c>
      <c r="F100" s="58">
        <v>34.68</v>
      </c>
      <c r="G100" s="59">
        <v>39.95</v>
      </c>
      <c r="H100" s="52">
        <v>39.95</v>
      </c>
      <c r="I100" s="32"/>
      <c r="J100" s="32"/>
      <c r="K100" s="32"/>
      <c r="L100" s="32"/>
      <c r="M100" s="32"/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288</v>
      </c>
      <c r="D101" s="60" t="s">
        <v>289</v>
      </c>
      <c r="E101" s="15" t="s">
        <v>290</v>
      </c>
      <c r="F101" s="58">
        <v>34.68</v>
      </c>
      <c r="G101" s="59">
        <v>39.95</v>
      </c>
      <c r="H101" s="52">
        <v>39.95</v>
      </c>
      <c r="I101" s="32"/>
      <c r="J101" s="32"/>
      <c r="K101" s="32"/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291</v>
      </c>
      <c r="D102" s="60" t="s">
        <v>292</v>
      </c>
      <c r="E102" s="15" t="s">
        <v>293</v>
      </c>
      <c r="F102" s="58">
        <v>34.68</v>
      </c>
      <c r="G102" s="59">
        <v>39.95</v>
      </c>
      <c r="H102" s="52">
        <v>39.95</v>
      </c>
      <c r="I102" s="32"/>
      <c r="J102" s="32"/>
      <c r="K102" s="32"/>
      <c r="L102" s="32"/>
      <c r="M102" s="32"/>
      <c r="N102" s="32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294</v>
      </c>
      <c r="D103" s="61" t="s">
        <v>295</v>
      </c>
      <c r="E103" s="15" t="s">
        <v>296</v>
      </c>
      <c r="F103" s="58">
        <v>34.68</v>
      </c>
      <c r="G103" s="59">
        <v>39.95</v>
      </c>
      <c r="H103" s="52">
        <v>39.95</v>
      </c>
      <c r="I103" s="32"/>
      <c r="J103" s="32"/>
      <c r="K103" s="32"/>
      <c r="L103" s="32"/>
      <c r="M103" s="32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297</v>
      </c>
      <c r="D104" s="60" t="s">
        <v>298</v>
      </c>
      <c r="E104" s="15" t="s">
        <v>299</v>
      </c>
      <c r="F104" s="58">
        <v>34.68</v>
      </c>
      <c r="G104" s="59">
        <v>39.95</v>
      </c>
      <c r="H104" s="52">
        <v>39.95</v>
      </c>
      <c r="I104" s="32"/>
      <c r="J104" s="32"/>
      <c r="K104" s="32"/>
      <c r="L104" s="32"/>
      <c r="M104" s="32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300</v>
      </c>
      <c r="D105" s="60" t="s">
        <v>301</v>
      </c>
      <c r="E105" s="15" t="s">
        <v>302</v>
      </c>
      <c r="F105" s="58">
        <v>34.68</v>
      </c>
      <c r="G105" s="59">
        <v>39.95</v>
      </c>
      <c r="H105" s="52">
        <v>39.95</v>
      </c>
      <c r="I105" s="32"/>
      <c r="J105" s="32"/>
      <c r="K105" s="32"/>
      <c r="L105" s="32"/>
      <c r="M105" s="32"/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303</v>
      </c>
      <c r="D106" s="60" t="s">
        <v>304</v>
      </c>
      <c r="E106" s="15" t="s">
        <v>305</v>
      </c>
      <c r="F106" s="58">
        <v>34.68</v>
      </c>
      <c r="G106" s="59">
        <v>39.95</v>
      </c>
      <c r="H106" s="52">
        <v>39.95</v>
      </c>
      <c r="I106" s="32"/>
      <c r="J106" s="32"/>
      <c r="K106" s="32"/>
      <c r="L106" s="32"/>
      <c r="M106" s="32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306</v>
      </c>
      <c r="D107" s="62" t="s">
        <v>307</v>
      </c>
      <c r="E107" s="15" t="s">
        <v>308</v>
      </c>
      <c r="F107" s="58">
        <v>34.68</v>
      </c>
      <c r="G107" s="59">
        <v>39.95</v>
      </c>
      <c r="H107" s="52">
        <v>39.95</v>
      </c>
      <c r="I107" s="32"/>
      <c r="J107" s="32"/>
      <c r="K107" s="32"/>
      <c r="L107" s="32"/>
      <c r="M107" s="32"/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309</v>
      </c>
      <c r="D108" s="60" t="s">
        <v>310</v>
      </c>
      <c r="E108" s="15" t="s">
        <v>311</v>
      </c>
      <c r="F108" s="58">
        <v>34.68</v>
      </c>
      <c r="G108" s="59">
        <v>39.95</v>
      </c>
      <c r="H108" s="52">
        <v>39.95</v>
      </c>
      <c r="I108" s="32"/>
      <c r="J108" s="32"/>
      <c r="K108" s="32"/>
      <c r="L108" s="32"/>
      <c r="M108" s="32"/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312</v>
      </c>
      <c r="D109" s="60" t="s">
        <v>313</v>
      </c>
      <c r="E109" s="15" t="s">
        <v>314</v>
      </c>
      <c r="F109" s="58">
        <v>34.68</v>
      </c>
      <c r="G109" s="59">
        <v>39.95</v>
      </c>
      <c r="H109" s="52">
        <v>39.95</v>
      </c>
      <c r="I109" s="32"/>
      <c r="J109" s="32"/>
      <c r="K109" s="32"/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315</v>
      </c>
      <c r="D110" s="60" t="s">
        <v>316</v>
      </c>
      <c r="E110" s="15" t="s">
        <v>317</v>
      </c>
      <c r="F110" s="58">
        <v>34.68</v>
      </c>
      <c r="G110" s="59">
        <v>39.95</v>
      </c>
      <c r="H110" s="52">
        <v>39.95</v>
      </c>
      <c r="I110" s="32"/>
      <c r="J110" s="32"/>
      <c r="K110" s="32"/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63" t="s">
        <v>318</v>
      </c>
      <c r="D111" s="60"/>
      <c r="E111" s="15" t="s">
        <v>319</v>
      </c>
      <c r="F111" s="58">
        <v>39.96</v>
      </c>
      <c r="G111" s="59">
        <v>49.95</v>
      </c>
      <c r="H111" s="52">
        <v>39.95</v>
      </c>
      <c r="I111" s="57" t="s">
        <v>320</v>
      </c>
      <c r="J111" s="57" t="s">
        <v>320</v>
      </c>
      <c r="K111" s="32"/>
      <c r="L111" s="32"/>
      <c r="M111" s="32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63" t="s">
        <v>321</v>
      </c>
      <c r="D112" s="60"/>
      <c r="E112" s="15" t="s">
        <v>322</v>
      </c>
      <c r="F112" s="58">
        <v>39.96</v>
      </c>
      <c r="G112" s="59">
        <v>49.95</v>
      </c>
      <c r="H112" s="52">
        <v>39.95</v>
      </c>
      <c r="I112" s="57" t="s">
        <v>320</v>
      </c>
      <c r="J112" s="57" t="s">
        <v>320</v>
      </c>
      <c r="K112" s="32"/>
      <c r="L112" s="32"/>
      <c r="M112" s="32"/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63" t="s">
        <v>323</v>
      </c>
      <c r="D113" s="60"/>
      <c r="E113" s="15" t="s">
        <v>324</v>
      </c>
      <c r="F113" s="58">
        <v>39.96</v>
      </c>
      <c r="G113" s="59">
        <v>49.95</v>
      </c>
      <c r="H113" s="52">
        <v>39.95</v>
      </c>
      <c r="I113" s="57" t="s">
        <v>320</v>
      </c>
      <c r="J113" s="57" t="s">
        <v>320</v>
      </c>
      <c r="K113" s="32"/>
      <c r="L113" s="32"/>
      <c r="M113" s="32"/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63" t="s">
        <v>325</v>
      </c>
      <c r="D114" s="60"/>
      <c r="E114" s="15" t="s">
        <v>326</v>
      </c>
      <c r="F114" s="58">
        <v>39.96</v>
      </c>
      <c r="G114" s="59">
        <v>49.95</v>
      </c>
      <c r="H114" s="52">
        <v>39.95</v>
      </c>
      <c r="I114" s="57" t="s">
        <v>320</v>
      </c>
      <c r="J114" s="57" t="s">
        <v>320</v>
      </c>
      <c r="K114" s="32"/>
      <c r="L114" s="32"/>
      <c r="M114" s="32"/>
      <c r="N114" s="32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63" t="s">
        <v>327</v>
      </c>
      <c r="D115" s="60"/>
      <c r="E115" s="15" t="s">
        <v>328</v>
      </c>
      <c r="F115" s="58">
        <v>39.96</v>
      </c>
      <c r="G115" s="59">
        <v>49.95</v>
      </c>
      <c r="H115" s="52">
        <v>39.95</v>
      </c>
      <c r="I115" s="57" t="s">
        <v>320</v>
      </c>
      <c r="J115" s="57" t="s">
        <v>320</v>
      </c>
      <c r="K115" s="32"/>
      <c r="L115" s="32"/>
      <c r="M115" s="32"/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63" t="s">
        <v>329</v>
      </c>
      <c r="D116" s="60"/>
      <c r="E116" s="15" t="s">
        <v>330</v>
      </c>
      <c r="F116" s="58">
        <v>39.96</v>
      </c>
      <c r="G116" s="59">
        <v>49.95</v>
      </c>
      <c r="H116" s="52">
        <v>39.95</v>
      </c>
      <c r="I116" s="57" t="s">
        <v>320</v>
      </c>
      <c r="J116" s="57" t="s">
        <v>320</v>
      </c>
      <c r="K116" s="32"/>
      <c r="L116" s="32"/>
      <c r="M116" s="32"/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21" t="s">
        <v>17</v>
      </c>
      <c r="D117" s="22" t="s">
        <v>17</v>
      </c>
      <c r="E117" s="23" t="s">
        <v>331</v>
      </c>
      <c r="F117" s="24" t="s">
        <v>17</v>
      </c>
      <c r="G117" s="24" t="s">
        <v>17</v>
      </c>
      <c r="H117" s="25" t="s">
        <v>17</v>
      </c>
      <c r="I117" s="25" t="s">
        <v>17</v>
      </c>
      <c r="J117" s="25" t="s">
        <v>17</v>
      </c>
      <c r="K117" s="25" t="s">
        <v>17</v>
      </c>
      <c r="L117" s="25" t="s">
        <v>17</v>
      </c>
      <c r="M117" s="25" t="s">
        <v>17</v>
      </c>
      <c r="N117" s="25" t="s">
        <v>17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332</v>
      </c>
      <c r="D118" s="15" t="s">
        <v>333</v>
      </c>
      <c r="E118" s="15" t="s">
        <v>334</v>
      </c>
      <c r="F118" s="58">
        <v>41.97</v>
      </c>
      <c r="G118" s="56">
        <v>79.95</v>
      </c>
      <c r="H118" s="52">
        <v>59.95</v>
      </c>
      <c r="I118" s="32"/>
      <c r="J118" s="32"/>
      <c r="K118" s="32"/>
      <c r="L118" s="32"/>
      <c r="M118" s="32"/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335</v>
      </c>
      <c r="D119" s="15" t="s">
        <v>336</v>
      </c>
      <c r="E119" s="15" t="s">
        <v>337</v>
      </c>
      <c r="F119" s="58">
        <v>41.97</v>
      </c>
      <c r="G119" s="56">
        <v>79.95</v>
      </c>
      <c r="H119" s="52">
        <v>59.95</v>
      </c>
      <c r="I119" s="32"/>
      <c r="J119" s="32"/>
      <c r="K119" s="32"/>
      <c r="L119" s="32"/>
      <c r="M119" s="32"/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338</v>
      </c>
      <c r="D120" s="15" t="s">
        <v>339</v>
      </c>
      <c r="E120" s="15" t="s">
        <v>340</v>
      </c>
      <c r="F120" s="58">
        <v>41.97</v>
      </c>
      <c r="G120" s="56">
        <v>79.95</v>
      </c>
      <c r="H120" s="52">
        <v>59.95</v>
      </c>
      <c r="I120" s="32"/>
      <c r="J120" s="32"/>
      <c r="K120" s="32"/>
      <c r="L120" s="32"/>
      <c r="M120" s="32"/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341</v>
      </c>
      <c r="D121" s="15" t="s">
        <v>342</v>
      </c>
      <c r="E121" s="15" t="s">
        <v>340</v>
      </c>
      <c r="F121" s="58">
        <v>41.97</v>
      </c>
      <c r="G121" s="56">
        <v>79.95</v>
      </c>
      <c r="H121" s="52">
        <v>59.95</v>
      </c>
      <c r="I121" s="32"/>
      <c r="J121" s="32"/>
      <c r="K121" s="32"/>
      <c r="L121" s="32"/>
      <c r="M121" s="32"/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343</v>
      </c>
      <c r="D122" s="15" t="s">
        <v>344</v>
      </c>
      <c r="E122" s="15" t="s">
        <v>345</v>
      </c>
      <c r="F122" s="58">
        <v>41.97</v>
      </c>
      <c r="G122" s="56">
        <v>79.95</v>
      </c>
      <c r="H122" s="52">
        <v>59.95</v>
      </c>
      <c r="I122" s="32"/>
      <c r="J122" s="32"/>
      <c r="K122" s="32"/>
      <c r="L122" s="32"/>
      <c r="M122" s="32"/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39" t="s">
        <v>346</v>
      </c>
      <c r="D123" s="15" t="s">
        <v>347</v>
      </c>
      <c r="E123" s="15" t="s">
        <v>340</v>
      </c>
      <c r="F123" s="58">
        <v>41.97</v>
      </c>
      <c r="G123" s="56">
        <v>79.95</v>
      </c>
      <c r="H123" s="52">
        <v>59.95</v>
      </c>
      <c r="I123" s="32"/>
      <c r="J123" s="32"/>
      <c r="K123" s="32"/>
      <c r="L123" s="32"/>
      <c r="M123" s="32"/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39" t="s">
        <v>348</v>
      </c>
      <c r="D124" s="15" t="s">
        <v>349</v>
      </c>
      <c r="E124" s="15" t="s">
        <v>340</v>
      </c>
      <c r="F124" s="58">
        <v>41.97</v>
      </c>
      <c r="G124" s="56">
        <v>79.95</v>
      </c>
      <c r="H124" s="52">
        <v>59.95</v>
      </c>
      <c r="I124" s="32"/>
      <c r="J124" s="32"/>
      <c r="K124" s="32"/>
      <c r="L124" s="32"/>
      <c r="M124" s="32"/>
      <c r="N124" s="32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39" t="s">
        <v>350</v>
      </c>
      <c r="D125" s="15" t="s">
        <v>351</v>
      </c>
      <c r="E125" s="15" t="s">
        <v>352</v>
      </c>
      <c r="F125" s="58">
        <v>41.97</v>
      </c>
      <c r="G125" s="56">
        <v>79.95</v>
      </c>
      <c r="H125" s="52">
        <v>59.95</v>
      </c>
      <c r="I125" s="32"/>
      <c r="J125" s="32"/>
      <c r="K125" s="32"/>
      <c r="L125" s="32"/>
      <c r="M125" s="32"/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38"/>
      <c r="C126" s="64" t="s">
        <v>353</v>
      </c>
      <c r="D126" s="65" t="s">
        <v>354</v>
      </c>
      <c r="E126" s="65" t="s">
        <v>355</v>
      </c>
      <c r="F126" s="58">
        <v>41.97</v>
      </c>
      <c r="G126" s="56">
        <v>79.95</v>
      </c>
      <c r="H126" s="52">
        <v>59.95</v>
      </c>
      <c r="I126" s="32"/>
      <c r="J126" s="32"/>
      <c r="K126" s="32"/>
      <c r="L126" s="32"/>
      <c r="M126" s="32"/>
      <c r="N126" s="32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0" t="s">
        <v>356</v>
      </c>
      <c r="C127" s="66" t="s">
        <v>17</v>
      </c>
      <c r="D127" s="67" t="s">
        <v>17</v>
      </c>
      <c r="E127" s="23" t="s">
        <v>357</v>
      </c>
      <c r="F127" s="68" t="s">
        <v>17</v>
      </c>
      <c r="G127" s="68" t="s">
        <v>17</v>
      </c>
      <c r="H127" s="25" t="s">
        <v>17</v>
      </c>
      <c r="I127" s="25" t="s">
        <v>17</v>
      </c>
      <c r="J127" s="25" t="s">
        <v>17</v>
      </c>
      <c r="K127" s="25" t="s">
        <v>17</v>
      </c>
      <c r="L127" s="25" t="s">
        <v>17</v>
      </c>
      <c r="M127" s="25" t="s">
        <v>17</v>
      </c>
      <c r="N127" s="25" t="s">
        <v>17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69" t="s">
        <v>358</v>
      </c>
      <c r="D128" s="70" t="s">
        <v>359</v>
      </c>
      <c r="E128" s="70" t="s">
        <v>360</v>
      </c>
      <c r="F128" s="71">
        <v>35.95</v>
      </c>
      <c r="G128" s="72">
        <v>69.95</v>
      </c>
      <c r="H128" s="52">
        <v>54.95</v>
      </c>
      <c r="I128" s="32"/>
      <c r="J128" s="32"/>
      <c r="K128" s="32"/>
      <c r="L128" s="32"/>
      <c r="M128" s="32"/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66" t="s">
        <v>17</v>
      </c>
      <c r="D129" s="67" t="s">
        <v>17</v>
      </c>
      <c r="E129" s="23" t="s">
        <v>361</v>
      </c>
      <c r="F129" s="68" t="s">
        <v>17</v>
      </c>
      <c r="G129" s="68" t="s">
        <v>17</v>
      </c>
      <c r="H129" s="25" t="s">
        <v>17</v>
      </c>
      <c r="I129" s="25" t="s">
        <v>17</v>
      </c>
      <c r="J129" s="25" t="s">
        <v>17</v>
      </c>
      <c r="K129" s="25" t="s">
        <v>17</v>
      </c>
      <c r="L129" s="25" t="s">
        <v>17</v>
      </c>
      <c r="M129" s="25" t="s">
        <v>17</v>
      </c>
      <c r="N129" s="25" t="s">
        <v>17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73" t="s">
        <v>362</v>
      </c>
      <c r="D130" s="70" t="s">
        <v>363</v>
      </c>
      <c r="E130" s="70" t="s">
        <v>364</v>
      </c>
      <c r="F130" s="71">
        <v>35.95</v>
      </c>
      <c r="G130" s="72">
        <v>59.95</v>
      </c>
      <c r="H130" s="52">
        <v>59.95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73" t="s">
        <v>365</v>
      </c>
      <c r="D131" s="70" t="s">
        <v>366</v>
      </c>
      <c r="E131" s="70" t="s">
        <v>367</v>
      </c>
      <c r="F131" s="71">
        <v>71.9</v>
      </c>
      <c r="G131" s="72">
        <v>79.9</v>
      </c>
      <c r="H131" s="52">
        <v>97.12</v>
      </c>
      <c r="I131" s="32"/>
      <c r="J131" s="32"/>
      <c r="K131" s="32"/>
      <c r="L131" s="32"/>
      <c r="M131" s="32"/>
      <c r="N131" s="32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3" t="s">
        <v>368</v>
      </c>
      <c r="D132" s="70" t="s">
        <v>369</v>
      </c>
      <c r="E132" s="70" t="s">
        <v>370</v>
      </c>
      <c r="F132" s="71">
        <v>45.95</v>
      </c>
      <c r="G132" s="72">
        <v>69.95</v>
      </c>
      <c r="H132" s="52">
        <v>69.95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73" t="s">
        <v>371</v>
      </c>
      <c r="D133" s="70" t="s">
        <v>372</v>
      </c>
      <c r="E133" s="70" t="s">
        <v>373</v>
      </c>
      <c r="F133" s="71">
        <v>91.9</v>
      </c>
      <c r="G133" s="72">
        <v>99.9</v>
      </c>
      <c r="H133" s="52">
        <v>107.03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6" t="s">
        <v>17</v>
      </c>
      <c r="D134" s="67" t="s">
        <v>17</v>
      </c>
      <c r="E134" s="23" t="s">
        <v>374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4" t="s">
        <v>375</v>
      </c>
      <c r="D135" s="70" t="s">
        <v>376</v>
      </c>
      <c r="E135" s="70" t="s">
        <v>374</v>
      </c>
      <c r="F135" s="71">
        <v>35.95</v>
      </c>
      <c r="G135" s="72">
        <v>36.0</v>
      </c>
      <c r="H135" s="54">
        <v>36.0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69" t="s">
        <v>377</v>
      </c>
      <c r="D136" s="70" t="s">
        <v>378</v>
      </c>
      <c r="E136" s="70" t="s">
        <v>379</v>
      </c>
      <c r="F136" s="71">
        <v>45.95</v>
      </c>
      <c r="G136" s="72">
        <v>58.65</v>
      </c>
      <c r="H136" s="52">
        <v>58.65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66" t="s">
        <v>17</v>
      </c>
      <c r="D137" s="67" t="s">
        <v>17</v>
      </c>
      <c r="E137" s="23" t="s">
        <v>380</v>
      </c>
      <c r="F137" s="68" t="s">
        <v>17</v>
      </c>
      <c r="G137" s="68" t="s">
        <v>17</v>
      </c>
      <c r="H137" s="25" t="s">
        <v>17</v>
      </c>
      <c r="I137" s="25" t="s">
        <v>17</v>
      </c>
      <c r="J137" s="25" t="s">
        <v>17</v>
      </c>
      <c r="K137" s="25" t="s">
        <v>17</v>
      </c>
      <c r="L137" s="25" t="s">
        <v>17</v>
      </c>
      <c r="M137" s="25" t="s">
        <v>17</v>
      </c>
      <c r="N137" s="25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4" t="s">
        <v>381</v>
      </c>
      <c r="D138" s="70" t="s">
        <v>382</v>
      </c>
      <c r="E138" s="70" t="s">
        <v>380</v>
      </c>
      <c r="F138" s="71">
        <v>35.95</v>
      </c>
      <c r="G138" s="72">
        <v>59.95</v>
      </c>
      <c r="H138" s="54">
        <v>55.0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4" t="s">
        <v>383</v>
      </c>
      <c r="D139" s="70" t="s">
        <v>384</v>
      </c>
      <c r="E139" s="70" t="s">
        <v>385</v>
      </c>
      <c r="F139" s="71">
        <v>45.95</v>
      </c>
      <c r="G139" s="72">
        <v>69.95</v>
      </c>
      <c r="H139" s="54">
        <v>69.95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66" t="s">
        <v>17</v>
      </c>
      <c r="D140" s="67" t="s">
        <v>17</v>
      </c>
      <c r="E140" s="23" t="s">
        <v>386</v>
      </c>
      <c r="F140" s="68" t="s">
        <v>17</v>
      </c>
      <c r="G140" s="68" t="s">
        <v>17</v>
      </c>
      <c r="H140" s="25" t="s">
        <v>17</v>
      </c>
      <c r="I140" s="66" t="s">
        <v>17</v>
      </c>
      <c r="J140" s="67" t="s">
        <v>17</v>
      </c>
      <c r="K140" s="67" t="s">
        <v>17</v>
      </c>
      <c r="L140" s="68" t="s">
        <v>17</v>
      </c>
      <c r="M140" s="68" t="s">
        <v>17</v>
      </c>
      <c r="N140" s="25" t="s">
        <v>17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3" t="s">
        <v>387</v>
      </c>
      <c r="D141" s="70" t="s">
        <v>388</v>
      </c>
      <c r="E141" s="70" t="s">
        <v>389</v>
      </c>
      <c r="F141" s="71">
        <v>19.99</v>
      </c>
      <c r="G141" s="72">
        <v>24.99</v>
      </c>
      <c r="H141" s="52">
        <v>34.95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73" t="s">
        <v>390</v>
      </c>
      <c r="D142" s="70" t="s">
        <v>391</v>
      </c>
      <c r="E142" s="70" t="s">
        <v>392</v>
      </c>
      <c r="F142" s="71">
        <v>39.95</v>
      </c>
      <c r="G142" s="72">
        <v>49.95</v>
      </c>
      <c r="H142" s="52">
        <v>59.99</v>
      </c>
      <c r="I142" s="32"/>
      <c r="J142" s="32"/>
      <c r="K142" s="32"/>
      <c r="L142" s="32"/>
      <c r="M142" s="32"/>
      <c r="N142" s="32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3" t="s">
        <v>393</v>
      </c>
      <c r="D143" s="70" t="s">
        <v>394</v>
      </c>
      <c r="E143" s="70" t="s">
        <v>395</v>
      </c>
      <c r="F143" s="71">
        <v>79.9</v>
      </c>
      <c r="G143" s="72">
        <v>99.9</v>
      </c>
      <c r="H143" s="52">
        <v>124.95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73" t="s">
        <v>396</v>
      </c>
      <c r="D144" s="70" t="s">
        <v>397</v>
      </c>
      <c r="E144" s="70" t="s">
        <v>398</v>
      </c>
      <c r="F144" s="71">
        <v>49.95</v>
      </c>
      <c r="G144" s="72">
        <v>59.95</v>
      </c>
      <c r="H144" s="52">
        <v>69.95</v>
      </c>
      <c r="I144" s="32"/>
      <c r="J144" s="32"/>
      <c r="K144" s="32"/>
      <c r="L144" s="32"/>
      <c r="M144" s="32"/>
      <c r="N144" s="32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66" t="s">
        <v>17</v>
      </c>
      <c r="D145" s="67" t="s">
        <v>17</v>
      </c>
      <c r="E145" s="23" t="s">
        <v>399</v>
      </c>
      <c r="F145" s="68" t="s">
        <v>17</v>
      </c>
      <c r="G145" s="68" t="s">
        <v>17</v>
      </c>
      <c r="H145" s="25" t="s">
        <v>17</v>
      </c>
      <c r="I145" s="66" t="s">
        <v>17</v>
      </c>
      <c r="J145" s="67" t="s">
        <v>17</v>
      </c>
      <c r="K145" s="67" t="s">
        <v>17</v>
      </c>
      <c r="L145" s="68" t="s">
        <v>17</v>
      </c>
      <c r="M145" s="68" t="s">
        <v>17</v>
      </c>
      <c r="N145" s="25" t="s">
        <v>17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3" t="s">
        <v>400</v>
      </c>
      <c r="D146" s="70" t="s">
        <v>401</v>
      </c>
      <c r="E146" s="70" t="s">
        <v>399</v>
      </c>
      <c r="F146" s="71">
        <v>29.95</v>
      </c>
      <c r="G146" s="72">
        <v>39.95</v>
      </c>
      <c r="H146" s="52">
        <v>29.95</v>
      </c>
      <c r="I146" s="32"/>
      <c r="J146" s="32"/>
      <c r="K146" s="32"/>
      <c r="L146" s="32"/>
      <c r="M146" s="32"/>
      <c r="N146" s="32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66" t="s">
        <v>17</v>
      </c>
      <c r="D147" s="67" t="s">
        <v>17</v>
      </c>
      <c r="E147" s="23" t="s">
        <v>402</v>
      </c>
      <c r="F147" s="68" t="s">
        <v>17</v>
      </c>
      <c r="G147" s="68" t="s">
        <v>17</v>
      </c>
      <c r="H147" s="25" t="s">
        <v>17</v>
      </c>
      <c r="I147" s="66" t="s">
        <v>17</v>
      </c>
      <c r="J147" s="67" t="s">
        <v>17</v>
      </c>
      <c r="K147" s="67" t="s">
        <v>17</v>
      </c>
      <c r="L147" s="68" t="s">
        <v>17</v>
      </c>
      <c r="M147" s="68" t="s">
        <v>17</v>
      </c>
      <c r="N147" s="25" t="s">
        <v>17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69" t="s">
        <v>403</v>
      </c>
      <c r="D148" s="70" t="s">
        <v>404</v>
      </c>
      <c r="E148" s="70" t="s">
        <v>405</v>
      </c>
      <c r="F148" s="71">
        <v>69.95</v>
      </c>
      <c r="G148" s="72">
        <v>69.95</v>
      </c>
      <c r="H148" s="52">
        <v>69.95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66" t="s">
        <v>17</v>
      </c>
      <c r="D149" s="67" t="s">
        <v>17</v>
      </c>
      <c r="E149" s="23" t="s">
        <v>406</v>
      </c>
      <c r="F149" s="68" t="s">
        <v>17</v>
      </c>
      <c r="G149" s="68" t="s">
        <v>17</v>
      </c>
      <c r="H149" s="25" t="s">
        <v>17</v>
      </c>
      <c r="I149" s="66" t="s">
        <v>17</v>
      </c>
      <c r="J149" s="67" t="s">
        <v>17</v>
      </c>
      <c r="K149" s="67" t="s">
        <v>17</v>
      </c>
      <c r="L149" s="68" t="s">
        <v>17</v>
      </c>
      <c r="M149" s="68" t="s">
        <v>17</v>
      </c>
      <c r="N149" s="25" t="s">
        <v>17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7"/>
      <c r="C150" s="73" t="s">
        <v>407</v>
      </c>
      <c r="D150" s="70" t="s">
        <v>408</v>
      </c>
      <c r="E150" s="70" t="s">
        <v>409</v>
      </c>
      <c r="F150" s="71">
        <v>79.9</v>
      </c>
      <c r="G150" s="72">
        <v>79.9</v>
      </c>
      <c r="H150" s="52">
        <v>109.9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7"/>
      <c r="C151" s="74" t="s">
        <v>410</v>
      </c>
      <c r="D151" s="70" t="s">
        <v>411</v>
      </c>
      <c r="E151" s="70" t="s">
        <v>412</v>
      </c>
      <c r="F151" s="71">
        <v>39.95</v>
      </c>
      <c r="G151" s="72">
        <v>49.95</v>
      </c>
      <c r="H151" s="52">
        <v>59.95</v>
      </c>
      <c r="I151" s="32"/>
      <c r="J151" s="32"/>
      <c r="K151" s="32"/>
      <c r="L151" s="32"/>
      <c r="M151" s="32"/>
      <c r="N151" s="32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7"/>
      <c r="C152" s="75" t="s">
        <v>413</v>
      </c>
      <c r="D152" s="70" t="s">
        <v>414</v>
      </c>
      <c r="E152" s="70" t="s">
        <v>415</v>
      </c>
      <c r="F152" s="71">
        <v>99.9</v>
      </c>
      <c r="G152" s="72">
        <v>99.9</v>
      </c>
      <c r="H152" s="52">
        <v>129.95</v>
      </c>
      <c r="I152" s="32"/>
      <c r="J152" s="32"/>
      <c r="K152" s="32"/>
      <c r="L152" s="32"/>
      <c r="M152" s="32"/>
      <c r="N152" s="32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38"/>
      <c r="C153" s="39" t="s">
        <v>416</v>
      </c>
      <c r="D153" s="15" t="s">
        <v>417</v>
      </c>
      <c r="E153" s="15" t="s">
        <v>418</v>
      </c>
      <c r="F153" s="58">
        <v>49.95</v>
      </c>
      <c r="G153" s="56">
        <v>59.95</v>
      </c>
      <c r="H153" s="52">
        <v>69.95</v>
      </c>
      <c r="I153" s="32"/>
      <c r="J153" s="32"/>
      <c r="K153" s="32"/>
      <c r="L153" s="32"/>
      <c r="M153" s="32"/>
      <c r="N153" s="32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</sheetData>
  <mergeCells count="7">
    <mergeCell ref="A1:N2"/>
    <mergeCell ref="A4:A9"/>
    <mergeCell ref="B4:B32"/>
    <mergeCell ref="B33:B53"/>
    <mergeCell ref="B54:B75"/>
    <mergeCell ref="B76:B126"/>
    <mergeCell ref="B127:B1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5" max="5" width="11.5"/>
    <col customWidth="1" min="10" max="10" width="13.63"/>
    <col customWidth="1" min="11" max="11" width="13.25"/>
    <col customWidth="1" min="12" max="12" width="13.13"/>
    <col customWidth="1" min="13" max="13" width="14.13"/>
    <col customWidth="1" min="14" max="14" width="30.13"/>
  </cols>
  <sheetData>
    <row r="1">
      <c r="A1" s="76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9" t="s">
        <v>1</v>
      </c>
      <c r="B3" s="10" t="s">
        <v>2</v>
      </c>
      <c r="C3" s="11" t="s">
        <v>3</v>
      </c>
      <c r="D3" s="10" t="s">
        <v>4</v>
      </c>
      <c r="E3" s="10" t="s">
        <v>5</v>
      </c>
      <c r="F3" s="12" t="s">
        <v>6</v>
      </c>
      <c r="G3" s="13" t="s">
        <v>7</v>
      </c>
      <c r="H3" s="14" t="s">
        <v>8</v>
      </c>
      <c r="I3" s="15" t="s">
        <v>420</v>
      </c>
      <c r="J3" s="15" t="s">
        <v>421</v>
      </c>
      <c r="K3" s="15" t="s">
        <v>422</v>
      </c>
      <c r="L3" s="15" t="s">
        <v>423</v>
      </c>
      <c r="M3" s="15" t="s">
        <v>424</v>
      </c>
      <c r="N3" s="17" t="s">
        <v>14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425</v>
      </c>
      <c r="B4" s="20" t="s">
        <v>16</v>
      </c>
      <c r="C4" s="21" t="s">
        <v>17</v>
      </c>
      <c r="D4" s="22" t="s">
        <v>17</v>
      </c>
      <c r="E4" s="23" t="s">
        <v>18</v>
      </c>
      <c r="F4" s="24" t="s">
        <v>17</v>
      </c>
      <c r="G4" s="24" t="s">
        <v>17</v>
      </c>
      <c r="H4" s="25" t="s">
        <v>17</v>
      </c>
      <c r="I4" s="25" t="s">
        <v>17</v>
      </c>
      <c r="J4" s="25" t="s">
        <v>17</v>
      </c>
      <c r="K4" s="25" t="s">
        <v>17</v>
      </c>
      <c r="L4" s="25" t="s">
        <v>17</v>
      </c>
      <c r="M4" s="25" t="s">
        <v>17</v>
      </c>
      <c r="N4" s="25" t="s">
        <v>17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7"/>
      <c r="B5" s="27"/>
      <c r="C5" s="28" t="s">
        <v>19</v>
      </c>
      <c r="D5" s="15" t="s">
        <v>20</v>
      </c>
      <c r="E5" s="15" t="s">
        <v>21</v>
      </c>
      <c r="F5" s="29">
        <v>329.0</v>
      </c>
      <c r="G5" s="30">
        <v>399.0</v>
      </c>
      <c r="H5" s="31">
        <v>399.0</v>
      </c>
      <c r="I5" s="32"/>
      <c r="J5" s="32"/>
      <c r="K5" s="57" t="s">
        <v>426</v>
      </c>
      <c r="L5" s="57" t="s">
        <v>427</v>
      </c>
      <c r="M5" s="32"/>
      <c r="N5" s="32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22</v>
      </c>
      <c r="D6" s="15" t="s">
        <v>23</v>
      </c>
      <c r="E6" s="15" t="s">
        <v>24</v>
      </c>
      <c r="F6" s="29">
        <v>319.0</v>
      </c>
      <c r="G6" s="30">
        <v>389.0</v>
      </c>
      <c r="H6" s="31">
        <v>389.0</v>
      </c>
      <c r="I6" s="32"/>
      <c r="J6" s="32"/>
      <c r="K6" s="57" t="s">
        <v>426</v>
      </c>
      <c r="L6" s="57" t="s">
        <v>427</v>
      </c>
      <c r="M6" s="32"/>
      <c r="N6" s="32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26</v>
      </c>
      <c r="D7" s="15" t="s">
        <v>27</v>
      </c>
      <c r="E7" s="15" t="s">
        <v>28</v>
      </c>
      <c r="F7" s="35">
        <f t="shared" ref="F7:G7" si="1">F6+50</f>
        <v>369</v>
      </c>
      <c r="G7" s="30">
        <f t="shared" si="1"/>
        <v>439</v>
      </c>
      <c r="H7" s="31">
        <v>439.0</v>
      </c>
      <c r="I7" s="32"/>
      <c r="J7" s="15"/>
      <c r="K7" s="57"/>
      <c r="L7" s="57"/>
      <c r="M7" s="32"/>
      <c r="N7" s="32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29</v>
      </c>
      <c r="D8" s="15" t="s">
        <v>30</v>
      </c>
      <c r="E8" s="37" t="s">
        <v>31</v>
      </c>
      <c r="F8" s="29">
        <v>399.0</v>
      </c>
      <c r="G8" s="30">
        <v>489.0</v>
      </c>
      <c r="H8" s="31">
        <v>489.0</v>
      </c>
      <c r="I8" s="32"/>
      <c r="J8" s="15"/>
      <c r="K8" s="57" t="s">
        <v>426</v>
      </c>
      <c r="L8" s="57" t="s">
        <v>427</v>
      </c>
      <c r="M8" s="32"/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8"/>
      <c r="B9" s="27"/>
      <c r="C9" s="28" t="s">
        <v>32</v>
      </c>
      <c r="D9" s="37" t="s">
        <v>33</v>
      </c>
      <c r="E9" s="15" t="s">
        <v>34</v>
      </c>
      <c r="F9" s="29">
        <v>629.0</v>
      </c>
      <c r="G9" s="30">
        <v>629.0</v>
      </c>
      <c r="H9" s="31">
        <v>519.0</v>
      </c>
      <c r="I9" s="32"/>
      <c r="J9" s="15"/>
      <c r="K9" s="57" t="s">
        <v>426</v>
      </c>
      <c r="L9" s="57" t="s">
        <v>427</v>
      </c>
      <c r="M9" s="57" t="s">
        <v>428</v>
      </c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27"/>
      <c r="C10" s="28" t="s">
        <v>35</v>
      </c>
      <c r="D10" s="15" t="s">
        <v>36</v>
      </c>
      <c r="E10" s="15" t="s">
        <v>37</v>
      </c>
      <c r="F10" s="35">
        <f>F9+50</f>
        <v>679</v>
      </c>
      <c r="G10" s="30">
        <v>679.0</v>
      </c>
      <c r="H10" s="31">
        <v>569.0</v>
      </c>
      <c r="I10" s="32"/>
      <c r="J10" s="15"/>
      <c r="K10" s="57" t="s">
        <v>426</v>
      </c>
      <c r="L10" s="57" t="s">
        <v>427</v>
      </c>
      <c r="M10" s="57" t="s">
        <v>428</v>
      </c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38</v>
      </c>
      <c r="D11" s="15" t="s">
        <v>39</v>
      </c>
      <c r="E11" s="15" t="s">
        <v>40</v>
      </c>
      <c r="F11" s="29">
        <v>699.0</v>
      </c>
      <c r="G11" s="30">
        <v>999.0</v>
      </c>
      <c r="H11" s="31">
        <v>999.0</v>
      </c>
      <c r="I11" s="32"/>
      <c r="J11" s="57" t="s">
        <v>429</v>
      </c>
      <c r="K11" s="57" t="s">
        <v>429</v>
      </c>
      <c r="L11" s="57" t="s">
        <v>429</v>
      </c>
      <c r="M11" s="57" t="s">
        <v>429</v>
      </c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42</v>
      </c>
      <c r="D12" s="15" t="s">
        <v>43</v>
      </c>
      <c r="E12" s="15" t="s">
        <v>44</v>
      </c>
      <c r="F12" s="35">
        <f>F11+50</f>
        <v>749</v>
      </c>
      <c r="G12" s="30">
        <v>1049.0</v>
      </c>
      <c r="H12" s="31">
        <v>1049.0</v>
      </c>
      <c r="I12" s="32"/>
      <c r="J12" s="57" t="s">
        <v>429</v>
      </c>
      <c r="K12" s="57" t="s">
        <v>429</v>
      </c>
      <c r="L12" s="57" t="s">
        <v>429</v>
      </c>
      <c r="M12" s="57" t="s">
        <v>429</v>
      </c>
      <c r="N12" s="3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1" t="s">
        <v>17</v>
      </c>
      <c r="D13" s="22" t="s">
        <v>17</v>
      </c>
      <c r="E13" s="23" t="s">
        <v>45</v>
      </c>
      <c r="F13" s="24" t="s">
        <v>17</v>
      </c>
      <c r="G13" s="24" t="s">
        <v>17</v>
      </c>
      <c r="H13" s="25" t="s">
        <v>17</v>
      </c>
      <c r="I13" s="25" t="s">
        <v>17</v>
      </c>
      <c r="J13" s="25" t="s">
        <v>17</v>
      </c>
      <c r="K13" s="25" t="s">
        <v>17</v>
      </c>
      <c r="L13" s="25" t="s">
        <v>17</v>
      </c>
      <c r="M13" s="25" t="s">
        <v>17</v>
      </c>
      <c r="N13" s="25" t="s">
        <v>17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39" t="s">
        <v>46</v>
      </c>
      <c r="D14" s="40" t="s">
        <v>47</v>
      </c>
      <c r="E14" s="15" t="s">
        <v>48</v>
      </c>
      <c r="F14" s="35">
        <f t="shared" ref="F14:F32" si="2">G14*0.9</f>
        <v>71.991</v>
      </c>
      <c r="G14" s="41">
        <v>79.99</v>
      </c>
      <c r="H14" s="42">
        <v>89.95</v>
      </c>
      <c r="I14" s="32"/>
      <c r="J14" s="15"/>
      <c r="K14" s="15"/>
      <c r="L14" s="15"/>
      <c r="M14" s="32"/>
      <c r="N14" s="32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49</v>
      </c>
      <c r="D15" s="40" t="s">
        <v>50</v>
      </c>
      <c r="E15" s="15" t="s">
        <v>51</v>
      </c>
      <c r="F15" s="35">
        <f t="shared" si="2"/>
        <v>103.491</v>
      </c>
      <c r="G15" s="41">
        <v>114.99</v>
      </c>
      <c r="H15" s="42">
        <v>124.95</v>
      </c>
      <c r="I15" s="32"/>
      <c r="J15" s="15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52</v>
      </c>
      <c r="D16" s="40" t="s">
        <v>53</v>
      </c>
      <c r="E16" s="15" t="s">
        <v>54</v>
      </c>
      <c r="F16" s="35">
        <f t="shared" si="2"/>
        <v>40.455</v>
      </c>
      <c r="G16" s="41">
        <v>44.95</v>
      </c>
      <c r="H16" s="42">
        <v>54.95</v>
      </c>
      <c r="I16" s="32"/>
      <c r="J16" s="15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55</v>
      </c>
      <c r="D17" s="40" t="s">
        <v>56</v>
      </c>
      <c r="E17" s="15" t="s">
        <v>57</v>
      </c>
      <c r="F17" s="35">
        <f t="shared" si="2"/>
        <v>13.491</v>
      </c>
      <c r="G17" s="41">
        <v>14.99</v>
      </c>
      <c r="H17" s="42">
        <v>24.95</v>
      </c>
      <c r="I17" s="32"/>
      <c r="J17" s="15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58</v>
      </c>
      <c r="D18" s="40" t="s">
        <v>59</v>
      </c>
      <c r="E18" s="15" t="s">
        <v>60</v>
      </c>
      <c r="F18" s="35">
        <f t="shared" si="2"/>
        <v>40.455</v>
      </c>
      <c r="G18" s="41">
        <v>44.95</v>
      </c>
      <c r="H18" s="42">
        <v>54.95</v>
      </c>
      <c r="I18" s="32"/>
      <c r="J18" s="15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61</v>
      </c>
      <c r="D19" s="40" t="s">
        <v>62</v>
      </c>
      <c r="E19" s="15" t="s">
        <v>63</v>
      </c>
      <c r="F19" s="35">
        <f t="shared" si="2"/>
        <v>137.691</v>
      </c>
      <c r="G19" s="41">
        <v>152.99</v>
      </c>
      <c r="H19" s="31">
        <v>178.0</v>
      </c>
      <c r="I19" s="32"/>
      <c r="J19" s="15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64</v>
      </c>
      <c r="D20" s="40" t="s">
        <v>65</v>
      </c>
      <c r="E20" s="15" t="s">
        <v>66</v>
      </c>
      <c r="F20" s="35">
        <f t="shared" si="2"/>
        <v>53.955</v>
      </c>
      <c r="G20" s="41">
        <v>59.95</v>
      </c>
      <c r="H20" s="42">
        <v>69.9</v>
      </c>
      <c r="I20" s="32"/>
      <c r="J20" s="15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67</v>
      </c>
      <c r="D21" s="40" t="s">
        <v>68</v>
      </c>
      <c r="E21" s="15" t="s">
        <v>69</v>
      </c>
      <c r="F21" s="35">
        <f t="shared" si="2"/>
        <v>17.955</v>
      </c>
      <c r="G21" s="41">
        <v>19.95</v>
      </c>
      <c r="H21" s="42">
        <v>24.95</v>
      </c>
      <c r="I21" s="32"/>
      <c r="J21" s="15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70</v>
      </c>
      <c r="D22" s="40" t="s">
        <v>71</v>
      </c>
      <c r="E22" s="15" t="s">
        <v>72</v>
      </c>
      <c r="F22" s="35">
        <f t="shared" si="2"/>
        <v>53.955</v>
      </c>
      <c r="G22" s="41">
        <v>59.95</v>
      </c>
      <c r="H22" s="42">
        <v>69.95</v>
      </c>
      <c r="I22" s="32"/>
      <c r="J22" s="15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73</v>
      </c>
      <c r="D23" s="40" t="s">
        <v>74</v>
      </c>
      <c r="E23" s="15" t="s">
        <v>75</v>
      </c>
      <c r="F23" s="35">
        <f t="shared" si="2"/>
        <v>287.091</v>
      </c>
      <c r="G23" s="41">
        <v>318.99</v>
      </c>
      <c r="H23" s="42">
        <v>343.99</v>
      </c>
      <c r="I23" s="32"/>
      <c r="J23" s="15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76</v>
      </c>
      <c r="D24" s="40" t="s">
        <v>77</v>
      </c>
      <c r="E24" s="15" t="s">
        <v>78</v>
      </c>
      <c r="F24" s="35">
        <f t="shared" si="2"/>
        <v>112.5</v>
      </c>
      <c r="G24" s="30">
        <v>125.0</v>
      </c>
      <c r="H24" s="42">
        <v>134.92</v>
      </c>
      <c r="I24" s="32"/>
      <c r="J24" s="15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79</v>
      </c>
      <c r="D25" s="40" t="s">
        <v>80</v>
      </c>
      <c r="E25" s="15" t="s">
        <v>81</v>
      </c>
      <c r="F25" s="35">
        <f t="shared" si="2"/>
        <v>31.5</v>
      </c>
      <c r="G25" s="30">
        <v>35.0</v>
      </c>
      <c r="H25" s="42">
        <v>44.95</v>
      </c>
      <c r="I25" s="32"/>
      <c r="J25" s="15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82</v>
      </c>
      <c r="D26" s="40" t="s">
        <v>83</v>
      </c>
      <c r="E26" s="15" t="s">
        <v>84</v>
      </c>
      <c r="F26" s="35">
        <f t="shared" si="2"/>
        <v>112.5</v>
      </c>
      <c r="G26" s="30">
        <v>125.0</v>
      </c>
      <c r="H26" s="42">
        <v>134.95</v>
      </c>
      <c r="I26" s="32"/>
      <c r="J26" s="15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85</v>
      </c>
      <c r="D27" s="40" t="s">
        <v>86</v>
      </c>
      <c r="E27" s="15" t="s">
        <v>87</v>
      </c>
      <c r="F27" s="35">
        <f t="shared" si="2"/>
        <v>44.955</v>
      </c>
      <c r="G27" s="41">
        <v>49.95</v>
      </c>
      <c r="H27" s="42">
        <v>59.95</v>
      </c>
      <c r="I27" s="32"/>
      <c r="J27" s="15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88</v>
      </c>
      <c r="D28" s="40" t="s">
        <v>89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15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90</v>
      </c>
      <c r="D29" s="40" t="s">
        <v>91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15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92</v>
      </c>
      <c r="D30" s="40" t="s">
        <v>93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15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94</v>
      </c>
      <c r="D31" s="40" t="s">
        <v>95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15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96</v>
      </c>
      <c r="D32" s="40" t="s">
        <v>97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15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0" t="s">
        <v>98</v>
      </c>
      <c r="C33" s="21" t="s">
        <v>17</v>
      </c>
      <c r="D33" s="22" t="s">
        <v>17</v>
      </c>
      <c r="E33" s="23" t="s">
        <v>99</v>
      </c>
      <c r="F33" s="24" t="s">
        <v>17</v>
      </c>
      <c r="G33" s="24" t="s">
        <v>17</v>
      </c>
      <c r="H33" s="25" t="s">
        <v>17</v>
      </c>
      <c r="I33" s="25" t="s">
        <v>17</v>
      </c>
      <c r="J33" s="25" t="s">
        <v>17</v>
      </c>
      <c r="K33" s="25" t="s">
        <v>17</v>
      </c>
      <c r="L33" s="25" t="s">
        <v>17</v>
      </c>
      <c r="M33" s="25" t="s">
        <v>17</v>
      </c>
      <c r="N33" s="25" t="s">
        <v>17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7"/>
      <c r="C34" s="43" t="s">
        <v>100</v>
      </c>
      <c r="D34" s="15" t="s">
        <v>101</v>
      </c>
      <c r="E34" s="15" t="s">
        <v>102</v>
      </c>
      <c r="F34" s="35">
        <f t="shared" ref="F34:F35" si="3">G34*0.8</f>
        <v>359.2</v>
      </c>
      <c r="G34" s="41">
        <v>449.0</v>
      </c>
      <c r="H34" s="31">
        <v>449.0</v>
      </c>
      <c r="I34" s="32"/>
      <c r="J34" s="15"/>
      <c r="K34" s="15">
        <v>50.0</v>
      </c>
      <c r="L34" s="77">
        <v>50.0</v>
      </c>
      <c r="M34" s="32"/>
      <c r="N34" s="78" t="s">
        <v>430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5" t="s">
        <v>103</v>
      </c>
      <c r="D35" s="15" t="s">
        <v>104</v>
      </c>
      <c r="E35" s="15" t="s">
        <v>105</v>
      </c>
      <c r="F35" s="35">
        <f t="shared" si="3"/>
        <v>375.2</v>
      </c>
      <c r="G35" s="41">
        <v>469.0</v>
      </c>
      <c r="H35" s="31">
        <v>469.0</v>
      </c>
      <c r="I35" s="32"/>
      <c r="J35" s="15"/>
      <c r="K35" s="15">
        <v>50.0</v>
      </c>
      <c r="L35" s="77">
        <v>50.0</v>
      </c>
      <c r="M35" s="32"/>
      <c r="N35" s="27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28" t="s">
        <v>106</v>
      </c>
      <c r="D36" s="15" t="s">
        <v>107</v>
      </c>
      <c r="E36" s="15" t="s">
        <v>108</v>
      </c>
      <c r="F36" s="35"/>
      <c r="G36" s="46"/>
      <c r="H36" s="31">
        <v>464.0</v>
      </c>
      <c r="I36" s="32"/>
      <c r="J36" s="15"/>
      <c r="K36" s="15">
        <v>50.0</v>
      </c>
      <c r="L36" s="77">
        <v>50.0</v>
      </c>
      <c r="M36" s="32"/>
      <c r="N36" s="2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109</v>
      </c>
      <c r="D37" s="15" t="s">
        <v>110</v>
      </c>
      <c r="E37" s="15" t="s">
        <v>111</v>
      </c>
      <c r="F37" s="35">
        <f t="shared" ref="F37:F42" si="4">G37*0.8</f>
        <v>399.2</v>
      </c>
      <c r="G37" s="41">
        <v>499.0</v>
      </c>
      <c r="H37" s="31">
        <v>499.0</v>
      </c>
      <c r="I37" s="32"/>
      <c r="J37" s="15"/>
      <c r="K37" s="15">
        <v>50.0</v>
      </c>
      <c r="L37" s="77">
        <v>50.0</v>
      </c>
      <c r="M37" s="32"/>
      <c r="N37" s="2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43" t="s">
        <v>112</v>
      </c>
      <c r="D38" s="15" t="s">
        <v>113</v>
      </c>
      <c r="E38" s="15" t="s">
        <v>114</v>
      </c>
      <c r="F38" s="35">
        <f t="shared" si="4"/>
        <v>415.2</v>
      </c>
      <c r="G38" s="41">
        <v>519.0</v>
      </c>
      <c r="H38" s="31">
        <v>519.0</v>
      </c>
      <c r="I38" s="32"/>
      <c r="J38" s="15"/>
      <c r="K38" s="15">
        <v>50.0</v>
      </c>
      <c r="L38" s="77">
        <v>50.0</v>
      </c>
      <c r="M38" s="32"/>
      <c r="N38" s="2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115</v>
      </c>
      <c r="D39" s="15" t="s">
        <v>116</v>
      </c>
      <c r="E39" s="15" t="s">
        <v>117</v>
      </c>
      <c r="F39" s="35">
        <f t="shared" si="4"/>
        <v>287.2</v>
      </c>
      <c r="G39" s="41">
        <v>359.0</v>
      </c>
      <c r="H39" s="31">
        <v>359.0</v>
      </c>
      <c r="I39" s="32"/>
      <c r="J39" s="15"/>
      <c r="K39" s="15">
        <v>20.0</v>
      </c>
      <c r="L39" s="77">
        <v>20.0</v>
      </c>
      <c r="M39" s="57"/>
      <c r="N39" s="2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118</v>
      </c>
      <c r="D40" s="15" t="s">
        <v>119</v>
      </c>
      <c r="E40" s="15" t="s">
        <v>120</v>
      </c>
      <c r="F40" s="35">
        <f t="shared" si="4"/>
        <v>303.2</v>
      </c>
      <c r="G40" s="48">
        <v>379.0</v>
      </c>
      <c r="H40" s="31">
        <v>379.0</v>
      </c>
      <c r="I40" s="32"/>
      <c r="J40" s="15"/>
      <c r="K40" s="15">
        <v>20.0</v>
      </c>
      <c r="L40" s="77">
        <v>20.0</v>
      </c>
      <c r="M40" s="32"/>
      <c r="N40" s="2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28" t="s">
        <v>121</v>
      </c>
      <c r="D41" s="15" t="s">
        <v>122</v>
      </c>
      <c r="E41" s="15" t="s">
        <v>123</v>
      </c>
      <c r="F41" s="35">
        <f t="shared" si="4"/>
        <v>287.2</v>
      </c>
      <c r="G41" s="41">
        <v>359.0</v>
      </c>
      <c r="H41" s="31">
        <v>369.0</v>
      </c>
      <c r="I41" s="32"/>
      <c r="J41" s="15"/>
      <c r="K41" s="15">
        <v>20.0</v>
      </c>
      <c r="L41" s="77">
        <v>20.0</v>
      </c>
      <c r="M41" s="32"/>
      <c r="N41" s="2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43" t="s">
        <v>124</v>
      </c>
      <c r="D42" s="15" t="s">
        <v>125</v>
      </c>
      <c r="E42" s="15" t="s">
        <v>126</v>
      </c>
      <c r="F42" s="35">
        <f t="shared" si="4"/>
        <v>303.2</v>
      </c>
      <c r="G42" s="48">
        <v>379.0</v>
      </c>
      <c r="H42" s="31">
        <v>389.0</v>
      </c>
      <c r="I42" s="32"/>
      <c r="J42" s="15"/>
      <c r="K42" s="15">
        <v>20.0</v>
      </c>
      <c r="L42" s="77">
        <v>20.0</v>
      </c>
      <c r="M42" s="32"/>
      <c r="N42" s="3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21" t="s">
        <v>17</v>
      </c>
      <c r="D43" s="22" t="s">
        <v>17</v>
      </c>
      <c r="E43" s="23" t="s">
        <v>127</v>
      </c>
      <c r="F43" s="24" t="s">
        <v>17</v>
      </c>
      <c r="G43" s="24" t="s">
        <v>17</v>
      </c>
      <c r="H43" s="25" t="s">
        <v>17</v>
      </c>
      <c r="I43" s="25" t="s">
        <v>17</v>
      </c>
      <c r="J43" s="25" t="s">
        <v>17</v>
      </c>
      <c r="K43" s="25" t="s">
        <v>17</v>
      </c>
      <c r="L43" s="79" t="s">
        <v>17</v>
      </c>
      <c r="M43" s="25" t="s">
        <v>17</v>
      </c>
      <c r="N43" s="25" t="s">
        <v>17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43" t="s">
        <v>128</v>
      </c>
      <c r="D44" s="49" t="s">
        <v>129</v>
      </c>
      <c r="E44" s="32" t="s">
        <v>130</v>
      </c>
      <c r="F44" s="50">
        <f t="shared" ref="F44:F53" si="5">H44</f>
        <v>59.95</v>
      </c>
      <c r="G44" s="51">
        <f t="shared" ref="G44:G53" si="6">H44</f>
        <v>59.95</v>
      </c>
      <c r="H44" s="52">
        <v>59.95</v>
      </c>
      <c r="I44" s="32"/>
      <c r="J44" s="32"/>
      <c r="K44" s="32"/>
      <c r="L44" s="32"/>
      <c r="M44" s="32"/>
      <c r="N44" s="32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131</v>
      </c>
      <c r="D45" s="15" t="s">
        <v>132</v>
      </c>
      <c r="E45" s="32" t="s">
        <v>133</v>
      </c>
      <c r="F45" s="50">
        <f t="shared" si="5"/>
        <v>59.95</v>
      </c>
      <c r="G45" s="51">
        <f t="shared" si="6"/>
        <v>59.95</v>
      </c>
      <c r="H45" s="52">
        <v>59.95</v>
      </c>
      <c r="I45" s="32"/>
      <c r="J45" s="32"/>
      <c r="K45" s="32"/>
      <c r="L45" s="32"/>
      <c r="M45" s="32"/>
      <c r="N45" s="32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43" t="s">
        <v>134</v>
      </c>
      <c r="D46" s="15" t="s">
        <v>135</v>
      </c>
      <c r="E46" s="32" t="s">
        <v>136</v>
      </c>
      <c r="F46" s="50">
        <f t="shared" si="5"/>
        <v>33.95</v>
      </c>
      <c r="G46" s="51">
        <f t="shared" si="6"/>
        <v>33.95</v>
      </c>
      <c r="H46" s="52">
        <v>33.95</v>
      </c>
      <c r="I46" s="32"/>
      <c r="J46" s="32"/>
      <c r="K46" s="32"/>
      <c r="L46" s="32"/>
      <c r="M46" s="32"/>
      <c r="N46" s="32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137</v>
      </c>
      <c r="D47" s="15" t="s">
        <v>138</v>
      </c>
      <c r="E47" s="32" t="s">
        <v>139</v>
      </c>
      <c r="F47" s="50">
        <f t="shared" si="5"/>
        <v>42.95</v>
      </c>
      <c r="G47" s="51">
        <f t="shared" si="6"/>
        <v>42.95</v>
      </c>
      <c r="H47" s="52">
        <v>42.95</v>
      </c>
      <c r="I47" s="32"/>
      <c r="J47" s="32"/>
      <c r="K47" s="32"/>
      <c r="L47" s="32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140</v>
      </c>
      <c r="D48" s="15" t="s">
        <v>141</v>
      </c>
      <c r="E48" s="32" t="s">
        <v>142</v>
      </c>
      <c r="F48" s="50">
        <f t="shared" si="5"/>
        <v>79.95</v>
      </c>
      <c r="G48" s="51">
        <f t="shared" si="6"/>
        <v>79.95</v>
      </c>
      <c r="H48" s="52">
        <v>79.95</v>
      </c>
      <c r="I48" s="32"/>
      <c r="J48" s="32"/>
      <c r="K48" s="32"/>
      <c r="L48" s="32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143</v>
      </c>
      <c r="D49" s="15" t="s">
        <v>144</v>
      </c>
      <c r="E49" s="15" t="s">
        <v>145</v>
      </c>
      <c r="F49" s="50">
        <f t="shared" si="5"/>
        <v>42.95</v>
      </c>
      <c r="G49" s="51">
        <f t="shared" si="6"/>
        <v>42.95</v>
      </c>
      <c r="H49" s="52">
        <v>42.95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146</v>
      </c>
      <c r="D50" s="15" t="s">
        <v>147</v>
      </c>
      <c r="E50" s="15" t="s">
        <v>148</v>
      </c>
      <c r="F50" s="50">
        <f t="shared" si="5"/>
        <v>59.95</v>
      </c>
      <c r="G50" s="51">
        <f t="shared" si="6"/>
        <v>59.95</v>
      </c>
      <c r="H50" s="52">
        <v>59.95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149</v>
      </c>
      <c r="D51" s="15" t="s">
        <v>150</v>
      </c>
      <c r="E51" s="15" t="s">
        <v>151</v>
      </c>
      <c r="F51" s="50">
        <f t="shared" si="5"/>
        <v>33.95</v>
      </c>
      <c r="G51" s="51">
        <f t="shared" si="6"/>
        <v>33.95</v>
      </c>
      <c r="H51" s="52">
        <v>33.95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152</v>
      </c>
      <c r="D52" s="53" t="s">
        <v>153</v>
      </c>
      <c r="E52" s="15" t="s">
        <v>154</v>
      </c>
      <c r="F52" s="50">
        <f t="shared" si="5"/>
        <v>80</v>
      </c>
      <c r="G52" s="51">
        <f t="shared" si="6"/>
        <v>80</v>
      </c>
      <c r="H52" s="54">
        <v>80.0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38"/>
      <c r="C53" s="28" t="s">
        <v>155</v>
      </c>
      <c r="D53" s="53" t="s">
        <v>156</v>
      </c>
      <c r="E53" s="15" t="s">
        <v>157</v>
      </c>
      <c r="F53" s="50">
        <f t="shared" si="5"/>
        <v>29.95</v>
      </c>
      <c r="G53" s="51">
        <f t="shared" si="6"/>
        <v>29.95</v>
      </c>
      <c r="H53" s="52">
        <v>29.95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0" t="s">
        <v>158</v>
      </c>
      <c r="C54" s="21" t="s">
        <v>17</v>
      </c>
      <c r="D54" s="22" t="s">
        <v>17</v>
      </c>
      <c r="E54" s="23" t="s">
        <v>159</v>
      </c>
      <c r="F54" s="24" t="s">
        <v>17</v>
      </c>
      <c r="G54" s="24" t="s">
        <v>17</v>
      </c>
      <c r="H54" s="25" t="s">
        <v>17</v>
      </c>
      <c r="I54" s="25" t="s">
        <v>17</v>
      </c>
      <c r="J54" s="25" t="s">
        <v>17</v>
      </c>
      <c r="K54" s="25" t="s">
        <v>17</v>
      </c>
      <c r="L54" s="25" t="s">
        <v>17</v>
      </c>
      <c r="M54" s="25" t="s">
        <v>17</v>
      </c>
      <c r="N54" s="25" t="s">
        <v>17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55" t="s">
        <v>160</v>
      </c>
      <c r="D55" s="15" t="s">
        <v>161</v>
      </c>
      <c r="E55" s="15" t="s">
        <v>162</v>
      </c>
      <c r="F55" s="50">
        <f t="shared" ref="F55:F57" si="7">H55*80%</f>
        <v>208</v>
      </c>
      <c r="G55" s="56">
        <v>260.0</v>
      </c>
      <c r="H55" s="52">
        <v>260.0</v>
      </c>
      <c r="I55" s="57" t="s">
        <v>175</v>
      </c>
      <c r="J55" s="57" t="s">
        <v>175</v>
      </c>
      <c r="K55" s="57" t="s">
        <v>175</v>
      </c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55" t="s">
        <v>164</v>
      </c>
      <c r="D56" s="15" t="s">
        <v>165</v>
      </c>
      <c r="E56" s="15" t="s">
        <v>166</v>
      </c>
      <c r="F56" s="50">
        <f t="shared" si="7"/>
        <v>208</v>
      </c>
      <c r="G56" s="56">
        <v>260.0</v>
      </c>
      <c r="H56" s="52">
        <v>260.0</v>
      </c>
      <c r="I56" s="57" t="s">
        <v>175</v>
      </c>
      <c r="J56" s="57" t="s">
        <v>175</v>
      </c>
      <c r="K56" s="57" t="s">
        <v>175</v>
      </c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7"/>
      <c r="C57" s="55" t="s">
        <v>167</v>
      </c>
      <c r="D57" s="15" t="s">
        <v>168</v>
      </c>
      <c r="E57" s="15" t="s">
        <v>169</v>
      </c>
      <c r="F57" s="50">
        <f t="shared" si="7"/>
        <v>208</v>
      </c>
      <c r="G57" s="56">
        <v>260.0</v>
      </c>
      <c r="H57" s="52">
        <v>260.0</v>
      </c>
      <c r="I57" s="57" t="s">
        <v>175</v>
      </c>
      <c r="J57" s="57" t="s">
        <v>175</v>
      </c>
      <c r="K57" s="57" t="s">
        <v>175</v>
      </c>
      <c r="L57" s="32"/>
      <c r="M57" s="32"/>
      <c r="N57" s="32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21" t="s">
        <v>17</v>
      </c>
      <c r="D58" s="22" t="s">
        <v>17</v>
      </c>
      <c r="E58" s="23" t="s">
        <v>170</v>
      </c>
      <c r="F58" s="24" t="s">
        <v>17</v>
      </c>
      <c r="G58" s="24" t="s">
        <v>17</v>
      </c>
      <c r="H58" s="25" t="s">
        <v>17</v>
      </c>
      <c r="I58" s="25" t="s">
        <v>17</v>
      </c>
      <c r="J58" s="25" t="s">
        <v>17</v>
      </c>
      <c r="K58" s="25" t="s">
        <v>17</v>
      </c>
      <c r="L58" s="25" t="s">
        <v>17</v>
      </c>
      <c r="M58" s="25" t="s">
        <v>17</v>
      </c>
      <c r="N58" s="25" t="s">
        <v>17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171</v>
      </c>
      <c r="D59" s="15" t="s">
        <v>172</v>
      </c>
      <c r="E59" s="15" t="s">
        <v>173</v>
      </c>
      <c r="F59" s="50">
        <f t="shared" ref="F59:F65" si="8">H59*70%</f>
        <v>51.1</v>
      </c>
      <c r="G59" s="56">
        <v>73.0</v>
      </c>
      <c r="H59" s="52">
        <v>73.0</v>
      </c>
      <c r="I59" s="57" t="s">
        <v>175</v>
      </c>
      <c r="J59" s="57" t="s">
        <v>175</v>
      </c>
      <c r="K59" s="57" t="s">
        <v>175</v>
      </c>
      <c r="L59" s="32"/>
      <c r="M59" s="32"/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176</v>
      </c>
      <c r="D60" s="15" t="s">
        <v>177</v>
      </c>
      <c r="E60" s="15" t="s">
        <v>178</v>
      </c>
      <c r="F60" s="50">
        <f t="shared" si="8"/>
        <v>51.1</v>
      </c>
      <c r="G60" s="56">
        <v>73.0</v>
      </c>
      <c r="H60" s="52">
        <v>73.0</v>
      </c>
      <c r="I60" s="57" t="s">
        <v>175</v>
      </c>
      <c r="J60" s="57" t="s">
        <v>175</v>
      </c>
      <c r="K60" s="57" t="s">
        <v>175</v>
      </c>
      <c r="L60" s="32"/>
      <c r="M60" s="32"/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179</v>
      </c>
      <c r="D61" s="15" t="s">
        <v>180</v>
      </c>
      <c r="E61" s="15" t="s">
        <v>181</v>
      </c>
      <c r="F61" s="50">
        <f t="shared" si="8"/>
        <v>57.365</v>
      </c>
      <c r="G61" s="56">
        <v>81.95</v>
      </c>
      <c r="H61" s="52">
        <v>81.95</v>
      </c>
      <c r="I61" s="57" t="s">
        <v>175</v>
      </c>
      <c r="J61" s="57" t="s">
        <v>175</v>
      </c>
      <c r="K61" s="57" t="s">
        <v>175</v>
      </c>
      <c r="L61" s="32"/>
      <c r="M61" s="32"/>
      <c r="N61" s="32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182</v>
      </c>
      <c r="D62" s="15" t="s">
        <v>183</v>
      </c>
      <c r="E62" s="15" t="s">
        <v>184</v>
      </c>
      <c r="F62" s="50">
        <f t="shared" si="8"/>
        <v>60.865</v>
      </c>
      <c r="G62" s="56">
        <v>86.95</v>
      </c>
      <c r="H62" s="52">
        <v>86.95</v>
      </c>
      <c r="I62" s="57" t="s">
        <v>175</v>
      </c>
      <c r="J62" s="57" t="s">
        <v>175</v>
      </c>
      <c r="K62" s="57" t="s">
        <v>175</v>
      </c>
      <c r="L62" s="32"/>
      <c r="M62" s="32"/>
      <c r="N62" s="32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185</v>
      </c>
      <c r="D63" s="15" t="s">
        <v>186</v>
      </c>
      <c r="E63" s="15" t="s">
        <v>187</v>
      </c>
      <c r="F63" s="50">
        <f t="shared" si="8"/>
        <v>67.165</v>
      </c>
      <c r="G63" s="56">
        <v>95.95</v>
      </c>
      <c r="H63" s="52">
        <v>95.95</v>
      </c>
      <c r="I63" s="57" t="s">
        <v>175</v>
      </c>
      <c r="J63" s="57" t="s">
        <v>175</v>
      </c>
      <c r="K63" s="57" t="s">
        <v>175</v>
      </c>
      <c r="L63" s="32"/>
      <c r="M63" s="32"/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188</v>
      </c>
      <c r="D64" s="15" t="s">
        <v>189</v>
      </c>
      <c r="E64" s="15" t="s">
        <v>190</v>
      </c>
      <c r="F64" s="50">
        <f t="shared" si="8"/>
        <v>74.865</v>
      </c>
      <c r="G64" s="56">
        <v>106.95</v>
      </c>
      <c r="H64" s="52">
        <v>106.95</v>
      </c>
      <c r="I64" s="57" t="s">
        <v>175</v>
      </c>
      <c r="J64" s="57" t="s">
        <v>175</v>
      </c>
      <c r="K64" s="57" t="s">
        <v>175</v>
      </c>
      <c r="L64" s="32"/>
      <c r="M64" s="32"/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39" t="s">
        <v>191</v>
      </c>
      <c r="D65" s="15" t="s">
        <v>192</v>
      </c>
      <c r="E65" s="15" t="s">
        <v>193</v>
      </c>
      <c r="F65" s="50">
        <f t="shared" si="8"/>
        <v>74.865</v>
      </c>
      <c r="G65" s="56">
        <v>106.95</v>
      </c>
      <c r="H65" s="52">
        <v>106.95</v>
      </c>
      <c r="I65" s="57" t="s">
        <v>175</v>
      </c>
      <c r="J65" s="57" t="s">
        <v>175</v>
      </c>
      <c r="K65" s="57" t="s">
        <v>175</v>
      </c>
      <c r="L65" s="32"/>
      <c r="M65" s="32"/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21" t="s">
        <v>17</v>
      </c>
      <c r="D66" s="22" t="s">
        <v>17</v>
      </c>
      <c r="E66" s="23" t="s">
        <v>194</v>
      </c>
      <c r="F66" s="24" t="s">
        <v>17</v>
      </c>
      <c r="G66" s="24" t="s">
        <v>17</v>
      </c>
      <c r="H66" s="25" t="s">
        <v>17</v>
      </c>
      <c r="I66" s="25" t="s">
        <v>17</v>
      </c>
      <c r="J66" s="25" t="s">
        <v>17</v>
      </c>
      <c r="K66" s="25" t="s">
        <v>17</v>
      </c>
      <c r="L66" s="25" t="s">
        <v>17</v>
      </c>
      <c r="M66" s="25" t="s">
        <v>17</v>
      </c>
      <c r="N66" s="25" t="s">
        <v>17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195</v>
      </c>
      <c r="D67" s="15" t="s">
        <v>196</v>
      </c>
      <c r="E67" s="15" t="s">
        <v>197</v>
      </c>
      <c r="F67" s="50">
        <f t="shared" ref="F67:F75" si="9">H67*70%</f>
        <v>18.2</v>
      </c>
      <c r="G67" s="56">
        <v>26.0</v>
      </c>
      <c r="H67" s="54">
        <v>26.0</v>
      </c>
      <c r="I67" s="57" t="s">
        <v>175</v>
      </c>
      <c r="J67" s="57" t="s">
        <v>175</v>
      </c>
      <c r="K67" s="57" t="s">
        <v>175</v>
      </c>
      <c r="L67" s="32"/>
      <c r="M67" s="32"/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55" t="s">
        <v>198</v>
      </c>
      <c r="D68" s="15" t="s">
        <v>199</v>
      </c>
      <c r="E68" s="15" t="s">
        <v>200</v>
      </c>
      <c r="F68" s="50">
        <f t="shared" si="9"/>
        <v>18.2</v>
      </c>
      <c r="G68" s="56">
        <v>26.0</v>
      </c>
      <c r="H68" s="54">
        <v>26.0</v>
      </c>
      <c r="I68" s="57" t="s">
        <v>175</v>
      </c>
      <c r="J68" s="57" t="s">
        <v>175</v>
      </c>
      <c r="K68" s="57" t="s">
        <v>175</v>
      </c>
      <c r="L68" s="32"/>
      <c r="M68" s="32"/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55" t="s">
        <v>201</v>
      </c>
      <c r="D69" s="15" t="s">
        <v>202</v>
      </c>
      <c r="E69" s="15" t="s">
        <v>203</v>
      </c>
      <c r="F69" s="50">
        <f t="shared" si="9"/>
        <v>21</v>
      </c>
      <c r="G69" s="56">
        <v>30.0</v>
      </c>
      <c r="H69" s="54">
        <v>30.0</v>
      </c>
      <c r="I69" s="57" t="s">
        <v>175</v>
      </c>
      <c r="J69" s="57" t="s">
        <v>175</v>
      </c>
      <c r="K69" s="57" t="s">
        <v>175</v>
      </c>
      <c r="L69" s="32"/>
      <c r="M69" s="32"/>
      <c r="N69" s="32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204</v>
      </c>
      <c r="D70" s="15" t="s">
        <v>205</v>
      </c>
      <c r="E70" s="15" t="s">
        <v>206</v>
      </c>
      <c r="F70" s="50">
        <f t="shared" si="9"/>
        <v>12.6</v>
      </c>
      <c r="G70" s="56">
        <v>18.0</v>
      </c>
      <c r="H70" s="52">
        <v>18.0</v>
      </c>
      <c r="I70" s="57" t="s">
        <v>175</v>
      </c>
      <c r="J70" s="57" t="s">
        <v>175</v>
      </c>
      <c r="K70" s="57" t="s">
        <v>175</v>
      </c>
      <c r="L70" s="32"/>
      <c r="M70" s="32"/>
      <c r="N70" s="32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207</v>
      </c>
      <c r="D71" s="15" t="s">
        <v>208</v>
      </c>
      <c r="E71" s="15" t="s">
        <v>209</v>
      </c>
      <c r="F71" s="50">
        <f t="shared" si="9"/>
        <v>15.4</v>
      </c>
      <c r="G71" s="56">
        <v>22.0</v>
      </c>
      <c r="H71" s="54">
        <v>22.0</v>
      </c>
      <c r="I71" s="57" t="s">
        <v>175</v>
      </c>
      <c r="J71" s="57" t="s">
        <v>175</v>
      </c>
      <c r="K71" s="57" t="s">
        <v>175</v>
      </c>
      <c r="L71" s="32"/>
      <c r="M71" s="32"/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210</v>
      </c>
      <c r="D72" s="15" t="s">
        <v>211</v>
      </c>
      <c r="E72" s="15" t="s">
        <v>212</v>
      </c>
      <c r="F72" s="50">
        <f t="shared" si="9"/>
        <v>11.2</v>
      </c>
      <c r="G72" s="56">
        <v>16.0</v>
      </c>
      <c r="H72" s="52">
        <v>16.0</v>
      </c>
      <c r="I72" s="57" t="s">
        <v>175</v>
      </c>
      <c r="J72" s="57" t="s">
        <v>175</v>
      </c>
      <c r="K72" s="57" t="s">
        <v>175</v>
      </c>
      <c r="L72" s="32"/>
      <c r="M72" s="32"/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213</v>
      </c>
      <c r="D73" s="15" t="s">
        <v>214</v>
      </c>
      <c r="E73" s="15" t="s">
        <v>215</v>
      </c>
      <c r="F73" s="50">
        <f t="shared" si="9"/>
        <v>11.2</v>
      </c>
      <c r="G73" s="56">
        <v>16.0</v>
      </c>
      <c r="H73" s="52">
        <v>16.0</v>
      </c>
      <c r="I73" s="57" t="s">
        <v>175</v>
      </c>
      <c r="J73" s="57" t="s">
        <v>175</v>
      </c>
      <c r="K73" s="57" t="s">
        <v>175</v>
      </c>
      <c r="L73" s="32"/>
      <c r="M73" s="32"/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216</v>
      </c>
      <c r="D74" s="15" t="s">
        <v>217</v>
      </c>
      <c r="E74" s="15" t="s">
        <v>218</v>
      </c>
      <c r="F74" s="50">
        <f t="shared" si="9"/>
        <v>14.7</v>
      </c>
      <c r="G74" s="56">
        <v>21.0</v>
      </c>
      <c r="H74" s="54">
        <v>21.0</v>
      </c>
      <c r="I74" s="57" t="s">
        <v>175</v>
      </c>
      <c r="J74" s="57" t="s">
        <v>175</v>
      </c>
      <c r="K74" s="57" t="s">
        <v>175</v>
      </c>
      <c r="L74" s="32"/>
      <c r="M74" s="32"/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38"/>
      <c r="C75" s="55" t="s">
        <v>219</v>
      </c>
      <c r="D75" s="49" t="s">
        <v>220</v>
      </c>
      <c r="E75" s="15" t="s">
        <v>221</v>
      </c>
      <c r="F75" s="50">
        <f t="shared" si="9"/>
        <v>15.4</v>
      </c>
      <c r="G75" s="56">
        <v>22.0</v>
      </c>
      <c r="H75" s="54">
        <v>22.0</v>
      </c>
      <c r="I75" s="57" t="s">
        <v>175</v>
      </c>
      <c r="J75" s="57" t="s">
        <v>175</v>
      </c>
      <c r="K75" s="57" t="s">
        <v>175</v>
      </c>
      <c r="L75" s="32"/>
      <c r="M75" s="32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0" t="s">
        <v>222</v>
      </c>
      <c r="C76" s="21" t="s">
        <v>17</v>
      </c>
      <c r="D76" s="22" t="s">
        <v>17</v>
      </c>
      <c r="E76" s="23" t="s">
        <v>223</v>
      </c>
      <c r="F76" s="24" t="s">
        <v>17</v>
      </c>
      <c r="G76" s="24" t="s">
        <v>17</v>
      </c>
      <c r="H76" s="25" t="s">
        <v>17</v>
      </c>
      <c r="I76" s="25" t="s">
        <v>17</v>
      </c>
      <c r="J76" s="25" t="s">
        <v>17</v>
      </c>
      <c r="K76" s="25" t="s">
        <v>17</v>
      </c>
      <c r="L76" s="25" t="s">
        <v>17</v>
      </c>
      <c r="M76" s="25" t="s">
        <v>17</v>
      </c>
      <c r="N76" s="25" t="s">
        <v>17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39" t="s">
        <v>224</v>
      </c>
      <c r="D77" s="15" t="s">
        <v>225</v>
      </c>
      <c r="E77" s="15" t="s">
        <v>226</v>
      </c>
      <c r="F77" s="58">
        <v>45.49</v>
      </c>
      <c r="G77" s="56">
        <v>69.95</v>
      </c>
      <c r="H77" s="52">
        <v>69.95</v>
      </c>
      <c r="I77" s="32"/>
      <c r="J77" s="32"/>
      <c r="K77" s="57" t="s">
        <v>431</v>
      </c>
      <c r="L77" s="32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39" t="s">
        <v>227</v>
      </c>
      <c r="D78" s="15" t="s">
        <v>228</v>
      </c>
      <c r="E78" s="15" t="s">
        <v>229</v>
      </c>
      <c r="F78" s="58">
        <v>58.84</v>
      </c>
      <c r="G78" s="56">
        <v>79.95</v>
      </c>
      <c r="H78" s="52">
        <v>79.95</v>
      </c>
      <c r="I78" s="32"/>
      <c r="J78" s="32"/>
      <c r="K78" s="57" t="s">
        <v>431</v>
      </c>
      <c r="L78" s="32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7"/>
      <c r="C79" s="39" t="s">
        <v>230</v>
      </c>
      <c r="D79" s="15" t="s">
        <v>231</v>
      </c>
      <c r="E79" s="15" t="s">
        <v>232</v>
      </c>
      <c r="F79" s="58">
        <v>92.41</v>
      </c>
      <c r="G79" s="56">
        <v>114.95</v>
      </c>
      <c r="H79" s="54">
        <v>119.0</v>
      </c>
      <c r="I79" s="32"/>
      <c r="J79" s="32"/>
      <c r="K79" s="57" t="s">
        <v>431</v>
      </c>
      <c r="L79" s="32"/>
      <c r="M79" s="32"/>
      <c r="N79" s="32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233</v>
      </c>
      <c r="D80" s="15" t="s">
        <v>234</v>
      </c>
      <c r="E80" s="15" t="s">
        <v>235</v>
      </c>
      <c r="F80" s="58">
        <v>17.99</v>
      </c>
      <c r="G80" s="56">
        <v>24.95</v>
      </c>
      <c r="H80" s="52">
        <v>24.95</v>
      </c>
      <c r="I80" s="32"/>
      <c r="J80" s="32"/>
      <c r="K80" s="57" t="s">
        <v>431</v>
      </c>
      <c r="L80" s="32"/>
      <c r="M80" s="32"/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236</v>
      </c>
      <c r="D81" s="15" t="s">
        <v>237</v>
      </c>
      <c r="E81" s="15" t="s">
        <v>238</v>
      </c>
      <c r="F81" s="58">
        <v>27.99</v>
      </c>
      <c r="G81" s="59">
        <v>32.95</v>
      </c>
      <c r="H81" s="52">
        <v>32.95</v>
      </c>
      <c r="I81" s="32"/>
      <c r="J81" s="32"/>
      <c r="K81" s="57" t="s">
        <v>431</v>
      </c>
      <c r="L81" s="32"/>
      <c r="M81" s="32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239</v>
      </c>
      <c r="D82" s="15" t="s">
        <v>240</v>
      </c>
      <c r="E82" s="15" t="s">
        <v>241</v>
      </c>
      <c r="F82" s="58">
        <v>19.95</v>
      </c>
      <c r="G82" s="59">
        <v>19.95</v>
      </c>
      <c r="H82" s="52">
        <v>19.95</v>
      </c>
      <c r="I82" s="32"/>
      <c r="J82" s="32"/>
      <c r="K82" s="57" t="s">
        <v>431</v>
      </c>
      <c r="L82" s="32"/>
      <c r="M82" s="32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242</v>
      </c>
      <c r="D83" s="15" t="s">
        <v>243</v>
      </c>
      <c r="E83" s="15" t="s">
        <v>244</v>
      </c>
      <c r="F83" s="58">
        <v>33.71</v>
      </c>
      <c r="G83" s="59">
        <v>44.95</v>
      </c>
      <c r="H83" s="52">
        <v>44.95</v>
      </c>
      <c r="I83" s="32"/>
      <c r="J83" s="32"/>
      <c r="K83" s="57" t="s">
        <v>431</v>
      </c>
      <c r="L83" s="32"/>
      <c r="M83" s="32"/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245</v>
      </c>
      <c r="D84" s="15" t="s">
        <v>246</v>
      </c>
      <c r="E84" s="15" t="s">
        <v>247</v>
      </c>
      <c r="F84" s="58">
        <v>33.71</v>
      </c>
      <c r="G84" s="59">
        <v>44.95</v>
      </c>
      <c r="H84" s="52">
        <v>44.95</v>
      </c>
      <c r="I84" s="32"/>
      <c r="J84" s="32"/>
      <c r="K84" s="57" t="s">
        <v>431</v>
      </c>
      <c r="L84" s="32"/>
      <c r="M84" s="32"/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248</v>
      </c>
      <c r="D85" s="15" t="s">
        <v>249</v>
      </c>
      <c r="E85" s="15" t="s">
        <v>250</v>
      </c>
      <c r="F85" s="58">
        <v>104.99</v>
      </c>
      <c r="G85" s="59">
        <v>129.95</v>
      </c>
      <c r="H85" s="52">
        <v>129.95</v>
      </c>
      <c r="I85" s="32"/>
      <c r="J85" s="32"/>
      <c r="K85" s="57" t="s">
        <v>431</v>
      </c>
      <c r="L85" s="32"/>
      <c r="M85" s="32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251</v>
      </c>
      <c r="D86" s="15" t="s">
        <v>252</v>
      </c>
      <c r="E86" s="15" t="s">
        <v>253</v>
      </c>
      <c r="F86" s="58">
        <v>21.24</v>
      </c>
      <c r="G86" s="59">
        <v>24.95</v>
      </c>
      <c r="H86" s="52">
        <v>24.95</v>
      </c>
      <c r="I86" s="32"/>
      <c r="J86" s="32"/>
      <c r="K86" s="57" t="s">
        <v>431</v>
      </c>
      <c r="L86" s="32"/>
      <c r="M86" s="32"/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21" t="s">
        <v>17</v>
      </c>
      <c r="D87" s="22" t="s">
        <v>17</v>
      </c>
      <c r="E87" s="23" t="s">
        <v>254</v>
      </c>
      <c r="F87" s="24" t="s">
        <v>17</v>
      </c>
      <c r="G87" s="24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  <c r="L87" s="25" t="s">
        <v>17</v>
      </c>
      <c r="M87" s="25" t="s">
        <v>17</v>
      </c>
      <c r="N87" s="25" t="s">
        <v>17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255</v>
      </c>
      <c r="D88" s="15" t="s">
        <v>256</v>
      </c>
      <c r="E88" s="15" t="s">
        <v>257</v>
      </c>
      <c r="F88" s="58">
        <v>84.4</v>
      </c>
      <c r="G88" s="59">
        <v>99.95</v>
      </c>
      <c r="H88" s="52">
        <v>99.95</v>
      </c>
      <c r="I88" s="32"/>
      <c r="J88" s="32"/>
      <c r="K88" s="57" t="s">
        <v>431</v>
      </c>
      <c r="L88" s="32"/>
      <c r="M88" s="32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258</v>
      </c>
      <c r="D89" s="15" t="s">
        <v>259</v>
      </c>
      <c r="E89" s="15" t="s">
        <v>260</v>
      </c>
      <c r="F89" s="58">
        <v>126.82</v>
      </c>
      <c r="G89" s="59">
        <v>163.95</v>
      </c>
      <c r="H89" s="52">
        <v>163.95</v>
      </c>
      <c r="I89" s="32"/>
      <c r="J89" s="32"/>
      <c r="K89" s="57" t="s">
        <v>431</v>
      </c>
      <c r="L89" s="32"/>
      <c r="M89" s="32"/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261</v>
      </c>
      <c r="D90" s="15" t="s">
        <v>262</v>
      </c>
      <c r="E90" s="15" t="s">
        <v>263</v>
      </c>
      <c r="F90" s="58">
        <v>24.95</v>
      </c>
      <c r="G90" s="59">
        <v>24.95</v>
      </c>
      <c r="H90" s="52">
        <v>24.95</v>
      </c>
      <c r="I90" s="32"/>
      <c r="J90" s="32"/>
      <c r="K90" s="57" t="s">
        <v>431</v>
      </c>
      <c r="L90" s="32"/>
      <c r="M90" s="32"/>
      <c r="N90" s="32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21" t="s">
        <v>17</v>
      </c>
      <c r="D91" s="22" t="s">
        <v>17</v>
      </c>
      <c r="E91" s="23" t="s">
        <v>264</v>
      </c>
      <c r="F91" s="24" t="s">
        <v>17</v>
      </c>
      <c r="G91" s="24" t="s">
        <v>17</v>
      </c>
      <c r="H91" s="25" t="s">
        <v>17</v>
      </c>
      <c r="I91" s="25" t="s">
        <v>17</v>
      </c>
      <c r="J91" s="25" t="s">
        <v>17</v>
      </c>
      <c r="K91" s="25" t="s">
        <v>17</v>
      </c>
      <c r="L91" s="25" t="s">
        <v>17</v>
      </c>
      <c r="M91" s="25" t="s">
        <v>17</v>
      </c>
      <c r="N91" s="25" t="s">
        <v>17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265</v>
      </c>
      <c r="D92" s="15" t="s">
        <v>266</v>
      </c>
      <c r="E92" s="15" t="s">
        <v>267</v>
      </c>
      <c r="F92" s="58">
        <v>104.97</v>
      </c>
      <c r="G92" s="56">
        <v>199.95</v>
      </c>
      <c r="H92" s="52">
        <v>149.95</v>
      </c>
      <c r="I92" s="32"/>
      <c r="J92" s="32"/>
      <c r="K92" s="57" t="s">
        <v>431</v>
      </c>
      <c r="L92" s="32"/>
      <c r="M92" s="80" t="s">
        <v>432</v>
      </c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268</v>
      </c>
      <c r="D93" s="15" t="s">
        <v>269</v>
      </c>
      <c r="E93" s="15" t="s">
        <v>270</v>
      </c>
      <c r="F93" s="58">
        <v>136.5</v>
      </c>
      <c r="G93" s="56">
        <v>244.95</v>
      </c>
      <c r="H93" s="54">
        <v>195.0</v>
      </c>
      <c r="I93" s="32"/>
      <c r="J93" s="32"/>
      <c r="K93" s="57" t="s">
        <v>431</v>
      </c>
      <c r="L93" s="32"/>
      <c r="M93" s="80" t="s">
        <v>433</v>
      </c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271</v>
      </c>
      <c r="D94" s="15" t="s">
        <v>272</v>
      </c>
      <c r="E94" s="15" t="s">
        <v>273</v>
      </c>
      <c r="F94" s="58">
        <v>19.95</v>
      </c>
      <c r="G94" s="56">
        <v>49.95</v>
      </c>
      <c r="H94" s="52">
        <v>29.95</v>
      </c>
      <c r="I94" s="32"/>
      <c r="J94" s="32"/>
      <c r="K94" s="57" t="s">
        <v>431</v>
      </c>
      <c r="L94" s="32"/>
      <c r="M94" s="32"/>
      <c r="N94" s="32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274</v>
      </c>
      <c r="D95" s="15" t="s">
        <v>275</v>
      </c>
      <c r="E95" s="15" t="s">
        <v>276</v>
      </c>
      <c r="F95" s="58">
        <v>19.95</v>
      </c>
      <c r="G95" s="56">
        <v>29.95</v>
      </c>
      <c r="H95" s="52">
        <v>29.95</v>
      </c>
      <c r="I95" s="32"/>
      <c r="J95" s="32"/>
      <c r="K95" s="57" t="s">
        <v>431</v>
      </c>
      <c r="L95" s="32"/>
      <c r="M95" s="32"/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21" t="s">
        <v>17</v>
      </c>
      <c r="D96" s="22" t="s">
        <v>17</v>
      </c>
      <c r="E96" s="23" t="s">
        <v>277</v>
      </c>
      <c r="F96" s="24" t="s">
        <v>17</v>
      </c>
      <c r="G96" s="24" t="s">
        <v>17</v>
      </c>
      <c r="H96" s="25" t="s">
        <v>17</v>
      </c>
      <c r="I96" s="25" t="s">
        <v>17</v>
      </c>
      <c r="J96" s="25" t="s">
        <v>17</v>
      </c>
      <c r="K96" s="25" t="s">
        <v>17</v>
      </c>
      <c r="L96" s="25" t="s">
        <v>17</v>
      </c>
      <c r="M96" s="25" t="s">
        <v>17</v>
      </c>
      <c r="N96" s="25" t="s">
        <v>17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278</v>
      </c>
      <c r="D97" s="15" t="s">
        <v>279</v>
      </c>
      <c r="E97" s="15" t="s">
        <v>280</v>
      </c>
      <c r="F97" s="58">
        <v>52.61</v>
      </c>
      <c r="G97" s="59">
        <v>79.95</v>
      </c>
      <c r="H97" s="52">
        <v>79.95</v>
      </c>
      <c r="I97" s="32"/>
      <c r="J97" s="32"/>
      <c r="K97" s="32"/>
      <c r="L97" s="32"/>
      <c r="M97" s="32"/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281</v>
      </c>
      <c r="D98" s="15" t="s">
        <v>282</v>
      </c>
      <c r="E98" s="15" t="s">
        <v>283</v>
      </c>
      <c r="F98" s="58">
        <v>64.5</v>
      </c>
      <c r="G98" s="59">
        <v>129.0</v>
      </c>
      <c r="H98" s="52">
        <v>129.0</v>
      </c>
      <c r="I98" s="32"/>
      <c r="J98" s="32"/>
      <c r="K98" s="32"/>
      <c r="L98" s="32"/>
      <c r="M98" s="32"/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284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285</v>
      </c>
      <c r="D100" s="60" t="s">
        <v>286</v>
      </c>
      <c r="E100" s="15" t="s">
        <v>287</v>
      </c>
      <c r="F100" s="58">
        <v>34.68</v>
      </c>
      <c r="G100" s="59">
        <v>39.95</v>
      </c>
      <c r="H100" s="52">
        <v>39.95</v>
      </c>
      <c r="I100" s="32"/>
      <c r="J100" s="32"/>
      <c r="K100" s="57" t="s">
        <v>431</v>
      </c>
      <c r="L100" s="32"/>
      <c r="M100" s="32"/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288</v>
      </c>
      <c r="D101" s="60" t="s">
        <v>289</v>
      </c>
      <c r="E101" s="15" t="s">
        <v>290</v>
      </c>
      <c r="F101" s="58">
        <v>34.68</v>
      </c>
      <c r="G101" s="59">
        <v>39.95</v>
      </c>
      <c r="H101" s="52">
        <v>39.95</v>
      </c>
      <c r="I101" s="32"/>
      <c r="J101" s="32"/>
      <c r="K101" s="57" t="s">
        <v>431</v>
      </c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291</v>
      </c>
      <c r="D102" s="60" t="s">
        <v>292</v>
      </c>
      <c r="E102" s="15" t="s">
        <v>293</v>
      </c>
      <c r="F102" s="58">
        <v>34.68</v>
      </c>
      <c r="G102" s="59">
        <v>39.95</v>
      </c>
      <c r="H102" s="52">
        <v>39.95</v>
      </c>
      <c r="I102" s="32"/>
      <c r="J102" s="32"/>
      <c r="K102" s="57" t="s">
        <v>431</v>
      </c>
      <c r="L102" s="32"/>
      <c r="M102" s="32"/>
      <c r="N102" s="32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294</v>
      </c>
      <c r="D103" s="61" t="s">
        <v>295</v>
      </c>
      <c r="E103" s="15" t="s">
        <v>296</v>
      </c>
      <c r="F103" s="58">
        <v>34.68</v>
      </c>
      <c r="G103" s="59">
        <v>39.95</v>
      </c>
      <c r="H103" s="52">
        <v>39.95</v>
      </c>
      <c r="I103" s="32"/>
      <c r="J103" s="32"/>
      <c r="K103" s="57" t="s">
        <v>431</v>
      </c>
      <c r="L103" s="32"/>
      <c r="M103" s="32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297</v>
      </c>
      <c r="D104" s="60" t="s">
        <v>298</v>
      </c>
      <c r="E104" s="15" t="s">
        <v>299</v>
      </c>
      <c r="F104" s="58">
        <v>34.68</v>
      </c>
      <c r="G104" s="59">
        <v>39.95</v>
      </c>
      <c r="H104" s="52">
        <v>39.95</v>
      </c>
      <c r="I104" s="32"/>
      <c r="J104" s="32"/>
      <c r="K104" s="57" t="s">
        <v>431</v>
      </c>
      <c r="L104" s="32"/>
      <c r="M104" s="32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300</v>
      </c>
      <c r="D105" s="60" t="s">
        <v>301</v>
      </c>
      <c r="E105" s="15" t="s">
        <v>302</v>
      </c>
      <c r="F105" s="58">
        <v>34.68</v>
      </c>
      <c r="G105" s="59">
        <v>39.95</v>
      </c>
      <c r="H105" s="52">
        <v>39.95</v>
      </c>
      <c r="I105" s="32"/>
      <c r="J105" s="32"/>
      <c r="K105" s="57" t="s">
        <v>431</v>
      </c>
      <c r="L105" s="32"/>
      <c r="M105" s="32"/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303</v>
      </c>
      <c r="D106" s="60" t="s">
        <v>304</v>
      </c>
      <c r="E106" s="15" t="s">
        <v>305</v>
      </c>
      <c r="F106" s="58">
        <v>34.68</v>
      </c>
      <c r="G106" s="59">
        <v>39.95</v>
      </c>
      <c r="H106" s="52">
        <v>39.95</v>
      </c>
      <c r="I106" s="32"/>
      <c r="J106" s="32"/>
      <c r="K106" s="57" t="s">
        <v>431</v>
      </c>
      <c r="L106" s="32"/>
      <c r="M106" s="32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306</v>
      </c>
      <c r="D107" s="62" t="s">
        <v>307</v>
      </c>
      <c r="E107" s="15" t="s">
        <v>308</v>
      </c>
      <c r="F107" s="58">
        <v>34.68</v>
      </c>
      <c r="G107" s="59">
        <v>39.95</v>
      </c>
      <c r="H107" s="52">
        <v>39.95</v>
      </c>
      <c r="I107" s="32"/>
      <c r="J107" s="32"/>
      <c r="K107" s="57" t="s">
        <v>431</v>
      </c>
      <c r="L107" s="32"/>
      <c r="M107" s="32"/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309</v>
      </c>
      <c r="D108" s="60" t="s">
        <v>310</v>
      </c>
      <c r="E108" s="15" t="s">
        <v>311</v>
      </c>
      <c r="F108" s="58">
        <v>34.68</v>
      </c>
      <c r="G108" s="59">
        <v>39.95</v>
      </c>
      <c r="H108" s="52">
        <v>39.95</v>
      </c>
      <c r="I108" s="32"/>
      <c r="J108" s="32"/>
      <c r="K108" s="57" t="s">
        <v>431</v>
      </c>
      <c r="L108" s="32"/>
      <c r="M108" s="32"/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312</v>
      </c>
      <c r="D109" s="60" t="s">
        <v>313</v>
      </c>
      <c r="E109" s="15" t="s">
        <v>314</v>
      </c>
      <c r="F109" s="58">
        <v>34.68</v>
      </c>
      <c r="G109" s="59">
        <v>39.95</v>
      </c>
      <c r="H109" s="52">
        <v>39.95</v>
      </c>
      <c r="I109" s="32"/>
      <c r="J109" s="32"/>
      <c r="K109" s="57" t="s">
        <v>431</v>
      </c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315</v>
      </c>
      <c r="D110" s="60" t="s">
        <v>316</v>
      </c>
      <c r="E110" s="15" t="s">
        <v>317</v>
      </c>
      <c r="F110" s="58">
        <v>34.68</v>
      </c>
      <c r="G110" s="59">
        <v>39.95</v>
      </c>
      <c r="H110" s="52">
        <v>39.95</v>
      </c>
      <c r="I110" s="32"/>
      <c r="J110" s="32"/>
      <c r="K110" s="57" t="s">
        <v>431</v>
      </c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21" t="s">
        <v>17</v>
      </c>
      <c r="D111" s="22" t="s">
        <v>17</v>
      </c>
      <c r="E111" s="23" t="s">
        <v>331</v>
      </c>
      <c r="F111" s="24" t="s">
        <v>17</v>
      </c>
      <c r="G111" s="24" t="s">
        <v>17</v>
      </c>
      <c r="H111" s="25" t="s">
        <v>17</v>
      </c>
      <c r="I111" s="25" t="s">
        <v>17</v>
      </c>
      <c r="J111" s="25" t="s">
        <v>17</v>
      </c>
      <c r="K111" s="25" t="s">
        <v>17</v>
      </c>
      <c r="L111" s="25" t="s">
        <v>17</v>
      </c>
      <c r="M111" s="25" t="s">
        <v>17</v>
      </c>
      <c r="N111" s="25" t="s">
        <v>17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332</v>
      </c>
      <c r="D112" s="15" t="s">
        <v>333</v>
      </c>
      <c r="E112" s="15" t="s">
        <v>334</v>
      </c>
      <c r="F112" s="58">
        <v>41.97</v>
      </c>
      <c r="G112" s="56">
        <v>79.95</v>
      </c>
      <c r="H112" s="52">
        <v>59.95</v>
      </c>
      <c r="I112" s="32"/>
      <c r="J112" s="32"/>
      <c r="K112" s="57" t="s">
        <v>431</v>
      </c>
      <c r="L112" s="32"/>
      <c r="M112" s="32"/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335</v>
      </c>
      <c r="D113" s="15" t="s">
        <v>336</v>
      </c>
      <c r="E113" s="15" t="s">
        <v>337</v>
      </c>
      <c r="F113" s="58">
        <v>41.97</v>
      </c>
      <c r="G113" s="56">
        <v>79.95</v>
      </c>
      <c r="H113" s="52">
        <v>59.95</v>
      </c>
      <c r="I113" s="32"/>
      <c r="J113" s="32"/>
      <c r="K113" s="57" t="s">
        <v>431</v>
      </c>
      <c r="L113" s="32"/>
      <c r="M113" s="32"/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338</v>
      </c>
      <c r="D114" s="15" t="s">
        <v>339</v>
      </c>
      <c r="E114" s="15" t="s">
        <v>340</v>
      </c>
      <c r="F114" s="58">
        <v>41.97</v>
      </c>
      <c r="G114" s="56">
        <v>79.95</v>
      </c>
      <c r="H114" s="52">
        <v>59.95</v>
      </c>
      <c r="I114" s="32"/>
      <c r="J114" s="32"/>
      <c r="K114" s="57" t="s">
        <v>431</v>
      </c>
      <c r="L114" s="32"/>
      <c r="M114" s="32"/>
      <c r="N114" s="32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341</v>
      </c>
      <c r="D115" s="15" t="s">
        <v>342</v>
      </c>
      <c r="E115" s="15" t="s">
        <v>340</v>
      </c>
      <c r="F115" s="58">
        <v>41.97</v>
      </c>
      <c r="G115" s="56">
        <v>79.95</v>
      </c>
      <c r="H115" s="52">
        <v>59.95</v>
      </c>
      <c r="I115" s="32"/>
      <c r="J115" s="32"/>
      <c r="K115" s="57" t="s">
        <v>431</v>
      </c>
      <c r="L115" s="32"/>
      <c r="M115" s="32"/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343</v>
      </c>
      <c r="D116" s="15" t="s">
        <v>344</v>
      </c>
      <c r="E116" s="15" t="s">
        <v>345</v>
      </c>
      <c r="F116" s="58">
        <v>41.97</v>
      </c>
      <c r="G116" s="56">
        <v>79.95</v>
      </c>
      <c r="H116" s="52">
        <v>59.95</v>
      </c>
      <c r="I116" s="32"/>
      <c r="J116" s="32"/>
      <c r="K116" s="57" t="s">
        <v>431</v>
      </c>
      <c r="L116" s="32"/>
      <c r="M116" s="32"/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346</v>
      </c>
      <c r="D117" s="15" t="s">
        <v>347</v>
      </c>
      <c r="E117" s="15" t="s">
        <v>340</v>
      </c>
      <c r="F117" s="58">
        <v>41.97</v>
      </c>
      <c r="G117" s="56">
        <v>79.95</v>
      </c>
      <c r="H117" s="52">
        <v>59.95</v>
      </c>
      <c r="I117" s="32"/>
      <c r="J117" s="32"/>
      <c r="K117" s="57" t="s">
        <v>431</v>
      </c>
      <c r="L117" s="32"/>
      <c r="M117" s="32"/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348</v>
      </c>
      <c r="D118" s="15" t="s">
        <v>349</v>
      </c>
      <c r="E118" s="15" t="s">
        <v>340</v>
      </c>
      <c r="F118" s="58">
        <v>41.97</v>
      </c>
      <c r="G118" s="56">
        <v>79.95</v>
      </c>
      <c r="H118" s="52">
        <v>59.95</v>
      </c>
      <c r="I118" s="32"/>
      <c r="J118" s="32"/>
      <c r="K118" s="57" t="s">
        <v>431</v>
      </c>
      <c r="L118" s="32"/>
      <c r="M118" s="32"/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350</v>
      </c>
      <c r="D119" s="15" t="s">
        <v>351</v>
      </c>
      <c r="E119" s="15" t="s">
        <v>352</v>
      </c>
      <c r="F119" s="58">
        <v>41.97</v>
      </c>
      <c r="G119" s="56">
        <v>79.95</v>
      </c>
      <c r="H119" s="52">
        <v>59.95</v>
      </c>
      <c r="I119" s="32"/>
      <c r="J119" s="32"/>
      <c r="K119" s="57" t="s">
        <v>431</v>
      </c>
      <c r="L119" s="32"/>
      <c r="M119" s="32"/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38"/>
      <c r="C120" s="64" t="s">
        <v>353</v>
      </c>
      <c r="D120" s="65" t="s">
        <v>354</v>
      </c>
      <c r="E120" s="65" t="s">
        <v>355</v>
      </c>
      <c r="F120" s="58">
        <v>41.97</v>
      </c>
      <c r="G120" s="56">
        <v>79.95</v>
      </c>
      <c r="H120" s="52">
        <v>59.95</v>
      </c>
      <c r="I120" s="32"/>
      <c r="J120" s="32"/>
      <c r="K120" s="57" t="s">
        <v>431</v>
      </c>
      <c r="L120" s="32"/>
      <c r="M120" s="32"/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0" t="s">
        <v>356</v>
      </c>
      <c r="C121" s="66" t="s">
        <v>17</v>
      </c>
      <c r="D121" s="67" t="s">
        <v>17</v>
      </c>
      <c r="E121" s="23" t="s">
        <v>357</v>
      </c>
      <c r="F121" s="68" t="s">
        <v>17</v>
      </c>
      <c r="G121" s="68" t="s">
        <v>17</v>
      </c>
      <c r="H121" s="25" t="s">
        <v>17</v>
      </c>
      <c r="I121" s="25" t="s">
        <v>17</v>
      </c>
      <c r="J121" s="25" t="s">
        <v>17</v>
      </c>
      <c r="K121" s="25" t="s">
        <v>17</v>
      </c>
      <c r="L121" s="25" t="s">
        <v>17</v>
      </c>
      <c r="M121" s="25" t="s">
        <v>17</v>
      </c>
      <c r="N121" s="25" t="s">
        <v>17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69" t="s">
        <v>358</v>
      </c>
      <c r="D122" s="70" t="s">
        <v>359</v>
      </c>
      <c r="E122" s="70" t="s">
        <v>360</v>
      </c>
      <c r="F122" s="71">
        <v>35.95</v>
      </c>
      <c r="G122" s="72">
        <v>69.95</v>
      </c>
      <c r="H122" s="52">
        <v>54.95</v>
      </c>
      <c r="I122" s="32"/>
      <c r="J122" s="32"/>
      <c r="K122" s="32"/>
      <c r="L122" s="32"/>
      <c r="M122" s="32"/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66" t="s">
        <v>17</v>
      </c>
      <c r="D123" s="67" t="s">
        <v>17</v>
      </c>
      <c r="E123" s="23" t="s">
        <v>361</v>
      </c>
      <c r="F123" s="68" t="s">
        <v>17</v>
      </c>
      <c r="G123" s="68" t="s">
        <v>17</v>
      </c>
      <c r="H123" s="25" t="s">
        <v>17</v>
      </c>
      <c r="I123" s="25" t="s">
        <v>17</v>
      </c>
      <c r="J123" s="25" t="s">
        <v>17</v>
      </c>
      <c r="K123" s="25" t="s">
        <v>17</v>
      </c>
      <c r="L123" s="25" t="s">
        <v>17</v>
      </c>
      <c r="M123" s="25" t="s">
        <v>17</v>
      </c>
      <c r="N123" s="25" t="s">
        <v>17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73" t="s">
        <v>362</v>
      </c>
      <c r="D124" s="70" t="s">
        <v>363</v>
      </c>
      <c r="E124" s="70" t="s">
        <v>364</v>
      </c>
      <c r="F124" s="71">
        <v>35.95</v>
      </c>
      <c r="G124" s="72">
        <v>59.95</v>
      </c>
      <c r="H124" s="52">
        <v>59.95</v>
      </c>
      <c r="I124" s="32"/>
      <c r="J124" s="32"/>
      <c r="K124" s="32"/>
      <c r="L124" s="32"/>
      <c r="M124" s="32"/>
      <c r="N124" s="32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73" t="s">
        <v>365</v>
      </c>
      <c r="D125" s="70" t="s">
        <v>366</v>
      </c>
      <c r="E125" s="70" t="s">
        <v>367</v>
      </c>
      <c r="F125" s="71">
        <v>71.9</v>
      </c>
      <c r="G125" s="72">
        <v>79.9</v>
      </c>
      <c r="H125" s="52">
        <v>97.12</v>
      </c>
      <c r="I125" s="32"/>
      <c r="J125" s="32"/>
      <c r="K125" s="32"/>
      <c r="L125" s="32"/>
      <c r="M125" s="32"/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73" t="s">
        <v>368</v>
      </c>
      <c r="D126" s="70" t="s">
        <v>369</v>
      </c>
      <c r="E126" s="70" t="s">
        <v>370</v>
      </c>
      <c r="F126" s="71">
        <v>45.95</v>
      </c>
      <c r="G126" s="72">
        <v>69.95</v>
      </c>
      <c r="H126" s="52">
        <v>69.95</v>
      </c>
      <c r="I126" s="32"/>
      <c r="J126" s="32"/>
      <c r="K126" s="32"/>
      <c r="L126" s="32"/>
      <c r="M126" s="32"/>
      <c r="N126" s="32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73" t="s">
        <v>371</v>
      </c>
      <c r="D127" s="70" t="s">
        <v>372</v>
      </c>
      <c r="E127" s="70" t="s">
        <v>373</v>
      </c>
      <c r="F127" s="71">
        <v>91.9</v>
      </c>
      <c r="G127" s="72">
        <v>99.9</v>
      </c>
      <c r="H127" s="52">
        <v>107.03</v>
      </c>
      <c r="I127" s="32"/>
      <c r="J127" s="32"/>
      <c r="K127" s="32"/>
      <c r="L127" s="32"/>
      <c r="M127" s="32"/>
      <c r="N127" s="32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66" t="s">
        <v>17</v>
      </c>
      <c r="D128" s="67" t="s">
        <v>17</v>
      </c>
      <c r="E128" s="23" t="s">
        <v>374</v>
      </c>
      <c r="F128" s="68" t="s">
        <v>17</v>
      </c>
      <c r="G128" s="68" t="s">
        <v>17</v>
      </c>
      <c r="H128" s="25" t="s">
        <v>17</v>
      </c>
      <c r="I128" s="25" t="s">
        <v>17</v>
      </c>
      <c r="J128" s="25" t="s">
        <v>17</v>
      </c>
      <c r="K128" s="25" t="s">
        <v>17</v>
      </c>
      <c r="L128" s="25" t="s">
        <v>17</v>
      </c>
      <c r="M128" s="25" t="s">
        <v>17</v>
      </c>
      <c r="N128" s="25" t="s">
        <v>17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74" t="s">
        <v>375</v>
      </c>
      <c r="D129" s="70" t="s">
        <v>376</v>
      </c>
      <c r="E129" s="70" t="s">
        <v>374</v>
      </c>
      <c r="F129" s="71">
        <v>35.95</v>
      </c>
      <c r="G129" s="72">
        <v>36.0</v>
      </c>
      <c r="H129" s="54">
        <v>36.0</v>
      </c>
      <c r="I129" s="32"/>
      <c r="J129" s="32"/>
      <c r="K129" s="32"/>
      <c r="L129" s="32"/>
      <c r="M129" s="32"/>
      <c r="N129" s="32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69" t="s">
        <v>377</v>
      </c>
      <c r="D130" s="70" t="s">
        <v>378</v>
      </c>
      <c r="E130" s="70" t="s">
        <v>379</v>
      </c>
      <c r="F130" s="71">
        <v>45.95</v>
      </c>
      <c r="G130" s="72">
        <v>58.65</v>
      </c>
      <c r="H130" s="52">
        <v>58.65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6" t="s">
        <v>17</v>
      </c>
      <c r="D131" s="67" t="s">
        <v>17</v>
      </c>
      <c r="E131" s="23" t="s">
        <v>380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25" t="s">
        <v>17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4" t="s">
        <v>381</v>
      </c>
      <c r="D132" s="70" t="s">
        <v>382</v>
      </c>
      <c r="E132" s="70" t="s">
        <v>380</v>
      </c>
      <c r="F132" s="71">
        <v>35.95</v>
      </c>
      <c r="G132" s="72">
        <v>59.95</v>
      </c>
      <c r="H132" s="54">
        <v>55.0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74" t="s">
        <v>383</v>
      </c>
      <c r="D133" s="70" t="s">
        <v>384</v>
      </c>
      <c r="E133" s="70" t="s">
        <v>385</v>
      </c>
      <c r="F133" s="71">
        <v>45.95</v>
      </c>
      <c r="G133" s="72">
        <v>69.95</v>
      </c>
      <c r="H133" s="54">
        <v>69.95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6" t="s">
        <v>17</v>
      </c>
      <c r="D134" s="67" t="s">
        <v>17</v>
      </c>
      <c r="E134" s="23" t="s">
        <v>386</v>
      </c>
      <c r="F134" s="68" t="s">
        <v>17</v>
      </c>
      <c r="G134" s="68" t="s">
        <v>17</v>
      </c>
      <c r="H134" s="25" t="s">
        <v>17</v>
      </c>
      <c r="I134" s="66" t="s">
        <v>17</v>
      </c>
      <c r="J134" s="67" t="s">
        <v>17</v>
      </c>
      <c r="K134" s="67" t="s">
        <v>17</v>
      </c>
      <c r="L134" s="68" t="s">
        <v>17</v>
      </c>
      <c r="M134" s="68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3" t="s">
        <v>387</v>
      </c>
      <c r="D135" s="70" t="s">
        <v>388</v>
      </c>
      <c r="E135" s="70" t="s">
        <v>389</v>
      </c>
      <c r="F135" s="71">
        <v>19.99</v>
      </c>
      <c r="G135" s="72">
        <v>24.99</v>
      </c>
      <c r="H135" s="52">
        <v>34.95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3" t="s">
        <v>390</v>
      </c>
      <c r="D136" s="70" t="s">
        <v>391</v>
      </c>
      <c r="E136" s="70" t="s">
        <v>392</v>
      </c>
      <c r="F136" s="71">
        <v>39.95</v>
      </c>
      <c r="G136" s="72">
        <v>49.95</v>
      </c>
      <c r="H136" s="52">
        <v>59.99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73" t="s">
        <v>393</v>
      </c>
      <c r="D137" s="70" t="s">
        <v>394</v>
      </c>
      <c r="E137" s="70" t="s">
        <v>395</v>
      </c>
      <c r="F137" s="71">
        <v>79.9</v>
      </c>
      <c r="G137" s="72">
        <v>99.9</v>
      </c>
      <c r="H137" s="52">
        <v>124.95</v>
      </c>
      <c r="I137" s="32"/>
      <c r="J137" s="32"/>
      <c r="K137" s="32"/>
      <c r="L137" s="32"/>
      <c r="M137" s="32"/>
      <c r="N137" s="32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396</v>
      </c>
      <c r="D138" s="70" t="s">
        <v>397</v>
      </c>
      <c r="E138" s="70" t="s">
        <v>398</v>
      </c>
      <c r="F138" s="71">
        <v>49.95</v>
      </c>
      <c r="G138" s="72">
        <v>59.95</v>
      </c>
      <c r="H138" s="52">
        <v>69.95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66" t="s">
        <v>17</v>
      </c>
      <c r="D139" s="67" t="s">
        <v>17</v>
      </c>
      <c r="E139" s="23" t="s">
        <v>399</v>
      </c>
      <c r="F139" s="68" t="s">
        <v>17</v>
      </c>
      <c r="G139" s="68" t="s">
        <v>17</v>
      </c>
      <c r="H139" s="25" t="s">
        <v>17</v>
      </c>
      <c r="I139" s="66" t="s">
        <v>17</v>
      </c>
      <c r="J139" s="67" t="s">
        <v>17</v>
      </c>
      <c r="K139" s="67" t="s">
        <v>17</v>
      </c>
      <c r="L139" s="68" t="s">
        <v>17</v>
      </c>
      <c r="M139" s="68" t="s">
        <v>17</v>
      </c>
      <c r="N139" s="25" t="s">
        <v>17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400</v>
      </c>
      <c r="D140" s="70" t="s">
        <v>401</v>
      </c>
      <c r="E140" s="70" t="s">
        <v>399</v>
      </c>
      <c r="F140" s="71">
        <v>29.95</v>
      </c>
      <c r="G140" s="72">
        <v>39.95</v>
      </c>
      <c r="H140" s="52">
        <v>29.95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66" t="s">
        <v>17</v>
      </c>
      <c r="D141" s="67" t="s">
        <v>17</v>
      </c>
      <c r="E141" s="23" t="s">
        <v>402</v>
      </c>
      <c r="F141" s="68" t="s">
        <v>17</v>
      </c>
      <c r="G141" s="68" t="s">
        <v>17</v>
      </c>
      <c r="H141" s="25" t="s">
        <v>17</v>
      </c>
      <c r="I141" s="66" t="s">
        <v>17</v>
      </c>
      <c r="J141" s="67" t="s">
        <v>17</v>
      </c>
      <c r="K141" s="67" t="s">
        <v>17</v>
      </c>
      <c r="L141" s="68" t="s">
        <v>17</v>
      </c>
      <c r="M141" s="68" t="s">
        <v>17</v>
      </c>
      <c r="N141" s="25" t="s">
        <v>17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9" t="s">
        <v>403</v>
      </c>
      <c r="D142" s="70" t="s">
        <v>404</v>
      </c>
      <c r="E142" s="70" t="s">
        <v>405</v>
      </c>
      <c r="F142" s="71">
        <v>69.95</v>
      </c>
      <c r="G142" s="72">
        <v>69.95</v>
      </c>
      <c r="H142" s="52">
        <v>69.95</v>
      </c>
      <c r="I142" s="32"/>
      <c r="J142" s="32"/>
      <c r="K142" s="32"/>
      <c r="L142" s="32"/>
      <c r="M142" s="32"/>
      <c r="N142" s="32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66" t="s">
        <v>17</v>
      </c>
      <c r="D143" s="67" t="s">
        <v>17</v>
      </c>
      <c r="E143" s="23" t="s">
        <v>406</v>
      </c>
      <c r="F143" s="68" t="s">
        <v>17</v>
      </c>
      <c r="G143" s="68" t="s">
        <v>17</v>
      </c>
      <c r="H143" s="25" t="s">
        <v>17</v>
      </c>
      <c r="I143" s="66" t="s">
        <v>17</v>
      </c>
      <c r="J143" s="67" t="s">
        <v>17</v>
      </c>
      <c r="K143" s="67" t="s">
        <v>17</v>
      </c>
      <c r="L143" s="68" t="s">
        <v>17</v>
      </c>
      <c r="M143" s="68" t="s">
        <v>17</v>
      </c>
      <c r="N143" s="25" t="s">
        <v>17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73" t="s">
        <v>407</v>
      </c>
      <c r="D144" s="70" t="s">
        <v>408</v>
      </c>
      <c r="E144" s="70" t="s">
        <v>409</v>
      </c>
      <c r="F144" s="71">
        <v>79.9</v>
      </c>
      <c r="G144" s="72">
        <v>79.9</v>
      </c>
      <c r="H144" s="52">
        <v>109.9</v>
      </c>
      <c r="I144" s="32"/>
      <c r="J144" s="32"/>
      <c r="K144" s="32"/>
      <c r="L144" s="32"/>
      <c r="M144" s="32"/>
      <c r="N144" s="32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74" t="s">
        <v>410</v>
      </c>
      <c r="D145" s="70" t="s">
        <v>411</v>
      </c>
      <c r="E145" s="70" t="s">
        <v>412</v>
      </c>
      <c r="F145" s="71">
        <v>39.95</v>
      </c>
      <c r="G145" s="72">
        <v>49.95</v>
      </c>
      <c r="H145" s="52">
        <v>59.95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5" t="s">
        <v>413</v>
      </c>
      <c r="D146" s="70" t="s">
        <v>414</v>
      </c>
      <c r="E146" s="70" t="s">
        <v>415</v>
      </c>
      <c r="F146" s="71">
        <v>99.9</v>
      </c>
      <c r="G146" s="72">
        <v>99.9</v>
      </c>
      <c r="H146" s="52">
        <v>129.95</v>
      </c>
      <c r="I146" s="32"/>
      <c r="J146" s="32"/>
      <c r="K146" s="32"/>
      <c r="L146" s="32"/>
      <c r="M146" s="32"/>
      <c r="N146" s="32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38"/>
      <c r="C147" s="39" t="s">
        <v>416</v>
      </c>
      <c r="D147" s="15" t="s">
        <v>417</v>
      </c>
      <c r="E147" s="15" t="s">
        <v>418</v>
      </c>
      <c r="F147" s="58">
        <v>49.95</v>
      </c>
      <c r="G147" s="56">
        <v>59.95</v>
      </c>
      <c r="H147" s="52">
        <v>69.95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J148" s="18"/>
      <c r="K148" s="18"/>
      <c r="L148" s="18"/>
      <c r="M148" s="18"/>
    </row>
    <row r="149">
      <c r="J149" s="18"/>
      <c r="K149" s="18"/>
      <c r="L149" s="18"/>
      <c r="M149" s="18"/>
    </row>
    <row r="150">
      <c r="J150" s="18"/>
      <c r="K150" s="18"/>
      <c r="L150" s="18"/>
      <c r="M150" s="18"/>
    </row>
    <row r="151">
      <c r="J151" s="18"/>
      <c r="K151" s="18"/>
      <c r="L151" s="18"/>
      <c r="M151" s="18"/>
    </row>
    <row r="152">
      <c r="J152" s="18"/>
      <c r="K152" s="18"/>
      <c r="L152" s="18"/>
      <c r="M152" s="18"/>
    </row>
    <row r="153">
      <c r="J153" s="18"/>
      <c r="K153" s="18"/>
      <c r="L153" s="18"/>
      <c r="M153" s="18"/>
    </row>
    <row r="154">
      <c r="J154" s="18"/>
      <c r="K154" s="18"/>
      <c r="L154" s="18"/>
      <c r="M154" s="18"/>
    </row>
    <row r="155">
      <c r="J155" s="18"/>
      <c r="K155" s="18"/>
      <c r="L155" s="18"/>
      <c r="M155" s="18"/>
    </row>
    <row r="156">
      <c r="J156" s="18"/>
      <c r="K156" s="18"/>
      <c r="L156" s="18"/>
      <c r="M156" s="18"/>
    </row>
    <row r="157">
      <c r="J157" s="18"/>
      <c r="K157" s="18"/>
      <c r="L157" s="18"/>
      <c r="M157" s="18"/>
    </row>
    <row r="158">
      <c r="J158" s="18"/>
      <c r="K158" s="18"/>
      <c r="L158" s="18"/>
      <c r="M158" s="18"/>
    </row>
    <row r="159">
      <c r="J159" s="18"/>
      <c r="K159" s="18"/>
      <c r="L159" s="18"/>
      <c r="M159" s="18"/>
    </row>
    <row r="160">
      <c r="J160" s="18"/>
      <c r="K160" s="18"/>
      <c r="L160" s="18"/>
      <c r="M160" s="18"/>
    </row>
    <row r="161">
      <c r="J161" s="18"/>
      <c r="K161" s="18"/>
      <c r="L161" s="18"/>
      <c r="M161" s="18"/>
    </row>
    <row r="162">
      <c r="J162" s="18"/>
      <c r="K162" s="18"/>
      <c r="L162" s="18"/>
      <c r="M162" s="18"/>
    </row>
    <row r="163">
      <c r="J163" s="18"/>
      <c r="K163" s="18"/>
      <c r="L163" s="18"/>
      <c r="M163" s="18"/>
    </row>
    <row r="164">
      <c r="J164" s="18"/>
      <c r="K164" s="18"/>
      <c r="L164" s="18"/>
      <c r="M164" s="18"/>
    </row>
    <row r="165">
      <c r="J165" s="18"/>
      <c r="K165" s="18"/>
      <c r="L165" s="18"/>
      <c r="M165" s="18"/>
    </row>
    <row r="166">
      <c r="J166" s="18"/>
      <c r="K166" s="18"/>
      <c r="L166" s="18"/>
      <c r="M166" s="18"/>
    </row>
    <row r="167">
      <c r="J167" s="18"/>
      <c r="K167" s="18"/>
      <c r="L167" s="18"/>
      <c r="M167" s="18"/>
    </row>
    <row r="168">
      <c r="J168" s="18"/>
      <c r="K168" s="18"/>
      <c r="L168" s="18"/>
      <c r="M168" s="18"/>
    </row>
    <row r="169">
      <c r="J169" s="18"/>
      <c r="K169" s="18"/>
      <c r="L169" s="18"/>
      <c r="M169" s="18"/>
    </row>
    <row r="170">
      <c r="J170" s="18"/>
      <c r="K170" s="18"/>
      <c r="L170" s="18"/>
      <c r="M170" s="18"/>
    </row>
    <row r="171">
      <c r="J171" s="18"/>
      <c r="K171" s="18"/>
      <c r="L171" s="18"/>
      <c r="M171" s="18"/>
    </row>
    <row r="172">
      <c r="J172" s="18"/>
      <c r="K172" s="18"/>
      <c r="L172" s="18"/>
      <c r="M172" s="18"/>
    </row>
    <row r="173">
      <c r="J173" s="18"/>
      <c r="K173" s="18"/>
      <c r="L173" s="18"/>
      <c r="M173" s="18"/>
    </row>
    <row r="174">
      <c r="J174" s="18"/>
      <c r="K174" s="18"/>
      <c r="L174" s="18"/>
      <c r="M174" s="18"/>
    </row>
    <row r="175">
      <c r="J175" s="18"/>
      <c r="K175" s="18"/>
      <c r="L175" s="18"/>
      <c r="M175" s="18"/>
    </row>
    <row r="176">
      <c r="J176" s="18"/>
      <c r="K176" s="18"/>
      <c r="L176" s="18"/>
      <c r="M176" s="18"/>
    </row>
    <row r="177">
      <c r="J177" s="18"/>
      <c r="K177" s="18"/>
      <c r="L177" s="18"/>
      <c r="M177" s="18"/>
    </row>
    <row r="178">
      <c r="J178" s="18"/>
      <c r="K178" s="18"/>
      <c r="L178" s="18"/>
      <c r="M178" s="18"/>
    </row>
    <row r="179">
      <c r="J179" s="18"/>
      <c r="K179" s="18"/>
      <c r="L179" s="18"/>
      <c r="M179" s="18"/>
    </row>
    <row r="180">
      <c r="J180" s="18"/>
      <c r="K180" s="18"/>
      <c r="L180" s="18"/>
      <c r="M180" s="18"/>
    </row>
    <row r="181">
      <c r="J181" s="18"/>
      <c r="K181" s="18"/>
      <c r="L181" s="18"/>
      <c r="M181" s="18"/>
    </row>
    <row r="182">
      <c r="J182" s="18"/>
      <c r="K182" s="18"/>
      <c r="L182" s="18"/>
      <c r="M182" s="18"/>
    </row>
    <row r="183">
      <c r="J183" s="18"/>
      <c r="K183" s="18"/>
      <c r="L183" s="18"/>
      <c r="M183" s="18"/>
    </row>
    <row r="184">
      <c r="J184" s="18"/>
      <c r="K184" s="18"/>
      <c r="L184" s="18"/>
      <c r="M184" s="18"/>
    </row>
    <row r="185">
      <c r="J185" s="18"/>
      <c r="K185" s="18"/>
      <c r="L185" s="18"/>
      <c r="M185" s="18"/>
    </row>
    <row r="186">
      <c r="J186" s="18"/>
      <c r="K186" s="18"/>
      <c r="L186" s="18"/>
      <c r="M186" s="18"/>
    </row>
    <row r="187">
      <c r="J187" s="18"/>
      <c r="K187" s="18"/>
      <c r="L187" s="18"/>
      <c r="M187" s="18"/>
    </row>
    <row r="188">
      <c r="J188" s="18"/>
      <c r="K188" s="18"/>
      <c r="L188" s="18"/>
      <c r="M188" s="18"/>
    </row>
    <row r="189">
      <c r="J189" s="18"/>
      <c r="K189" s="18"/>
      <c r="L189" s="18"/>
      <c r="M189" s="18"/>
    </row>
    <row r="190">
      <c r="J190" s="18"/>
      <c r="K190" s="18"/>
      <c r="L190" s="18"/>
      <c r="M190" s="18"/>
    </row>
    <row r="191">
      <c r="J191" s="18"/>
      <c r="K191" s="18"/>
      <c r="L191" s="18"/>
      <c r="M191" s="18"/>
    </row>
    <row r="192">
      <c r="J192" s="18"/>
      <c r="K192" s="18"/>
      <c r="L192" s="18"/>
      <c r="M192" s="18"/>
    </row>
    <row r="193">
      <c r="J193" s="18"/>
      <c r="K193" s="18"/>
      <c r="L193" s="18"/>
      <c r="M193" s="18"/>
    </row>
    <row r="194">
      <c r="J194" s="18"/>
      <c r="K194" s="18"/>
      <c r="L194" s="18"/>
      <c r="M194" s="18"/>
    </row>
    <row r="195">
      <c r="J195" s="18"/>
      <c r="K195" s="18"/>
      <c r="L195" s="18"/>
      <c r="M195" s="18"/>
    </row>
    <row r="196">
      <c r="J196" s="18"/>
      <c r="K196" s="18"/>
      <c r="L196" s="18"/>
      <c r="M196" s="18"/>
    </row>
    <row r="197">
      <c r="J197" s="18"/>
      <c r="K197" s="18"/>
      <c r="L197" s="18"/>
      <c r="M197" s="18"/>
    </row>
    <row r="198">
      <c r="J198" s="18"/>
      <c r="K198" s="18"/>
      <c r="L198" s="18"/>
      <c r="M198" s="18"/>
    </row>
    <row r="199">
      <c r="J199" s="18"/>
      <c r="K199" s="18"/>
      <c r="L199" s="18"/>
      <c r="M199" s="18"/>
    </row>
    <row r="200">
      <c r="J200" s="18"/>
      <c r="K200" s="18"/>
      <c r="L200" s="18"/>
      <c r="M200" s="18"/>
    </row>
    <row r="201">
      <c r="J201" s="18"/>
      <c r="K201" s="18"/>
      <c r="L201" s="18"/>
      <c r="M201" s="18"/>
    </row>
    <row r="202">
      <c r="J202" s="18"/>
      <c r="K202" s="18"/>
      <c r="L202" s="18"/>
      <c r="M202" s="18"/>
    </row>
    <row r="203">
      <c r="J203" s="18"/>
      <c r="K203" s="18"/>
      <c r="L203" s="18"/>
      <c r="M203" s="18"/>
    </row>
    <row r="204">
      <c r="J204" s="18"/>
      <c r="K204" s="18"/>
      <c r="L204" s="18"/>
      <c r="M204" s="18"/>
    </row>
    <row r="205">
      <c r="J205" s="18"/>
      <c r="K205" s="18"/>
      <c r="L205" s="18"/>
      <c r="M205" s="18"/>
    </row>
    <row r="206">
      <c r="J206" s="18"/>
      <c r="K206" s="18"/>
      <c r="L206" s="18"/>
      <c r="M206" s="18"/>
    </row>
    <row r="207">
      <c r="J207" s="18"/>
      <c r="K207" s="18"/>
      <c r="L207" s="18"/>
      <c r="M207" s="18"/>
    </row>
    <row r="208">
      <c r="J208" s="18"/>
      <c r="K208" s="18"/>
      <c r="L208" s="18"/>
      <c r="M208" s="18"/>
    </row>
    <row r="209">
      <c r="J209" s="18"/>
      <c r="K209" s="18"/>
      <c r="L209" s="18"/>
      <c r="M209" s="18"/>
    </row>
    <row r="210">
      <c r="J210" s="18"/>
      <c r="K210" s="18"/>
      <c r="L210" s="18"/>
      <c r="M210" s="18"/>
    </row>
    <row r="211">
      <c r="J211" s="18"/>
      <c r="K211" s="18"/>
      <c r="L211" s="18"/>
      <c r="M211" s="18"/>
    </row>
    <row r="212">
      <c r="J212" s="18"/>
      <c r="K212" s="18"/>
      <c r="L212" s="18"/>
      <c r="M212" s="18"/>
    </row>
    <row r="213">
      <c r="J213" s="18"/>
      <c r="K213" s="18"/>
      <c r="L213" s="18"/>
      <c r="M213" s="18"/>
    </row>
    <row r="214">
      <c r="J214" s="18"/>
      <c r="K214" s="18"/>
      <c r="L214" s="18"/>
      <c r="M214" s="18"/>
    </row>
    <row r="215">
      <c r="J215" s="18"/>
      <c r="K215" s="18"/>
      <c r="L215" s="18"/>
      <c r="M215" s="18"/>
    </row>
    <row r="216">
      <c r="J216" s="18"/>
      <c r="K216" s="18"/>
      <c r="L216" s="18"/>
      <c r="M216" s="18"/>
    </row>
    <row r="217">
      <c r="J217" s="18"/>
      <c r="K217" s="18"/>
      <c r="L217" s="18"/>
      <c r="M217" s="18"/>
    </row>
    <row r="218">
      <c r="J218" s="18"/>
      <c r="K218" s="18"/>
      <c r="L218" s="18"/>
      <c r="M218" s="18"/>
    </row>
    <row r="219">
      <c r="J219" s="18"/>
      <c r="K219" s="18"/>
      <c r="L219" s="18"/>
      <c r="M219" s="18"/>
    </row>
    <row r="220">
      <c r="J220" s="18"/>
      <c r="K220" s="18"/>
      <c r="L220" s="18"/>
      <c r="M220" s="18"/>
    </row>
    <row r="221">
      <c r="J221" s="18"/>
      <c r="K221" s="18"/>
      <c r="L221" s="18"/>
      <c r="M221" s="18"/>
    </row>
    <row r="222">
      <c r="J222" s="18"/>
      <c r="K222" s="18"/>
      <c r="L222" s="18"/>
      <c r="M222" s="18"/>
    </row>
    <row r="223">
      <c r="J223" s="18"/>
      <c r="K223" s="18"/>
      <c r="L223" s="18"/>
      <c r="M223" s="18"/>
    </row>
    <row r="224">
      <c r="J224" s="18"/>
      <c r="K224" s="18"/>
      <c r="L224" s="18"/>
      <c r="M224" s="18"/>
    </row>
    <row r="225">
      <c r="J225" s="18"/>
      <c r="K225" s="18"/>
      <c r="L225" s="18"/>
      <c r="M225" s="18"/>
    </row>
    <row r="226">
      <c r="J226" s="18"/>
      <c r="K226" s="18"/>
      <c r="L226" s="18"/>
      <c r="M226" s="18"/>
    </row>
    <row r="227">
      <c r="J227" s="18"/>
      <c r="K227" s="18"/>
      <c r="L227" s="18"/>
      <c r="M227" s="18"/>
    </row>
    <row r="228">
      <c r="J228" s="18"/>
      <c r="K228" s="18"/>
      <c r="L228" s="18"/>
      <c r="M228" s="18"/>
    </row>
    <row r="229">
      <c r="J229" s="18"/>
      <c r="K229" s="18"/>
      <c r="L229" s="18"/>
      <c r="M229" s="18"/>
    </row>
    <row r="230">
      <c r="J230" s="18"/>
      <c r="K230" s="18"/>
      <c r="L230" s="18"/>
      <c r="M230" s="18"/>
    </row>
    <row r="231">
      <c r="J231" s="18"/>
      <c r="K231" s="18"/>
      <c r="L231" s="18"/>
      <c r="M231" s="18"/>
    </row>
    <row r="232">
      <c r="J232" s="18"/>
      <c r="K232" s="18"/>
      <c r="L232" s="18"/>
      <c r="M232" s="18"/>
    </row>
    <row r="233">
      <c r="J233" s="18"/>
      <c r="K233" s="18"/>
      <c r="L233" s="18"/>
      <c r="M233" s="18"/>
    </row>
    <row r="234">
      <c r="J234" s="18"/>
      <c r="K234" s="18"/>
      <c r="L234" s="18"/>
      <c r="M234" s="18"/>
    </row>
    <row r="235">
      <c r="J235" s="18"/>
      <c r="K235" s="18"/>
      <c r="L235" s="18"/>
      <c r="M235" s="18"/>
    </row>
    <row r="236">
      <c r="J236" s="18"/>
      <c r="K236" s="18"/>
      <c r="L236" s="18"/>
      <c r="M236" s="18"/>
    </row>
    <row r="237">
      <c r="J237" s="18"/>
      <c r="K237" s="18"/>
      <c r="L237" s="18"/>
      <c r="M237" s="18"/>
    </row>
    <row r="238">
      <c r="J238" s="18"/>
      <c r="K238" s="18"/>
      <c r="L238" s="18"/>
      <c r="M238" s="18"/>
    </row>
    <row r="239">
      <c r="J239" s="18"/>
      <c r="K239" s="18"/>
      <c r="L239" s="18"/>
      <c r="M239" s="18"/>
    </row>
    <row r="240">
      <c r="J240" s="18"/>
      <c r="K240" s="18"/>
      <c r="L240" s="18"/>
      <c r="M240" s="18"/>
    </row>
    <row r="241">
      <c r="J241" s="18"/>
      <c r="K241" s="18"/>
      <c r="L241" s="18"/>
      <c r="M241" s="18"/>
    </row>
    <row r="242">
      <c r="J242" s="18"/>
      <c r="K242" s="18"/>
      <c r="L242" s="18"/>
      <c r="M242" s="18"/>
    </row>
    <row r="243">
      <c r="J243" s="18"/>
      <c r="K243" s="18"/>
      <c r="L243" s="18"/>
      <c r="M243" s="18"/>
    </row>
    <row r="244">
      <c r="J244" s="18"/>
      <c r="K244" s="18"/>
      <c r="L244" s="18"/>
      <c r="M244" s="18"/>
    </row>
    <row r="245">
      <c r="J245" s="18"/>
      <c r="K245" s="18"/>
      <c r="L245" s="18"/>
      <c r="M245" s="18"/>
    </row>
    <row r="246">
      <c r="J246" s="18"/>
      <c r="K246" s="18"/>
      <c r="L246" s="18"/>
      <c r="M246" s="18"/>
    </row>
    <row r="247">
      <c r="J247" s="18"/>
      <c r="K247" s="18"/>
      <c r="L247" s="18"/>
      <c r="M247" s="18"/>
    </row>
    <row r="248">
      <c r="J248" s="18"/>
      <c r="K248" s="18"/>
      <c r="L248" s="18"/>
      <c r="M248" s="18"/>
    </row>
    <row r="249">
      <c r="J249" s="18"/>
      <c r="K249" s="18"/>
      <c r="L249" s="18"/>
      <c r="M249" s="18"/>
    </row>
    <row r="250">
      <c r="J250" s="18"/>
      <c r="K250" s="18"/>
      <c r="L250" s="18"/>
      <c r="M250" s="18"/>
    </row>
    <row r="251">
      <c r="J251" s="18"/>
      <c r="K251" s="18"/>
      <c r="L251" s="18"/>
      <c r="M251" s="18"/>
    </row>
    <row r="252">
      <c r="J252" s="18"/>
      <c r="K252" s="18"/>
      <c r="L252" s="18"/>
      <c r="M252" s="18"/>
    </row>
    <row r="253">
      <c r="J253" s="18"/>
      <c r="K253" s="18"/>
      <c r="L253" s="18"/>
      <c r="M253" s="18"/>
    </row>
    <row r="254">
      <c r="J254" s="18"/>
      <c r="K254" s="18"/>
      <c r="L254" s="18"/>
      <c r="M254" s="18"/>
    </row>
    <row r="255">
      <c r="J255" s="18"/>
      <c r="K255" s="18"/>
      <c r="L255" s="18"/>
      <c r="M255" s="18"/>
    </row>
    <row r="256">
      <c r="J256" s="18"/>
      <c r="K256" s="18"/>
      <c r="L256" s="18"/>
      <c r="M256" s="18"/>
    </row>
    <row r="257">
      <c r="J257" s="18"/>
      <c r="K257" s="18"/>
      <c r="L257" s="18"/>
      <c r="M257" s="18"/>
    </row>
    <row r="258">
      <c r="J258" s="18"/>
      <c r="K258" s="18"/>
      <c r="L258" s="18"/>
      <c r="M258" s="18"/>
    </row>
    <row r="259">
      <c r="J259" s="18"/>
      <c r="K259" s="18"/>
      <c r="L259" s="18"/>
      <c r="M259" s="18"/>
    </row>
    <row r="260">
      <c r="J260" s="18"/>
      <c r="K260" s="18"/>
      <c r="L260" s="18"/>
      <c r="M260" s="18"/>
    </row>
    <row r="261">
      <c r="J261" s="18"/>
      <c r="K261" s="18"/>
      <c r="L261" s="18"/>
      <c r="M261" s="18"/>
    </row>
    <row r="262">
      <c r="J262" s="18"/>
      <c r="K262" s="18"/>
      <c r="L262" s="18"/>
      <c r="M262" s="18"/>
    </row>
    <row r="263">
      <c r="J263" s="18"/>
      <c r="K263" s="18"/>
      <c r="L263" s="18"/>
      <c r="M263" s="18"/>
    </row>
    <row r="264">
      <c r="J264" s="18"/>
      <c r="K264" s="18"/>
      <c r="L264" s="18"/>
      <c r="M264" s="18"/>
    </row>
    <row r="265">
      <c r="J265" s="18"/>
      <c r="K265" s="18"/>
      <c r="L265" s="18"/>
      <c r="M265" s="18"/>
    </row>
    <row r="266">
      <c r="J266" s="18"/>
      <c r="K266" s="18"/>
      <c r="L266" s="18"/>
      <c r="M266" s="18"/>
    </row>
    <row r="267">
      <c r="J267" s="18"/>
      <c r="K267" s="18"/>
      <c r="L267" s="18"/>
      <c r="M267" s="18"/>
    </row>
    <row r="268">
      <c r="J268" s="18"/>
      <c r="K268" s="18"/>
      <c r="L268" s="18"/>
      <c r="M268" s="18"/>
    </row>
    <row r="269">
      <c r="J269" s="18"/>
      <c r="K269" s="18"/>
      <c r="L269" s="18"/>
      <c r="M269" s="18"/>
    </row>
    <row r="270">
      <c r="J270" s="18"/>
      <c r="K270" s="18"/>
      <c r="L270" s="18"/>
      <c r="M270" s="18"/>
    </row>
    <row r="271">
      <c r="J271" s="18"/>
      <c r="K271" s="18"/>
      <c r="L271" s="18"/>
      <c r="M271" s="18"/>
    </row>
    <row r="272">
      <c r="J272" s="18"/>
      <c r="K272" s="18"/>
      <c r="L272" s="18"/>
      <c r="M272" s="18"/>
    </row>
    <row r="273">
      <c r="J273" s="18"/>
      <c r="K273" s="18"/>
      <c r="L273" s="18"/>
      <c r="M273" s="18"/>
    </row>
    <row r="274">
      <c r="J274" s="18"/>
      <c r="K274" s="18"/>
      <c r="L274" s="18"/>
      <c r="M274" s="18"/>
    </row>
    <row r="275">
      <c r="J275" s="18"/>
      <c r="K275" s="18"/>
      <c r="L275" s="18"/>
      <c r="M275" s="18"/>
    </row>
    <row r="276">
      <c r="J276" s="18"/>
      <c r="K276" s="18"/>
      <c r="L276" s="18"/>
      <c r="M276" s="18"/>
    </row>
    <row r="277">
      <c r="J277" s="18"/>
      <c r="K277" s="18"/>
      <c r="L277" s="18"/>
      <c r="M277" s="18"/>
    </row>
    <row r="278">
      <c r="J278" s="18"/>
      <c r="K278" s="18"/>
      <c r="L278" s="18"/>
      <c r="M278" s="18"/>
    </row>
    <row r="279">
      <c r="J279" s="18"/>
      <c r="K279" s="18"/>
      <c r="L279" s="18"/>
      <c r="M279" s="18"/>
    </row>
    <row r="280">
      <c r="J280" s="18"/>
      <c r="K280" s="18"/>
      <c r="L280" s="18"/>
      <c r="M280" s="18"/>
    </row>
    <row r="281">
      <c r="J281" s="18"/>
      <c r="K281" s="18"/>
      <c r="L281" s="18"/>
      <c r="M281" s="18"/>
    </row>
    <row r="282">
      <c r="J282" s="18"/>
      <c r="K282" s="18"/>
      <c r="L282" s="18"/>
      <c r="M282" s="18"/>
    </row>
    <row r="283">
      <c r="J283" s="18"/>
      <c r="K283" s="18"/>
      <c r="L283" s="18"/>
      <c r="M283" s="18"/>
    </row>
    <row r="284">
      <c r="J284" s="18"/>
      <c r="K284" s="18"/>
      <c r="L284" s="18"/>
      <c r="M284" s="18"/>
    </row>
    <row r="285">
      <c r="J285" s="18"/>
      <c r="K285" s="18"/>
      <c r="L285" s="18"/>
      <c r="M285" s="18"/>
    </row>
    <row r="286">
      <c r="J286" s="18"/>
      <c r="K286" s="18"/>
      <c r="L286" s="18"/>
      <c r="M286" s="18"/>
    </row>
    <row r="287">
      <c r="J287" s="18"/>
      <c r="K287" s="18"/>
      <c r="L287" s="18"/>
      <c r="M287" s="18"/>
    </row>
    <row r="288">
      <c r="J288" s="18"/>
      <c r="K288" s="18"/>
      <c r="L288" s="18"/>
      <c r="M288" s="18"/>
    </row>
    <row r="289">
      <c r="J289" s="18"/>
      <c r="K289" s="18"/>
      <c r="L289" s="18"/>
      <c r="M289" s="18"/>
    </row>
    <row r="290">
      <c r="J290" s="18"/>
      <c r="K290" s="18"/>
      <c r="L290" s="18"/>
      <c r="M290" s="18"/>
    </row>
    <row r="291">
      <c r="J291" s="18"/>
      <c r="K291" s="18"/>
      <c r="L291" s="18"/>
      <c r="M291" s="18"/>
    </row>
    <row r="292">
      <c r="J292" s="18"/>
      <c r="K292" s="18"/>
      <c r="L292" s="18"/>
      <c r="M292" s="18"/>
    </row>
    <row r="293">
      <c r="J293" s="18"/>
      <c r="K293" s="18"/>
      <c r="L293" s="18"/>
      <c r="M293" s="18"/>
    </row>
    <row r="294">
      <c r="J294" s="18"/>
      <c r="K294" s="18"/>
      <c r="L294" s="18"/>
      <c r="M294" s="18"/>
    </row>
    <row r="295">
      <c r="J295" s="18"/>
      <c r="K295" s="18"/>
      <c r="L295" s="18"/>
      <c r="M295" s="18"/>
    </row>
    <row r="296">
      <c r="J296" s="18"/>
      <c r="K296" s="18"/>
      <c r="L296" s="18"/>
      <c r="M296" s="18"/>
    </row>
    <row r="297">
      <c r="J297" s="18"/>
      <c r="K297" s="18"/>
      <c r="L297" s="18"/>
      <c r="M297" s="18"/>
    </row>
    <row r="298">
      <c r="J298" s="18"/>
      <c r="K298" s="18"/>
      <c r="L298" s="18"/>
      <c r="M298" s="18"/>
    </row>
    <row r="299">
      <c r="J299" s="18"/>
      <c r="K299" s="18"/>
      <c r="L299" s="18"/>
      <c r="M299" s="18"/>
    </row>
    <row r="300">
      <c r="J300" s="18"/>
      <c r="K300" s="18"/>
      <c r="L300" s="18"/>
      <c r="M300" s="18"/>
    </row>
    <row r="301">
      <c r="J301" s="18"/>
      <c r="K301" s="18"/>
      <c r="L301" s="18"/>
      <c r="M301" s="18"/>
    </row>
    <row r="302">
      <c r="J302" s="18"/>
      <c r="K302" s="18"/>
      <c r="L302" s="18"/>
      <c r="M302" s="18"/>
    </row>
    <row r="303">
      <c r="J303" s="18"/>
      <c r="K303" s="18"/>
      <c r="L303" s="18"/>
      <c r="M303" s="18"/>
    </row>
    <row r="304">
      <c r="J304" s="18"/>
      <c r="K304" s="18"/>
      <c r="L304" s="18"/>
      <c r="M304" s="18"/>
    </row>
    <row r="305">
      <c r="J305" s="18"/>
      <c r="K305" s="18"/>
      <c r="L305" s="18"/>
      <c r="M305" s="18"/>
    </row>
    <row r="306">
      <c r="J306" s="18"/>
      <c r="K306" s="18"/>
      <c r="L306" s="18"/>
      <c r="M306" s="18"/>
    </row>
    <row r="307">
      <c r="J307" s="18"/>
      <c r="K307" s="18"/>
      <c r="L307" s="18"/>
      <c r="M307" s="18"/>
    </row>
    <row r="308">
      <c r="J308" s="18"/>
      <c r="K308" s="18"/>
      <c r="L308" s="18"/>
      <c r="M308" s="18"/>
    </row>
    <row r="309">
      <c r="J309" s="18"/>
      <c r="K309" s="18"/>
      <c r="L309" s="18"/>
      <c r="M309" s="18"/>
    </row>
    <row r="310">
      <c r="J310" s="18"/>
      <c r="K310" s="18"/>
      <c r="L310" s="18"/>
      <c r="M310" s="18"/>
    </row>
    <row r="311">
      <c r="J311" s="18"/>
      <c r="K311" s="18"/>
      <c r="L311" s="18"/>
      <c r="M311" s="18"/>
    </row>
    <row r="312">
      <c r="J312" s="18"/>
      <c r="K312" s="18"/>
      <c r="L312" s="18"/>
      <c r="M312" s="18"/>
    </row>
    <row r="313">
      <c r="J313" s="18"/>
      <c r="K313" s="18"/>
      <c r="L313" s="18"/>
      <c r="M313" s="18"/>
    </row>
    <row r="314">
      <c r="J314" s="18"/>
      <c r="K314" s="18"/>
      <c r="L314" s="18"/>
      <c r="M314" s="18"/>
    </row>
    <row r="315">
      <c r="J315" s="18"/>
      <c r="K315" s="18"/>
      <c r="L315" s="18"/>
      <c r="M315" s="18"/>
    </row>
    <row r="316">
      <c r="J316" s="18"/>
      <c r="K316" s="18"/>
      <c r="L316" s="18"/>
      <c r="M316" s="18"/>
    </row>
    <row r="317">
      <c r="J317" s="18"/>
      <c r="K317" s="18"/>
      <c r="L317" s="18"/>
      <c r="M317" s="18"/>
    </row>
    <row r="318">
      <c r="J318" s="18"/>
      <c r="K318" s="18"/>
      <c r="L318" s="18"/>
      <c r="M318" s="18"/>
    </row>
    <row r="319">
      <c r="J319" s="18"/>
      <c r="K319" s="18"/>
      <c r="L319" s="18"/>
      <c r="M319" s="18"/>
    </row>
    <row r="320">
      <c r="J320" s="18"/>
      <c r="K320" s="18"/>
      <c r="L320" s="18"/>
      <c r="M320" s="18"/>
    </row>
    <row r="321">
      <c r="J321" s="18"/>
      <c r="K321" s="18"/>
      <c r="L321" s="18"/>
      <c r="M321" s="18"/>
    </row>
    <row r="322">
      <c r="J322" s="18"/>
      <c r="K322" s="18"/>
      <c r="L322" s="18"/>
      <c r="M322" s="18"/>
    </row>
    <row r="323">
      <c r="J323" s="18"/>
      <c r="K323" s="18"/>
      <c r="L323" s="18"/>
      <c r="M323" s="18"/>
    </row>
    <row r="324">
      <c r="J324" s="18"/>
      <c r="K324" s="18"/>
      <c r="L324" s="18"/>
      <c r="M324" s="18"/>
    </row>
    <row r="325">
      <c r="J325" s="18"/>
      <c r="K325" s="18"/>
      <c r="L325" s="18"/>
      <c r="M325" s="18"/>
    </row>
    <row r="326">
      <c r="J326" s="18"/>
      <c r="K326" s="18"/>
      <c r="L326" s="18"/>
      <c r="M326" s="18"/>
    </row>
    <row r="327">
      <c r="J327" s="18"/>
      <c r="K327" s="18"/>
      <c r="L327" s="18"/>
      <c r="M327" s="18"/>
    </row>
    <row r="328">
      <c r="J328" s="18"/>
      <c r="K328" s="18"/>
      <c r="L328" s="18"/>
      <c r="M328" s="18"/>
    </row>
    <row r="329">
      <c r="J329" s="18"/>
      <c r="K329" s="18"/>
      <c r="L329" s="18"/>
      <c r="M329" s="18"/>
    </row>
    <row r="330">
      <c r="J330" s="18"/>
      <c r="K330" s="18"/>
      <c r="L330" s="18"/>
      <c r="M330" s="18"/>
    </row>
    <row r="331">
      <c r="J331" s="18"/>
      <c r="K331" s="18"/>
      <c r="L331" s="18"/>
      <c r="M331" s="18"/>
    </row>
    <row r="332">
      <c r="J332" s="18"/>
      <c r="K332" s="18"/>
      <c r="L332" s="18"/>
      <c r="M332" s="18"/>
    </row>
    <row r="333">
      <c r="J333" s="18"/>
      <c r="K333" s="18"/>
      <c r="L333" s="18"/>
      <c r="M333" s="18"/>
    </row>
    <row r="334">
      <c r="J334" s="18"/>
      <c r="K334" s="18"/>
      <c r="L334" s="18"/>
      <c r="M334" s="18"/>
    </row>
    <row r="335">
      <c r="J335" s="18"/>
      <c r="K335" s="18"/>
      <c r="L335" s="18"/>
      <c r="M335" s="18"/>
    </row>
    <row r="336">
      <c r="J336" s="18"/>
      <c r="K336" s="18"/>
      <c r="L336" s="18"/>
      <c r="M336" s="18"/>
    </row>
    <row r="337">
      <c r="J337" s="18"/>
      <c r="K337" s="18"/>
      <c r="L337" s="18"/>
      <c r="M337" s="18"/>
    </row>
    <row r="338">
      <c r="J338" s="18"/>
      <c r="K338" s="18"/>
      <c r="L338" s="18"/>
      <c r="M338" s="18"/>
    </row>
    <row r="339">
      <c r="J339" s="18"/>
      <c r="K339" s="18"/>
      <c r="L339" s="18"/>
      <c r="M339" s="18"/>
    </row>
    <row r="340">
      <c r="J340" s="18"/>
      <c r="K340" s="18"/>
      <c r="L340" s="18"/>
      <c r="M340" s="18"/>
    </row>
    <row r="341">
      <c r="J341" s="18"/>
      <c r="K341" s="18"/>
      <c r="L341" s="18"/>
      <c r="M341" s="18"/>
    </row>
    <row r="342">
      <c r="J342" s="18"/>
      <c r="K342" s="18"/>
      <c r="L342" s="18"/>
      <c r="M342" s="18"/>
    </row>
    <row r="343">
      <c r="J343" s="18"/>
      <c r="K343" s="18"/>
      <c r="L343" s="18"/>
      <c r="M343" s="18"/>
    </row>
    <row r="344">
      <c r="J344" s="18"/>
      <c r="K344" s="18"/>
      <c r="L344" s="18"/>
      <c r="M344" s="18"/>
    </row>
    <row r="345">
      <c r="J345" s="18"/>
      <c r="K345" s="18"/>
      <c r="L345" s="18"/>
      <c r="M345" s="18"/>
    </row>
    <row r="346">
      <c r="J346" s="18"/>
      <c r="K346" s="18"/>
      <c r="L346" s="18"/>
      <c r="M346" s="18"/>
    </row>
    <row r="347">
      <c r="J347" s="18"/>
      <c r="K347" s="18"/>
      <c r="L347" s="18"/>
      <c r="M347" s="18"/>
    </row>
    <row r="348">
      <c r="J348" s="18"/>
      <c r="K348" s="18"/>
      <c r="L348" s="18"/>
      <c r="M348" s="18"/>
    </row>
    <row r="349">
      <c r="J349" s="18"/>
      <c r="K349" s="18"/>
      <c r="L349" s="18"/>
      <c r="M349" s="18"/>
    </row>
    <row r="350">
      <c r="J350" s="18"/>
      <c r="K350" s="18"/>
      <c r="L350" s="18"/>
      <c r="M350" s="18"/>
    </row>
    <row r="351">
      <c r="J351" s="18"/>
      <c r="K351" s="18"/>
      <c r="L351" s="18"/>
      <c r="M351" s="18"/>
    </row>
    <row r="352">
      <c r="J352" s="18"/>
      <c r="K352" s="18"/>
      <c r="L352" s="18"/>
      <c r="M352" s="18"/>
    </row>
    <row r="353">
      <c r="J353" s="18"/>
      <c r="K353" s="18"/>
      <c r="L353" s="18"/>
      <c r="M353" s="18"/>
    </row>
    <row r="354">
      <c r="J354" s="18"/>
      <c r="K354" s="18"/>
      <c r="L354" s="18"/>
      <c r="M354" s="18"/>
    </row>
    <row r="355">
      <c r="J355" s="18"/>
      <c r="K355" s="18"/>
      <c r="L355" s="18"/>
      <c r="M355" s="18"/>
    </row>
    <row r="356">
      <c r="J356" s="18"/>
      <c r="K356" s="18"/>
      <c r="L356" s="18"/>
      <c r="M356" s="18"/>
    </row>
    <row r="357">
      <c r="J357" s="18"/>
      <c r="K357" s="18"/>
      <c r="L357" s="18"/>
      <c r="M357" s="18"/>
    </row>
    <row r="358">
      <c r="J358" s="18"/>
      <c r="K358" s="18"/>
      <c r="L358" s="18"/>
      <c r="M358" s="18"/>
    </row>
    <row r="359">
      <c r="J359" s="18"/>
      <c r="K359" s="18"/>
      <c r="L359" s="18"/>
      <c r="M359" s="18"/>
    </row>
    <row r="360">
      <c r="J360" s="18"/>
      <c r="K360" s="18"/>
      <c r="L360" s="18"/>
      <c r="M360" s="18"/>
    </row>
    <row r="361">
      <c r="J361" s="18"/>
      <c r="K361" s="18"/>
      <c r="L361" s="18"/>
      <c r="M361" s="18"/>
    </row>
    <row r="362">
      <c r="J362" s="18"/>
      <c r="K362" s="18"/>
      <c r="L362" s="18"/>
      <c r="M362" s="18"/>
    </row>
    <row r="363">
      <c r="J363" s="18"/>
      <c r="K363" s="18"/>
      <c r="L363" s="18"/>
      <c r="M363" s="18"/>
    </row>
    <row r="364">
      <c r="J364" s="18"/>
      <c r="K364" s="18"/>
      <c r="L364" s="18"/>
      <c r="M364" s="18"/>
    </row>
    <row r="365">
      <c r="J365" s="18"/>
      <c r="K365" s="18"/>
      <c r="L365" s="18"/>
      <c r="M365" s="18"/>
    </row>
    <row r="366">
      <c r="J366" s="18"/>
      <c r="K366" s="18"/>
      <c r="L366" s="18"/>
      <c r="M366" s="18"/>
    </row>
    <row r="367">
      <c r="J367" s="18"/>
      <c r="K367" s="18"/>
      <c r="L367" s="18"/>
      <c r="M367" s="18"/>
    </row>
    <row r="368">
      <c r="J368" s="18"/>
      <c r="K368" s="18"/>
      <c r="L368" s="18"/>
      <c r="M368" s="18"/>
    </row>
    <row r="369">
      <c r="J369" s="18"/>
      <c r="K369" s="18"/>
      <c r="L369" s="18"/>
      <c r="M369" s="18"/>
    </row>
    <row r="370">
      <c r="J370" s="18"/>
      <c r="K370" s="18"/>
      <c r="L370" s="18"/>
      <c r="M370" s="18"/>
    </row>
    <row r="371">
      <c r="J371" s="18"/>
      <c r="K371" s="18"/>
      <c r="L371" s="18"/>
      <c r="M371" s="18"/>
    </row>
    <row r="372">
      <c r="J372" s="18"/>
      <c r="K372" s="18"/>
      <c r="L372" s="18"/>
      <c r="M372" s="18"/>
    </row>
    <row r="373">
      <c r="J373" s="18"/>
      <c r="K373" s="18"/>
      <c r="L373" s="18"/>
      <c r="M373" s="18"/>
    </row>
    <row r="374">
      <c r="J374" s="18"/>
      <c r="K374" s="18"/>
      <c r="L374" s="18"/>
      <c r="M374" s="18"/>
    </row>
    <row r="375">
      <c r="J375" s="18"/>
      <c r="K375" s="18"/>
      <c r="L375" s="18"/>
      <c r="M375" s="18"/>
    </row>
    <row r="376">
      <c r="J376" s="18"/>
      <c r="K376" s="18"/>
      <c r="L376" s="18"/>
      <c r="M376" s="18"/>
    </row>
    <row r="377">
      <c r="J377" s="18"/>
      <c r="K377" s="18"/>
      <c r="L377" s="18"/>
      <c r="M377" s="18"/>
    </row>
    <row r="378">
      <c r="J378" s="18"/>
      <c r="K378" s="18"/>
      <c r="L378" s="18"/>
      <c r="M378" s="18"/>
    </row>
    <row r="379">
      <c r="J379" s="18"/>
      <c r="K379" s="18"/>
      <c r="L379" s="18"/>
      <c r="M379" s="18"/>
    </row>
    <row r="380">
      <c r="J380" s="18"/>
      <c r="K380" s="18"/>
      <c r="L380" s="18"/>
      <c r="M380" s="18"/>
    </row>
    <row r="381">
      <c r="J381" s="18"/>
      <c r="K381" s="18"/>
      <c r="L381" s="18"/>
      <c r="M381" s="18"/>
    </row>
    <row r="382">
      <c r="J382" s="18"/>
      <c r="K382" s="18"/>
      <c r="L382" s="18"/>
      <c r="M382" s="18"/>
    </row>
    <row r="383">
      <c r="J383" s="18"/>
      <c r="K383" s="18"/>
      <c r="L383" s="18"/>
      <c r="M383" s="18"/>
    </row>
    <row r="384">
      <c r="J384" s="18"/>
      <c r="K384" s="18"/>
      <c r="L384" s="18"/>
      <c r="M384" s="18"/>
    </row>
    <row r="385">
      <c r="J385" s="18"/>
      <c r="K385" s="18"/>
      <c r="L385" s="18"/>
      <c r="M385" s="18"/>
    </row>
    <row r="386">
      <c r="J386" s="18"/>
      <c r="K386" s="18"/>
      <c r="L386" s="18"/>
      <c r="M386" s="18"/>
    </row>
    <row r="387">
      <c r="J387" s="18"/>
      <c r="K387" s="18"/>
      <c r="L387" s="18"/>
      <c r="M387" s="18"/>
    </row>
    <row r="388">
      <c r="J388" s="18"/>
      <c r="K388" s="18"/>
      <c r="L388" s="18"/>
      <c r="M388" s="18"/>
    </row>
    <row r="389">
      <c r="J389" s="18"/>
      <c r="K389" s="18"/>
      <c r="L389" s="18"/>
      <c r="M389" s="18"/>
    </row>
    <row r="390">
      <c r="J390" s="18"/>
      <c r="K390" s="18"/>
      <c r="L390" s="18"/>
      <c r="M390" s="18"/>
    </row>
    <row r="391">
      <c r="J391" s="18"/>
      <c r="K391" s="18"/>
      <c r="L391" s="18"/>
      <c r="M391" s="18"/>
    </row>
    <row r="392">
      <c r="J392" s="18"/>
      <c r="K392" s="18"/>
      <c r="L392" s="18"/>
      <c r="M392" s="18"/>
    </row>
    <row r="393">
      <c r="J393" s="18"/>
      <c r="K393" s="18"/>
      <c r="L393" s="18"/>
      <c r="M393" s="18"/>
    </row>
    <row r="394">
      <c r="J394" s="18"/>
      <c r="K394" s="18"/>
      <c r="L394" s="18"/>
      <c r="M394" s="18"/>
    </row>
    <row r="395">
      <c r="J395" s="18"/>
      <c r="K395" s="18"/>
      <c r="L395" s="18"/>
      <c r="M395" s="18"/>
    </row>
    <row r="396">
      <c r="J396" s="18"/>
      <c r="K396" s="18"/>
      <c r="L396" s="18"/>
      <c r="M396" s="18"/>
    </row>
    <row r="397">
      <c r="J397" s="18"/>
      <c r="K397" s="18"/>
      <c r="L397" s="18"/>
      <c r="M397" s="18"/>
    </row>
    <row r="398">
      <c r="J398" s="18"/>
      <c r="K398" s="18"/>
      <c r="L398" s="18"/>
      <c r="M398" s="18"/>
    </row>
    <row r="399">
      <c r="J399" s="18"/>
      <c r="K399" s="18"/>
      <c r="L399" s="18"/>
      <c r="M399" s="18"/>
    </row>
    <row r="400">
      <c r="J400" s="18"/>
      <c r="K400" s="18"/>
      <c r="L400" s="18"/>
      <c r="M400" s="18"/>
    </row>
    <row r="401">
      <c r="J401" s="18"/>
      <c r="K401" s="18"/>
      <c r="L401" s="18"/>
      <c r="M401" s="18"/>
    </row>
    <row r="402">
      <c r="J402" s="18"/>
      <c r="K402" s="18"/>
      <c r="L402" s="18"/>
      <c r="M402" s="18"/>
    </row>
    <row r="403">
      <c r="J403" s="18"/>
      <c r="K403" s="18"/>
      <c r="L403" s="18"/>
      <c r="M403" s="18"/>
    </row>
    <row r="404">
      <c r="J404" s="18"/>
      <c r="K404" s="18"/>
      <c r="L404" s="18"/>
      <c r="M404" s="18"/>
    </row>
    <row r="405">
      <c r="J405" s="18"/>
      <c r="K405" s="18"/>
      <c r="L405" s="18"/>
      <c r="M405" s="18"/>
    </row>
    <row r="406">
      <c r="J406" s="18"/>
      <c r="K406" s="18"/>
      <c r="L406" s="18"/>
      <c r="M406" s="18"/>
    </row>
    <row r="407">
      <c r="J407" s="18"/>
      <c r="K407" s="18"/>
      <c r="L407" s="18"/>
      <c r="M407" s="18"/>
    </row>
    <row r="408">
      <c r="J408" s="18"/>
      <c r="K408" s="18"/>
      <c r="L408" s="18"/>
      <c r="M408" s="18"/>
    </row>
    <row r="409">
      <c r="J409" s="18"/>
      <c r="K409" s="18"/>
      <c r="L409" s="18"/>
      <c r="M409" s="18"/>
    </row>
    <row r="410">
      <c r="J410" s="18"/>
      <c r="K410" s="18"/>
      <c r="L410" s="18"/>
      <c r="M410" s="18"/>
    </row>
    <row r="411">
      <c r="J411" s="18"/>
      <c r="K411" s="18"/>
      <c r="L411" s="18"/>
      <c r="M411" s="18"/>
    </row>
    <row r="412">
      <c r="J412" s="18"/>
      <c r="K412" s="18"/>
      <c r="L412" s="18"/>
      <c r="M412" s="18"/>
    </row>
    <row r="413">
      <c r="J413" s="18"/>
      <c r="K413" s="18"/>
      <c r="L413" s="18"/>
      <c r="M413" s="18"/>
    </row>
    <row r="414">
      <c r="J414" s="18"/>
      <c r="K414" s="18"/>
      <c r="L414" s="18"/>
      <c r="M414" s="18"/>
    </row>
    <row r="415">
      <c r="J415" s="18"/>
      <c r="K415" s="18"/>
      <c r="L415" s="18"/>
      <c r="M415" s="18"/>
    </row>
    <row r="416">
      <c r="J416" s="18"/>
      <c r="K416" s="18"/>
      <c r="L416" s="18"/>
      <c r="M416" s="18"/>
    </row>
    <row r="417">
      <c r="J417" s="18"/>
      <c r="K417" s="18"/>
      <c r="L417" s="18"/>
      <c r="M417" s="18"/>
    </row>
    <row r="418">
      <c r="J418" s="18"/>
      <c r="K418" s="18"/>
      <c r="L418" s="18"/>
      <c r="M418" s="18"/>
    </row>
    <row r="419">
      <c r="J419" s="18"/>
      <c r="K419" s="18"/>
      <c r="L419" s="18"/>
      <c r="M419" s="18"/>
    </row>
    <row r="420">
      <c r="J420" s="18"/>
      <c r="K420" s="18"/>
      <c r="L420" s="18"/>
      <c r="M420" s="18"/>
    </row>
    <row r="421">
      <c r="J421" s="18"/>
      <c r="K421" s="18"/>
      <c r="L421" s="18"/>
      <c r="M421" s="18"/>
    </row>
    <row r="422">
      <c r="J422" s="18"/>
      <c r="K422" s="18"/>
      <c r="L422" s="18"/>
      <c r="M422" s="18"/>
    </row>
    <row r="423">
      <c r="J423" s="18"/>
      <c r="K423" s="18"/>
      <c r="L423" s="18"/>
      <c r="M423" s="18"/>
    </row>
    <row r="424">
      <c r="J424" s="18"/>
      <c r="K424" s="18"/>
      <c r="L424" s="18"/>
      <c r="M424" s="18"/>
    </row>
    <row r="425">
      <c r="J425" s="18"/>
      <c r="K425" s="18"/>
      <c r="L425" s="18"/>
      <c r="M425" s="18"/>
    </row>
    <row r="426">
      <c r="J426" s="18"/>
      <c r="K426" s="18"/>
      <c r="L426" s="18"/>
      <c r="M426" s="18"/>
    </row>
    <row r="427">
      <c r="J427" s="18"/>
      <c r="K427" s="18"/>
      <c r="L427" s="18"/>
      <c r="M427" s="18"/>
    </row>
    <row r="428">
      <c r="J428" s="18"/>
      <c r="K428" s="18"/>
      <c r="L428" s="18"/>
      <c r="M428" s="18"/>
    </row>
    <row r="429">
      <c r="J429" s="18"/>
      <c r="K429" s="18"/>
      <c r="L429" s="18"/>
      <c r="M429" s="18"/>
    </row>
    <row r="430">
      <c r="J430" s="18"/>
      <c r="K430" s="18"/>
      <c r="L430" s="18"/>
      <c r="M430" s="18"/>
    </row>
    <row r="431">
      <c r="J431" s="18"/>
      <c r="K431" s="18"/>
      <c r="L431" s="18"/>
      <c r="M431" s="18"/>
    </row>
    <row r="432">
      <c r="J432" s="18"/>
      <c r="K432" s="18"/>
      <c r="L432" s="18"/>
      <c r="M432" s="18"/>
    </row>
    <row r="433">
      <c r="J433" s="18"/>
      <c r="K433" s="18"/>
      <c r="L433" s="18"/>
      <c r="M433" s="18"/>
    </row>
    <row r="434">
      <c r="J434" s="18"/>
      <c r="K434" s="18"/>
      <c r="L434" s="18"/>
      <c r="M434" s="18"/>
    </row>
    <row r="435">
      <c r="J435" s="18"/>
      <c r="K435" s="18"/>
      <c r="L435" s="18"/>
      <c r="M435" s="18"/>
    </row>
    <row r="436">
      <c r="J436" s="18"/>
      <c r="K436" s="18"/>
      <c r="L436" s="18"/>
      <c r="M436" s="18"/>
    </row>
    <row r="437">
      <c r="J437" s="18"/>
      <c r="K437" s="18"/>
      <c r="L437" s="18"/>
      <c r="M437" s="18"/>
    </row>
    <row r="438">
      <c r="J438" s="18"/>
      <c r="K438" s="18"/>
      <c r="L438" s="18"/>
      <c r="M438" s="18"/>
    </row>
    <row r="439">
      <c r="J439" s="18"/>
      <c r="K439" s="18"/>
      <c r="L439" s="18"/>
      <c r="M439" s="18"/>
    </row>
    <row r="440">
      <c r="J440" s="18"/>
      <c r="K440" s="18"/>
      <c r="L440" s="18"/>
      <c r="M440" s="18"/>
    </row>
    <row r="441">
      <c r="J441" s="18"/>
      <c r="K441" s="18"/>
      <c r="L441" s="18"/>
      <c r="M441" s="18"/>
    </row>
    <row r="442">
      <c r="J442" s="18"/>
      <c r="K442" s="18"/>
      <c r="L442" s="18"/>
      <c r="M442" s="18"/>
    </row>
    <row r="443">
      <c r="J443" s="18"/>
      <c r="K443" s="18"/>
      <c r="L443" s="18"/>
      <c r="M443" s="18"/>
    </row>
    <row r="444">
      <c r="J444" s="18"/>
      <c r="K444" s="18"/>
      <c r="L444" s="18"/>
      <c r="M444" s="18"/>
    </row>
    <row r="445">
      <c r="J445" s="18"/>
      <c r="K445" s="18"/>
      <c r="L445" s="18"/>
      <c r="M445" s="18"/>
    </row>
    <row r="446">
      <c r="J446" s="18"/>
      <c r="K446" s="18"/>
      <c r="L446" s="18"/>
      <c r="M446" s="18"/>
    </row>
    <row r="447">
      <c r="J447" s="18"/>
      <c r="K447" s="18"/>
      <c r="L447" s="18"/>
      <c r="M447" s="18"/>
    </row>
    <row r="448">
      <c r="J448" s="18"/>
      <c r="K448" s="18"/>
      <c r="L448" s="18"/>
      <c r="M448" s="18"/>
    </row>
    <row r="449">
      <c r="J449" s="18"/>
      <c r="K449" s="18"/>
      <c r="L449" s="18"/>
      <c r="M449" s="18"/>
    </row>
    <row r="450">
      <c r="J450" s="18"/>
      <c r="K450" s="18"/>
      <c r="L450" s="18"/>
      <c r="M450" s="18"/>
    </row>
    <row r="451">
      <c r="J451" s="18"/>
      <c r="K451" s="18"/>
      <c r="L451" s="18"/>
      <c r="M451" s="18"/>
    </row>
    <row r="452">
      <c r="J452" s="18"/>
      <c r="K452" s="18"/>
      <c r="L452" s="18"/>
      <c r="M452" s="18"/>
    </row>
    <row r="453">
      <c r="J453" s="18"/>
      <c r="K453" s="18"/>
      <c r="L453" s="18"/>
      <c r="M453" s="18"/>
    </row>
    <row r="454">
      <c r="J454" s="18"/>
      <c r="K454" s="18"/>
      <c r="L454" s="18"/>
      <c r="M454" s="18"/>
    </row>
    <row r="455">
      <c r="J455" s="18"/>
      <c r="K455" s="18"/>
      <c r="L455" s="18"/>
      <c r="M455" s="18"/>
    </row>
    <row r="456">
      <c r="J456" s="18"/>
      <c r="K456" s="18"/>
      <c r="L456" s="18"/>
      <c r="M456" s="18"/>
    </row>
    <row r="457">
      <c r="J457" s="18"/>
      <c r="K457" s="18"/>
      <c r="L457" s="18"/>
      <c r="M457" s="18"/>
    </row>
    <row r="458">
      <c r="J458" s="18"/>
      <c r="K458" s="18"/>
      <c r="L458" s="18"/>
      <c r="M458" s="18"/>
    </row>
    <row r="459">
      <c r="J459" s="18"/>
      <c r="K459" s="18"/>
      <c r="L459" s="18"/>
      <c r="M459" s="18"/>
    </row>
    <row r="460">
      <c r="J460" s="18"/>
      <c r="K460" s="18"/>
      <c r="L460" s="18"/>
      <c r="M460" s="18"/>
    </row>
    <row r="461">
      <c r="J461" s="18"/>
      <c r="K461" s="18"/>
      <c r="L461" s="18"/>
      <c r="M461" s="18"/>
    </row>
    <row r="462">
      <c r="J462" s="18"/>
      <c r="K462" s="18"/>
      <c r="L462" s="18"/>
      <c r="M462" s="18"/>
    </row>
    <row r="463">
      <c r="J463" s="18"/>
      <c r="K463" s="18"/>
      <c r="L463" s="18"/>
      <c r="M463" s="18"/>
    </row>
    <row r="464">
      <c r="J464" s="18"/>
      <c r="K464" s="18"/>
      <c r="L464" s="18"/>
      <c r="M464" s="18"/>
    </row>
    <row r="465">
      <c r="J465" s="18"/>
      <c r="K465" s="18"/>
      <c r="L465" s="18"/>
      <c r="M465" s="18"/>
    </row>
    <row r="466">
      <c r="J466" s="18"/>
      <c r="K466" s="18"/>
      <c r="L466" s="18"/>
      <c r="M466" s="18"/>
    </row>
    <row r="467">
      <c r="J467" s="18"/>
      <c r="K467" s="18"/>
      <c r="L467" s="18"/>
      <c r="M467" s="18"/>
    </row>
    <row r="468">
      <c r="J468" s="18"/>
      <c r="K468" s="18"/>
      <c r="L468" s="18"/>
      <c r="M468" s="18"/>
    </row>
    <row r="469">
      <c r="J469" s="18"/>
      <c r="K469" s="18"/>
      <c r="L469" s="18"/>
      <c r="M469" s="18"/>
    </row>
    <row r="470">
      <c r="J470" s="18"/>
      <c r="K470" s="18"/>
      <c r="L470" s="18"/>
      <c r="M470" s="18"/>
    </row>
    <row r="471">
      <c r="J471" s="18"/>
      <c r="K471" s="18"/>
      <c r="L471" s="18"/>
      <c r="M471" s="18"/>
    </row>
    <row r="472">
      <c r="J472" s="18"/>
      <c r="K472" s="18"/>
      <c r="L472" s="18"/>
      <c r="M472" s="18"/>
    </row>
    <row r="473">
      <c r="J473" s="18"/>
      <c r="K473" s="18"/>
      <c r="L473" s="18"/>
      <c r="M473" s="18"/>
    </row>
    <row r="474">
      <c r="J474" s="18"/>
      <c r="K474" s="18"/>
      <c r="L474" s="18"/>
      <c r="M474" s="18"/>
    </row>
    <row r="475">
      <c r="J475" s="18"/>
      <c r="K475" s="18"/>
      <c r="L475" s="18"/>
      <c r="M475" s="18"/>
    </row>
    <row r="476">
      <c r="J476" s="18"/>
      <c r="K476" s="18"/>
      <c r="L476" s="18"/>
      <c r="M476" s="18"/>
    </row>
    <row r="477">
      <c r="J477" s="18"/>
      <c r="K477" s="18"/>
      <c r="L477" s="18"/>
      <c r="M477" s="18"/>
    </row>
    <row r="478">
      <c r="J478" s="18"/>
      <c r="K478" s="18"/>
      <c r="L478" s="18"/>
      <c r="M478" s="18"/>
    </row>
    <row r="479">
      <c r="J479" s="18"/>
      <c r="K479" s="18"/>
      <c r="L479" s="18"/>
      <c r="M479" s="18"/>
    </row>
    <row r="480">
      <c r="J480" s="18"/>
      <c r="K480" s="18"/>
      <c r="L480" s="18"/>
      <c r="M480" s="18"/>
    </row>
    <row r="481">
      <c r="J481" s="18"/>
      <c r="K481" s="18"/>
      <c r="L481" s="18"/>
      <c r="M481" s="18"/>
    </row>
    <row r="482">
      <c r="J482" s="18"/>
      <c r="K482" s="18"/>
      <c r="L482" s="18"/>
      <c r="M482" s="18"/>
    </row>
    <row r="483">
      <c r="J483" s="18"/>
      <c r="K483" s="18"/>
      <c r="L483" s="18"/>
      <c r="M483" s="18"/>
    </row>
    <row r="484">
      <c r="J484" s="18"/>
      <c r="K484" s="18"/>
      <c r="L484" s="18"/>
      <c r="M484" s="18"/>
    </row>
    <row r="485">
      <c r="J485" s="18"/>
      <c r="K485" s="18"/>
      <c r="L485" s="18"/>
      <c r="M485" s="18"/>
    </row>
    <row r="486">
      <c r="J486" s="18"/>
      <c r="K486" s="18"/>
      <c r="L486" s="18"/>
      <c r="M486" s="18"/>
    </row>
    <row r="487">
      <c r="J487" s="18"/>
      <c r="K487" s="18"/>
      <c r="L487" s="18"/>
      <c r="M487" s="18"/>
    </row>
    <row r="488">
      <c r="J488" s="18"/>
      <c r="K488" s="18"/>
      <c r="L488" s="18"/>
      <c r="M488" s="18"/>
    </row>
    <row r="489">
      <c r="J489" s="18"/>
      <c r="K489" s="18"/>
      <c r="L489" s="18"/>
      <c r="M489" s="18"/>
    </row>
    <row r="490">
      <c r="J490" s="18"/>
      <c r="K490" s="18"/>
      <c r="L490" s="18"/>
      <c r="M490" s="18"/>
    </row>
    <row r="491">
      <c r="J491" s="18"/>
      <c r="K491" s="18"/>
      <c r="L491" s="18"/>
      <c r="M491" s="18"/>
    </row>
    <row r="492">
      <c r="J492" s="18"/>
      <c r="K492" s="18"/>
      <c r="L492" s="18"/>
      <c r="M492" s="18"/>
    </row>
    <row r="493">
      <c r="J493" s="18"/>
      <c r="K493" s="18"/>
      <c r="L493" s="18"/>
      <c r="M493" s="18"/>
    </row>
    <row r="494">
      <c r="J494" s="18"/>
      <c r="K494" s="18"/>
      <c r="L494" s="18"/>
      <c r="M494" s="18"/>
    </row>
    <row r="495">
      <c r="J495" s="18"/>
      <c r="K495" s="18"/>
      <c r="L495" s="18"/>
      <c r="M495" s="18"/>
    </row>
    <row r="496">
      <c r="J496" s="18"/>
      <c r="K496" s="18"/>
      <c r="L496" s="18"/>
      <c r="M496" s="18"/>
    </row>
    <row r="497">
      <c r="J497" s="18"/>
      <c r="K497" s="18"/>
      <c r="L497" s="18"/>
      <c r="M497" s="18"/>
    </row>
    <row r="498">
      <c r="J498" s="18"/>
      <c r="K498" s="18"/>
      <c r="L498" s="18"/>
      <c r="M498" s="18"/>
    </row>
    <row r="499">
      <c r="J499" s="18"/>
      <c r="K499" s="18"/>
      <c r="L499" s="18"/>
      <c r="M499" s="18"/>
    </row>
    <row r="500">
      <c r="J500" s="18"/>
      <c r="K500" s="18"/>
      <c r="L500" s="18"/>
      <c r="M500" s="18"/>
    </row>
    <row r="501">
      <c r="J501" s="18"/>
      <c r="K501" s="18"/>
      <c r="L501" s="18"/>
      <c r="M501" s="18"/>
    </row>
    <row r="502">
      <c r="J502" s="18"/>
      <c r="K502" s="18"/>
      <c r="L502" s="18"/>
      <c r="M502" s="18"/>
    </row>
    <row r="503">
      <c r="J503" s="18"/>
      <c r="K503" s="18"/>
      <c r="L503" s="18"/>
      <c r="M503" s="18"/>
    </row>
    <row r="504">
      <c r="J504" s="18"/>
      <c r="K504" s="18"/>
      <c r="L504" s="18"/>
      <c r="M504" s="18"/>
    </row>
    <row r="505">
      <c r="J505" s="18"/>
      <c r="K505" s="18"/>
      <c r="L505" s="18"/>
      <c r="M505" s="18"/>
    </row>
    <row r="506">
      <c r="J506" s="18"/>
      <c r="K506" s="18"/>
      <c r="L506" s="18"/>
      <c r="M506" s="18"/>
    </row>
    <row r="507">
      <c r="J507" s="18"/>
      <c r="K507" s="18"/>
      <c r="L507" s="18"/>
      <c r="M507" s="18"/>
    </row>
    <row r="508">
      <c r="J508" s="18"/>
      <c r="K508" s="18"/>
      <c r="L508" s="18"/>
      <c r="M508" s="18"/>
    </row>
    <row r="509">
      <c r="J509" s="18"/>
      <c r="K509" s="18"/>
      <c r="L509" s="18"/>
      <c r="M509" s="18"/>
    </row>
    <row r="510">
      <c r="J510" s="18"/>
      <c r="K510" s="18"/>
      <c r="L510" s="18"/>
      <c r="M510" s="18"/>
    </row>
    <row r="511">
      <c r="J511" s="18"/>
      <c r="K511" s="18"/>
      <c r="L511" s="18"/>
      <c r="M511" s="18"/>
    </row>
    <row r="512">
      <c r="J512" s="18"/>
      <c r="K512" s="18"/>
      <c r="L512" s="18"/>
      <c r="M512" s="18"/>
    </row>
    <row r="513">
      <c r="J513" s="18"/>
      <c r="K513" s="18"/>
      <c r="L513" s="18"/>
      <c r="M513" s="18"/>
    </row>
    <row r="514">
      <c r="J514" s="18"/>
      <c r="K514" s="18"/>
      <c r="L514" s="18"/>
      <c r="M514" s="18"/>
    </row>
    <row r="515">
      <c r="J515" s="18"/>
      <c r="K515" s="18"/>
      <c r="L515" s="18"/>
      <c r="M515" s="18"/>
    </row>
    <row r="516">
      <c r="J516" s="18"/>
      <c r="K516" s="18"/>
      <c r="L516" s="18"/>
      <c r="M516" s="18"/>
    </row>
    <row r="517">
      <c r="J517" s="18"/>
      <c r="K517" s="18"/>
      <c r="L517" s="18"/>
      <c r="M517" s="18"/>
    </row>
    <row r="518">
      <c r="J518" s="18"/>
      <c r="K518" s="18"/>
      <c r="L518" s="18"/>
      <c r="M518" s="18"/>
    </row>
    <row r="519">
      <c r="J519" s="18"/>
      <c r="K519" s="18"/>
      <c r="L519" s="18"/>
      <c r="M519" s="18"/>
    </row>
    <row r="520">
      <c r="J520" s="18"/>
      <c r="K520" s="18"/>
      <c r="L520" s="18"/>
      <c r="M520" s="18"/>
    </row>
    <row r="521">
      <c r="J521" s="18"/>
      <c r="K521" s="18"/>
      <c r="L521" s="18"/>
      <c r="M521" s="18"/>
    </row>
    <row r="522">
      <c r="J522" s="18"/>
      <c r="K522" s="18"/>
      <c r="L522" s="18"/>
      <c r="M522" s="18"/>
    </row>
    <row r="523">
      <c r="J523" s="18"/>
      <c r="K523" s="18"/>
      <c r="L523" s="18"/>
      <c r="M523" s="18"/>
    </row>
    <row r="524">
      <c r="J524" s="18"/>
      <c r="K524" s="18"/>
      <c r="L524" s="18"/>
      <c r="M524" s="18"/>
    </row>
    <row r="525">
      <c r="J525" s="18"/>
      <c r="K525" s="18"/>
      <c r="L525" s="18"/>
      <c r="M525" s="18"/>
    </row>
    <row r="526">
      <c r="J526" s="18"/>
      <c r="K526" s="18"/>
      <c r="L526" s="18"/>
      <c r="M526" s="18"/>
    </row>
    <row r="527">
      <c r="J527" s="18"/>
      <c r="K527" s="18"/>
      <c r="L527" s="18"/>
      <c r="M527" s="18"/>
    </row>
    <row r="528">
      <c r="J528" s="18"/>
      <c r="K528" s="18"/>
      <c r="L528" s="18"/>
      <c r="M528" s="18"/>
    </row>
    <row r="529">
      <c r="J529" s="18"/>
      <c r="K529" s="18"/>
      <c r="L529" s="18"/>
      <c r="M529" s="18"/>
    </row>
    <row r="530">
      <c r="J530" s="18"/>
      <c r="K530" s="18"/>
      <c r="L530" s="18"/>
      <c r="M530" s="18"/>
    </row>
    <row r="531">
      <c r="J531" s="18"/>
      <c r="K531" s="18"/>
      <c r="L531" s="18"/>
      <c r="M531" s="18"/>
    </row>
    <row r="532">
      <c r="J532" s="18"/>
      <c r="K532" s="18"/>
      <c r="L532" s="18"/>
      <c r="M532" s="18"/>
    </row>
    <row r="533">
      <c r="J533" s="18"/>
      <c r="K533" s="18"/>
      <c r="L533" s="18"/>
      <c r="M533" s="18"/>
    </row>
    <row r="534">
      <c r="J534" s="18"/>
      <c r="K534" s="18"/>
      <c r="L534" s="18"/>
      <c r="M534" s="18"/>
    </row>
    <row r="535">
      <c r="J535" s="18"/>
      <c r="K535" s="18"/>
      <c r="L535" s="18"/>
      <c r="M535" s="18"/>
    </row>
    <row r="536">
      <c r="J536" s="18"/>
      <c r="K536" s="18"/>
      <c r="L536" s="18"/>
      <c r="M536" s="18"/>
    </row>
    <row r="537">
      <c r="J537" s="18"/>
      <c r="K537" s="18"/>
      <c r="L537" s="18"/>
      <c r="M537" s="18"/>
    </row>
    <row r="538">
      <c r="J538" s="18"/>
      <c r="K538" s="18"/>
      <c r="L538" s="18"/>
      <c r="M538" s="18"/>
    </row>
    <row r="539">
      <c r="J539" s="18"/>
      <c r="K539" s="18"/>
      <c r="L539" s="18"/>
      <c r="M539" s="18"/>
    </row>
    <row r="540">
      <c r="J540" s="18"/>
      <c r="K540" s="18"/>
      <c r="L540" s="18"/>
      <c r="M540" s="18"/>
    </row>
    <row r="541">
      <c r="J541" s="18"/>
      <c r="K541" s="18"/>
      <c r="L541" s="18"/>
      <c r="M541" s="18"/>
    </row>
    <row r="542">
      <c r="J542" s="18"/>
      <c r="K542" s="18"/>
      <c r="L542" s="18"/>
      <c r="M542" s="18"/>
    </row>
    <row r="543">
      <c r="J543" s="18"/>
      <c r="K543" s="18"/>
      <c r="L543" s="18"/>
      <c r="M543" s="18"/>
    </row>
    <row r="544">
      <c r="J544" s="18"/>
      <c r="K544" s="18"/>
      <c r="L544" s="18"/>
      <c r="M544" s="18"/>
    </row>
    <row r="545">
      <c r="J545" s="18"/>
      <c r="K545" s="18"/>
      <c r="L545" s="18"/>
      <c r="M545" s="18"/>
    </row>
    <row r="546">
      <c r="J546" s="18"/>
      <c r="K546" s="18"/>
      <c r="L546" s="18"/>
      <c r="M546" s="18"/>
    </row>
    <row r="547">
      <c r="J547" s="18"/>
      <c r="K547" s="18"/>
      <c r="L547" s="18"/>
      <c r="M547" s="18"/>
    </row>
    <row r="548">
      <c r="J548" s="18"/>
      <c r="K548" s="18"/>
      <c r="L548" s="18"/>
      <c r="M548" s="18"/>
    </row>
    <row r="549">
      <c r="J549" s="18"/>
      <c r="K549" s="18"/>
      <c r="L549" s="18"/>
      <c r="M549" s="18"/>
    </row>
    <row r="550">
      <c r="J550" s="18"/>
      <c r="K550" s="18"/>
      <c r="L550" s="18"/>
      <c r="M550" s="18"/>
    </row>
    <row r="551">
      <c r="J551" s="18"/>
      <c r="K551" s="18"/>
      <c r="L551" s="18"/>
      <c r="M551" s="18"/>
    </row>
    <row r="552">
      <c r="J552" s="18"/>
      <c r="K552" s="18"/>
      <c r="L552" s="18"/>
      <c r="M552" s="18"/>
    </row>
    <row r="553">
      <c r="J553" s="18"/>
      <c r="K553" s="18"/>
      <c r="L553" s="18"/>
      <c r="M553" s="18"/>
    </row>
    <row r="554">
      <c r="J554" s="18"/>
      <c r="K554" s="18"/>
      <c r="L554" s="18"/>
      <c r="M554" s="18"/>
    </row>
    <row r="555">
      <c r="J555" s="18"/>
      <c r="K555" s="18"/>
      <c r="L555" s="18"/>
      <c r="M555" s="18"/>
    </row>
    <row r="556">
      <c r="J556" s="18"/>
      <c r="K556" s="18"/>
      <c r="L556" s="18"/>
      <c r="M556" s="18"/>
    </row>
    <row r="557">
      <c r="J557" s="18"/>
      <c r="K557" s="18"/>
      <c r="L557" s="18"/>
      <c r="M557" s="18"/>
    </row>
    <row r="558">
      <c r="J558" s="18"/>
      <c r="K558" s="18"/>
      <c r="L558" s="18"/>
      <c r="M558" s="18"/>
    </row>
    <row r="559">
      <c r="J559" s="18"/>
      <c r="K559" s="18"/>
      <c r="L559" s="18"/>
      <c r="M559" s="18"/>
    </row>
    <row r="560">
      <c r="J560" s="18"/>
      <c r="K560" s="18"/>
      <c r="L560" s="18"/>
      <c r="M560" s="18"/>
    </row>
    <row r="561">
      <c r="J561" s="18"/>
      <c r="K561" s="18"/>
      <c r="L561" s="18"/>
      <c r="M561" s="18"/>
    </row>
    <row r="562">
      <c r="J562" s="18"/>
      <c r="K562" s="18"/>
      <c r="L562" s="18"/>
      <c r="M562" s="18"/>
    </row>
    <row r="563">
      <c r="J563" s="18"/>
      <c r="K563" s="18"/>
      <c r="L563" s="18"/>
      <c r="M563" s="18"/>
    </row>
    <row r="564">
      <c r="J564" s="18"/>
      <c r="K564" s="18"/>
      <c r="L564" s="18"/>
      <c r="M564" s="18"/>
    </row>
    <row r="565">
      <c r="J565" s="18"/>
      <c r="K565" s="18"/>
      <c r="L565" s="18"/>
      <c r="M565" s="18"/>
    </row>
    <row r="566">
      <c r="J566" s="18"/>
      <c r="K566" s="18"/>
      <c r="L566" s="18"/>
      <c r="M566" s="18"/>
    </row>
    <row r="567">
      <c r="J567" s="18"/>
      <c r="K567" s="18"/>
      <c r="L567" s="18"/>
      <c r="M567" s="18"/>
    </row>
    <row r="568">
      <c r="J568" s="18"/>
      <c r="K568" s="18"/>
      <c r="L568" s="18"/>
      <c r="M568" s="18"/>
    </row>
    <row r="569">
      <c r="J569" s="18"/>
      <c r="K569" s="18"/>
      <c r="L569" s="18"/>
      <c r="M569" s="18"/>
    </row>
    <row r="570">
      <c r="J570" s="18"/>
      <c r="K570" s="18"/>
      <c r="L570" s="18"/>
      <c r="M570" s="18"/>
    </row>
    <row r="571">
      <c r="J571" s="18"/>
      <c r="K571" s="18"/>
      <c r="L571" s="18"/>
      <c r="M571" s="18"/>
    </row>
    <row r="572">
      <c r="J572" s="18"/>
      <c r="K572" s="18"/>
      <c r="L572" s="18"/>
      <c r="M572" s="18"/>
    </row>
    <row r="573">
      <c r="J573" s="18"/>
      <c r="K573" s="18"/>
      <c r="L573" s="18"/>
      <c r="M573" s="18"/>
    </row>
    <row r="574">
      <c r="J574" s="18"/>
      <c r="K574" s="18"/>
      <c r="L574" s="18"/>
      <c r="M574" s="18"/>
    </row>
    <row r="575">
      <c r="J575" s="18"/>
      <c r="K575" s="18"/>
      <c r="L575" s="18"/>
      <c r="M575" s="18"/>
    </row>
    <row r="576">
      <c r="J576" s="18"/>
      <c r="K576" s="18"/>
      <c r="L576" s="18"/>
      <c r="M576" s="18"/>
    </row>
    <row r="577">
      <c r="J577" s="18"/>
      <c r="K577" s="18"/>
      <c r="L577" s="18"/>
      <c r="M577" s="18"/>
    </row>
    <row r="578">
      <c r="J578" s="18"/>
      <c r="K578" s="18"/>
      <c r="L578" s="18"/>
      <c r="M578" s="18"/>
    </row>
    <row r="579">
      <c r="J579" s="18"/>
      <c r="K579" s="18"/>
      <c r="L579" s="18"/>
      <c r="M579" s="18"/>
    </row>
    <row r="580">
      <c r="J580" s="18"/>
      <c r="K580" s="18"/>
      <c r="L580" s="18"/>
      <c r="M580" s="18"/>
    </row>
    <row r="581">
      <c r="J581" s="18"/>
      <c r="K581" s="18"/>
      <c r="L581" s="18"/>
      <c r="M581" s="18"/>
    </row>
    <row r="582">
      <c r="J582" s="18"/>
      <c r="K582" s="18"/>
      <c r="L582" s="18"/>
      <c r="M582" s="18"/>
    </row>
    <row r="583">
      <c r="J583" s="18"/>
      <c r="K583" s="18"/>
      <c r="L583" s="18"/>
      <c r="M583" s="18"/>
    </row>
    <row r="584">
      <c r="J584" s="18"/>
      <c r="K584" s="18"/>
      <c r="L584" s="18"/>
      <c r="M584" s="18"/>
    </row>
    <row r="585">
      <c r="J585" s="18"/>
      <c r="K585" s="18"/>
      <c r="L585" s="18"/>
      <c r="M585" s="18"/>
    </row>
    <row r="586">
      <c r="J586" s="18"/>
      <c r="K586" s="18"/>
      <c r="L586" s="18"/>
      <c r="M586" s="18"/>
    </row>
    <row r="587">
      <c r="J587" s="18"/>
      <c r="K587" s="18"/>
      <c r="L587" s="18"/>
      <c r="M587" s="18"/>
    </row>
    <row r="588">
      <c r="J588" s="18"/>
      <c r="K588" s="18"/>
      <c r="L588" s="18"/>
      <c r="M588" s="18"/>
    </row>
    <row r="589">
      <c r="J589" s="18"/>
      <c r="K589" s="18"/>
      <c r="L589" s="18"/>
      <c r="M589" s="18"/>
    </row>
    <row r="590">
      <c r="J590" s="18"/>
      <c r="K590" s="18"/>
      <c r="L590" s="18"/>
      <c r="M590" s="18"/>
    </row>
    <row r="591">
      <c r="J591" s="18"/>
      <c r="K591" s="18"/>
      <c r="L591" s="18"/>
      <c r="M591" s="18"/>
    </row>
    <row r="592">
      <c r="J592" s="18"/>
      <c r="K592" s="18"/>
      <c r="L592" s="18"/>
      <c r="M592" s="18"/>
    </row>
    <row r="593">
      <c r="J593" s="18"/>
      <c r="K593" s="18"/>
      <c r="L593" s="18"/>
      <c r="M593" s="18"/>
    </row>
    <row r="594">
      <c r="J594" s="18"/>
      <c r="K594" s="18"/>
      <c r="L594" s="18"/>
      <c r="M594" s="18"/>
    </row>
    <row r="595">
      <c r="J595" s="18"/>
      <c r="K595" s="18"/>
      <c r="L595" s="18"/>
      <c r="M595" s="18"/>
    </row>
    <row r="596">
      <c r="J596" s="18"/>
      <c r="K596" s="18"/>
      <c r="L596" s="18"/>
      <c r="M596" s="18"/>
    </row>
    <row r="597">
      <c r="J597" s="18"/>
      <c r="K597" s="18"/>
      <c r="L597" s="18"/>
      <c r="M597" s="18"/>
    </row>
    <row r="598">
      <c r="J598" s="18"/>
      <c r="K598" s="18"/>
      <c r="L598" s="18"/>
      <c r="M598" s="18"/>
    </row>
    <row r="599">
      <c r="J599" s="18"/>
      <c r="K599" s="18"/>
      <c r="L599" s="18"/>
      <c r="M599" s="18"/>
    </row>
    <row r="600">
      <c r="J600" s="18"/>
      <c r="K600" s="18"/>
      <c r="L600" s="18"/>
      <c r="M600" s="18"/>
    </row>
    <row r="601">
      <c r="J601" s="18"/>
      <c r="K601" s="18"/>
      <c r="L601" s="18"/>
      <c r="M601" s="18"/>
    </row>
    <row r="602">
      <c r="J602" s="18"/>
      <c r="K602" s="18"/>
      <c r="L602" s="18"/>
      <c r="M602" s="18"/>
    </row>
    <row r="603">
      <c r="J603" s="18"/>
      <c r="K603" s="18"/>
      <c r="L603" s="18"/>
      <c r="M603" s="18"/>
    </row>
    <row r="604">
      <c r="J604" s="18"/>
      <c r="K604" s="18"/>
      <c r="L604" s="18"/>
      <c r="M604" s="18"/>
    </row>
    <row r="605">
      <c r="J605" s="18"/>
      <c r="K605" s="18"/>
      <c r="L605" s="18"/>
      <c r="M605" s="18"/>
    </row>
    <row r="606">
      <c r="J606" s="18"/>
      <c r="K606" s="18"/>
      <c r="L606" s="18"/>
      <c r="M606" s="18"/>
    </row>
    <row r="607">
      <c r="J607" s="18"/>
      <c r="K607" s="18"/>
      <c r="L607" s="18"/>
      <c r="M607" s="18"/>
    </row>
    <row r="608">
      <c r="J608" s="18"/>
      <c r="K608" s="18"/>
      <c r="L608" s="18"/>
      <c r="M608" s="18"/>
    </row>
    <row r="609">
      <c r="J609" s="18"/>
      <c r="K609" s="18"/>
      <c r="L609" s="18"/>
      <c r="M609" s="18"/>
    </row>
    <row r="610">
      <c r="J610" s="18"/>
      <c r="K610" s="18"/>
      <c r="L610" s="18"/>
      <c r="M610" s="18"/>
    </row>
    <row r="611">
      <c r="J611" s="18"/>
      <c r="K611" s="18"/>
      <c r="L611" s="18"/>
      <c r="M611" s="18"/>
    </row>
    <row r="612">
      <c r="J612" s="18"/>
      <c r="K612" s="18"/>
      <c r="L612" s="18"/>
      <c r="M612" s="18"/>
    </row>
    <row r="613">
      <c r="J613" s="18"/>
      <c r="K613" s="18"/>
      <c r="L613" s="18"/>
      <c r="M613" s="18"/>
    </row>
    <row r="614">
      <c r="J614" s="18"/>
      <c r="K614" s="18"/>
      <c r="L614" s="18"/>
      <c r="M614" s="18"/>
    </row>
    <row r="615">
      <c r="J615" s="18"/>
      <c r="K615" s="18"/>
      <c r="L615" s="18"/>
      <c r="M615" s="18"/>
    </row>
    <row r="616">
      <c r="J616" s="18"/>
      <c r="K616" s="18"/>
      <c r="L616" s="18"/>
      <c r="M616" s="18"/>
    </row>
    <row r="617">
      <c r="J617" s="18"/>
      <c r="K617" s="18"/>
      <c r="L617" s="18"/>
      <c r="M617" s="18"/>
    </row>
    <row r="618">
      <c r="J618" s="18"/>
      <c r="K618" s="18"/>
      <c r="L618" s="18"/>
      <c r="M618" s="18"/>
    </row>
    <row r="619">
      <c r="J619" s="18"/>
      <c r="K619" s="18"/>
      <c r="L619" s="18"/>
      <c r="M619" s="18"/>
    </row>
    <row r="620">
      <c r="J620" s="18"/>
      <c r="K620" s="18"/>
      <c r="L620" s="18"/>
      <c r="M620" s="18"/>
    </row>
    <row r="621">
      <c r="J621" s="18"/>
      <c r="K621" s="18"/>
      <c r="L621" s="18"/>
      <c r="M621" s="18"/>
    </row>
    <row r="622">
      <c r="J622" s="18"/>
      <c r="K622" s="18"/>
      <c r="L622" s="18"/>
      <c r="M622" s="18"/>
    </row>
    <row r="623">
      <c r="J623" s="18"/>
      <c r="K623" s="18"/>
      <c r="L623" s="18"/>
      <c r="M623" s="18"/>
    </row>
    <row r="624">
      <c r="J624" s="18"/>
      <c r="K624" s="18"/>
      <c r="L624" s="18"/>
      <c r="M624" s="18"/>
    </row>
    <row r="625">
      <c r="J625" s="18"/>
      <c r="K625" s="18"/>
      <c r="L625" s="18"/>
      <c r="M625" s="18"/>
    </row>
    <row r="626">
      <c r="J626" s="18"/>
      <c r="K626" s="18"/>
      <c r="L626" s="18"/>
      <c r="M626" s="18"/>
    </row>
    <row r="627">
      <c r="J627" s="18"/>
      <c r="K627" s="18"/>
      <c r="L627" s="18"/>
      <c r="M627" s="18"/>
    </row>
    <row r="628">
      <c r="J628" s="18"/>
      <c r="K628" s="18"/>
      <c r="L628" s="18"/>
      <c r="M628" s="18"/>
    </row>
    <row r="629">
      <c r="J629" s="18"/>
      <c r="K629" s="18"/>
      <c r="L629" s="18"/>
      <c r="M629" s="18"/>
    </row>
    <row r="630">
      <c r="J630" s="18"/>
      <c r="K630" s="18"/>
      <c r="L630" s="18"/>
      <c r="M630" s="18"/>
    </row>
    <row r="631">
      <c r="J631" s="18"/>
      <c r="K631" s="18"/>
      <c r="L631" s="18"/>
      <c r="M631" s="18"/>
    </row>
    <row r="632">
      <c r="J632" s="18"/>
      <c r="K632" s="18"/>
      <c r="L632" s="18"/>
      <c r="M632" s="18"/>
    </row>
    <row r="633">
      <c r="J633" s="18"/>
      <c r="K633" s="18"/>
      <c r="L633" s="18"/>
      <c r="M633" s="18"/>
    </row>
    <row r="634">
      <c r="J634" s="18"/>
      <c r="K634" s="18"/>
      <c r="L634" s="18"/>
      <c r="M634" s="18"/>
    </row>
    <row r="635">
      <c r="J635" s="18"/>
      <c r="K635" s="18"/>
      <c r="L635" s="18"/>
      <c r="M635" s="18"/>
    </row>
    <row r="636">
      <c r="J636" s="18"/>
      <c r="K636" s="18"/>
      <c r="L636" s="18"/>
      <c r="M636" s="18"/>
    </row>
    <row r="637">
      <c r="J637" s="18"/>
      <c r="K637" s="18"/>
      <c r="L637" s="18"/>
      <c r="M637" s="18"/>
    </row>
    <row r="638">
      <c r="J638" s="18"/>
      <c r="K638" s="18"/>
      <c r="L638" s="18"/>
      <c r="M638" s="18"/>
    </row>
    <row r="639">
      <c r="J639" s="18"/>
      <c r="K639" s="18"/>
      <c r="L639" s="18"/>
      <c r="M639" s="18"/>
    </row>
    <row r="640">
      <c r="J640" s="18"/>
      <c r="K640" s="18"/>
      <c r="L640" s="18"/>
      <c r="M640" s="18"/>
    </row>
    <row r="641">
      <c r="J641" s="18"/>
      <c r="K641" s="18"/>
      <c r="L641" s="18"/>
      <c r="M641" s="18"/>
    </row>
    <row r="642">
      <c r="J642" s="18"/>
      <c r="K642" s="18"/>
      <c r="L642" s="18"/>
      <c r="M642" s="18"/>
    </row>
    <row r="643">
      <c r="J643" s="18"/>
      <c r="K643" s="18"/>
      <c r="L643" s="18"/>
      <c r="M643" s="18"/>
    </row>
    <row r="644">
      <c r="J644" s="18"/>
      <c r="K644" s="18"/>
      <c r="L644" s="18"/>
      <c r="M644" s="18"/>
    </row>
    <row r="645">
      <c r="J645" s="18"/>
      <c r="K645" s="18"/>
      <c r="L645" s="18"/>
      <c r="M645" s="18"/>
    </row>
    <row r="646">
      <c r="J646" s="18"/>
      <c r="K646" s="18"/>
      <c r="L646" s="18"/>
      <c r="M646" s="18"/>
    </row>
    <row r="647">
      <c r="J647" s="18"/>
      <c r="K647" s="18"/>
      <c r="L647" s="18"/>
      <c r="M647" s="18"/>
    </row>
    <row r="648">
      <c r="J648" s="18"/>
      <c r="K648" s="18"/>
      <c r="L648" s="18"/>
      <c r="M648" s="18"/>
    </row>
    <row r="649">
      <c r="J649" s="18"/>
      <c r="K649" s="18"/>
      <c r="L649" s="18"/>
      <c r="M649" s="18"/>
    </row>
    <row r="650">
      <c r="J650" s="18"/>
      <c r="K650" s="18"/>
      <c r="L650" s="18"/>
      <c r="M650" s="18"/>
    </row>
    <row r="651">
      <c r="J651" s="18"/>
      <c r="K651" s="18"/>
      <c r="L651" s="18"/>
      <c r="M651" s="18"/>
    </row>
    <row r="652">
      <c r="J652" s="18"/>
      <c r="K652" s="18"/>
      <c r="L652" s="18"/>
      <c r="M652" s="18"/>
    </row>
    <row r="653">
      <c r="J653" s="18"/>
      <c r="K653" s="18"/>
      <c r="L653" s="18"/>
      <c r="M653" s="18"/>
    </row>
    <row r="654">
      <c r="J654" s="18"/>
      <c r="K654" s="18"/>
      <c r="L654" s="18"/>
      <c r="M654" s="18"/>
    </row>
    <row r="655">
      <c r="J655" s="18"/>
      <c r="K655" s="18"/>
      <c r="L655" s="18"/>
      <c r="M655" s="18"/>
    </row>
    <row r="656">
      <c r="J656" s="18"/>
      <c r="K656" s="18"/>
      <c r="L656" s="18"/>
      <c r="M656" s="18"/>
    </row>
    <row r="657">
      <c r="J657" s="18"/>
      <c r="K657" s="18"/>
      <c r="L657" s="18"/>
      <c r="M657" s="18"/>
    </row>
    <row r="658">
      <c r="J658" s="18"/>
      <c r="K658" s="18"/>
      <c r="L658" s="18"/>
      <c r="M658" s="18"/>
    </row>
    <row r="659">
      <c r="J659" s="18"/>
      <c r="K659" s="18"/>
      <c r="L659" s="18"/>
      <c r="M659" s="18"/>
    </row>
    <row r="660">
      <c r="J660" s="18"/>
      <c r="K660" s="18"/>
      <c r="L660" s="18"/>
      <c r="M660" s="18"/>
    </row>
    <row r="661">
      <c r="J661" s="18"/>
      <c r="K661" s="18"/>
      <c r="L661" s="18"/>
      <c r="M661" s="18"/>
    </row>
    <row r="662">
      <c r="J662" s="18"/>
      <c r="K662" s="18"/>
      <c r="L662" s="18"/>
      <c r="M662" s="18"/>
    </row>
    <row r="663">
      <c r="J663" s="18"/>
      <c r="K663" s="18"/>
      <c r="L663" s="18"/>
      <c r="M663" s="18"/>
    </row>
    <row r="664">
      <c r="J664" s="18"/>
      <c r="K664" s="18"/>
      <c r="L664" s="18"/>
      <c r="M664" s="18"/>
    </row>
    <row r="665">
      <c r="J665" s="18"/>
      <c r="K665" s="18"/>
      <c r="L665" s="18"/>
      <c r="M665" s="18"/>
    </row>
    <row r="666">
      <c r="J666" s="18"/>
      <c r="K666" s="18"/>
      <c r="L666" s="18"/>
      <c r="M666" s="18"/>
    </row>
    <row r="667">
      <c r="J667" s="18"/>
      <c r="K667" s="18"/>
      <c r="L667" s="18"/>
      <c r="M667" s="18"/>
    </row>
    <row r="668">
      <c r="J668" s="18"/>
      <c r="K668" s="18"/>
      <c r="L668" s="18"/>
      <c r="M668" s="18"/>
    </row>
    <row r="669">
      <c r="J669" s="18"/>
      <c r="K669" s="18"/>
      <c r="L669" s="18"/>
      <c r="M669" s="18"/>
    </row>
    <row r="670">
      <c r="J670" s="18"/>
      <c r="K670" s="18"/>
      <c r="L670" s="18"/>
      <c r="M670" s="18"/>
    </row>
    <row r="671">
      <c r="J671" s="18"/>
      <c r="K671" s="18"/>
      <c r="L671" s="18"/>
      <c r="M671" s="18"/>
    </row>
    <row r="672">
      <c r="J672" s="18"/>
      <c r="K672" s="18"/>
      <c r="L672" s="18"/>
      <c r="M672" s="18"/>
    </row>
    <row r="673">
      <c r="J673" s="18"/>
      <c r="K673" s="18"/>
      <c r="L673" s="18"/>
      <c r="M673" s="18"/>
    </row>
    <row r="674">
      <c r="J674" s="18"/>
      <c r="K674" s="18"/>
      <c r="L674" s="18"/>
      <c r="M674" s="18"/>
    </row>
    <row r="675">
      <c r="J675" s="18"/>
      <c r="K675" s="18"/>
      <c r="L675" s="18"/>
      <c r="M675" s="18"/>
    </row>
    <row r="676">
      <c r="J676" s="18"/>
      <c r="K676" s="18"/>
      <c r="L676" s="18"/>
      <c r="M676" s="18"/>
    </row>
    <row r="677">
      <c r="J677" s="18"/>
      <c r="K677" s="18"/>
      <c r="L677" s="18"/>
      <c r="M677" s="18"/>
    </row>
    <row r="678">
      <c r="J678" s="18"/>
      <c r="K678" s="18"/>
      <c r="L678" s="18"/>
      <c r="M678" s="18"/>
    </row>
    <row r="679">
      <c r="J679" s="18"/>
      <c r="K679" s="18"/>
      <c r="L679" s="18"/>
      <c r="M679" s="18"/>
    </row>
    <row r="680">
      <c r="J680" s="18"/>
      <c r="K680" s="18"/>
      <c r="L680" s="18"/>
      <c r="M680" s="18"/>
    </row>
    <row r="681">
      <c r="J681" s="18"/>
      <c r="K681" s="18"/>
      <c r="L681" s="18"/>
      <c r="M681" s="18"/>
    </row>
    <row r="682">
      <c r="J682" s="18"/>
      <c r="K682" s="18"/>
      <c r="L682" s="18"/>
      <c r="M682" s="18"/>
    </row>
    <row r="683">
      <c r="J683" s="18"/>
      <c r="K683" s="18"/>
      <c r="L683" s="18"/>
      <c r="M683" s="18"/>
    </row>
    <row r="684">
      <c r="J684" s="18"/>
      <c r="K684" s="18"/>
      <c r="L684" s="18"/>
      <c r="M684" s="18"/>
    </row>
    <row r="685">
      <c r="J685" s="18"/>
      <c r="K685" s="18"/>
      <c r="L685" s="18"/>
      <c r="M685" s="18"/>
    </row>
    <row r="686">
      <c r="J686" s="18"/>
      <c r="K686" s="18"/>
      <c r="L686" s="18"/>
      <c r="M686" s="18"/>
    </row>
    <row r="687">
      <c r="J687" s="18"/>
      <c r="K687" s="18"/>
      <c r="L687" s="18"/>
      <c r="M687" s="18"/>
    </row>
    <row r="688">
      <c r="J688" s="18"/>
      <c r="K688" s="18"/>
      <c r="L688" s="18"/>
      <c r="M688" s="18"/>
    </row>
    <row r="689">
      <c r="J689" s="18"/>
      <c r="K689" s="18"/>
      <c r="L689" s="18"/>
      <c r="M689" s="18"/>
    </row>
    <row r="690">
      <c r="J690" s="18"/>
      <c r="K690" s="18"/>
      <c r="L690" s="18"/>
      <c r="M690" s="18"/>
    </row>
    <row r="691">
      <c r="J691" s="18"/>
      <c r="K691" s="18"/>
      <c r="L691" s="18"/>
      <c r="M691" s="18"/>
    </row>
    <row r="692">
      <c r="J692" s="18"/>
      <c r="K692" s="18"/>
      <c r="L692" s="18"/>
      <c r="M692" s="18"/>
    </row>
    <row r="693">
      <c r="J693" s="18"/>
      <c r="K693" s="18"/>
      <c r="L693" s="18"/>
      <c r="M693" s="18"/>
    </row>
    <row r="694">
      <c r="J694" s="18"/>
      <c r="K694" s="18"/>
      <c r="L694" s="18"/>
      <c r="M694" s="18"/>
    </row>
    <row r="695">
      <c r="J695" s="18"/>
      <c r="K695" s="18"/>
      <c r="L695" s="18"/>
      <c r="M695" s="18"/>
    </row>
    <row r="696">
      <c r="J696" s="18"/>
      <c r="K696" s="18"/>
      <c r="L696" s="18"/>
      <c r="M696" s="18"/>
    </row>
    <row r="697">
      <c r="J697" s="18"/>
      <c r="K697" s="18"/>
      <c r="L697" s="18"/>
      <c r="M697" s="18"/>
    </row>
    <row r="698">
      <c r="J698" s="18"/>
      <c r="K698" s="18"/>
      <c r="L698" s="18"/>
      <c r="M698" s="18"/>
    </row>
    <row r="699">
      <c r="J699" s="18"/>
      <c r="K699" s="18"/>
      <c r="L699" s="18"/>
      <c r="M699" s="18"/>
    </row>
    <row r="700">
      <c r="J700" s="18"/>
      <c r="K700" s="18"/>
      <c r="L700" s="18"/>
      <c r="M700" s="18"/>
    </row>
    <row r="701">
      <c r="J701" s="18"/>
      <c r="K701" s="18"/>
      <c r="L701" s="18"/>
      <c r="M701" s="18"/>
    </row>
    <row r="702">
      <c r="J702" s="18"/>
      <c r="K702" s="18"/>
      <c r="L702" s="18"/>
      <c r="M702" s="18"/>
    </row>
    <row r="703">
      <c r="J703" s="18"/>
      <c r="K703" s="18"/>
      <c r="L703" s="18"/>
      <c r="M703" s="18"/>
    </row>
    <row r="704">
      <c r="J704" s="18"/>
      <c r="K704" s="18"/>
      <c r="L704" s="18"/>
      <c r="M704" s="18"/>
    </row>
    <row r="705">
      <c r="J705" s="18"/>
      <c r="K705" s="18"/>
      <c r="L705" s="18"/>
      <c r="M705" s="18"/>
    </row>
    <row r="706">
      <c r="J706" s="18"/>
      <c r="K706" s="18"/>
      <c r="L706" s="18"/>
      <c r="M706" s="18"/>
    </row>
    <row r="707">
      <c r="J707" s="18"/>
      <c r="K707" s="18"/>
      <c r="L707" s="18"/>
      <c r="M707" s="18"/>
    </row>
    <row r="708">
      <c r="J708" s="18"/>
      <c r="K708" s="18"/>
      <c r="L708" s="18"/>
      <c r="M708" s="18"/>
    </row>
    <row r="709">
      <c r="J709" s="18"/>
      <c r="K709" s="18"/>
      <c r="L709" s="18"/>
      <c r="M709" s="18"/>
    </row>
    <row r="710">
      <c r="J710" s="18"/>
      <c r="K710" s="18"/>
      <c r="L710" s="18"/>
      <c r="M710" s="18"/>
    </row>
    <row r="711">
      <c r="J711" s="18"/>
      <c r="K711" s="18"/>
      <c r="L711" s="18"/>
      <c r="M711" s="18"/>
    </row>
    <row r="712">
      <c r="J712" s="18"/>
      <c r="K712" s="18"/>
      <c r="L712" s="18"/>
      <c r="M712" s="18"/>
    </row>
    <row r="713">
      <c r="J713" s="18"/>
      <c r="K713" s="18"/>
      <c r="L713" s="18"/>
      <c r="M713" s="18"/>
    </row>
    <row r="714">
      <c r="J714" s="18"/>
      <c r="K714" s="18"/>
      <c r="L714" s="18"/>
      <c r="M714" s="18"/>
    </row>
    <row r="715">
      <c r="J715" s="18"/>
      <c r="K715" s="18"/>
      <c r="L715" s="18"/>
      <c r="M715" s="18"/>
    </row>
    <row r="716">
      <c r="J716" s="18"/>
      <c r="K716" s="18"/>
      <c r="L716" s="18"/>
      <c r="M716" s="18"/>
    </row>
    <row r="717">
      <c r="J717" s="18"/>
      <c r="K717" s="18"/>
      <c r="L717" s="18"/>
      <c r="M717" s="18"/>
    </row>
    <row r="718">
      <c r="J718" s="18"/>
      <c r="K718" s="18"/>
      <c r="L718" s="18"/>
      <c r="M718" s="18"/>
    </row>
    <row r="719">
      <c r="J719" s="18"/>
      <c r="K719" s="18"/>
      <c r="L719" s="18"/>
      <c r="M719" s="18"/>
    </row>
    <row r="720">
      <c r="J720" s="18"/>
      <c r="K720" s="18"/>
      <c r="L720" s="18"/>
      <c r="M720" s="18"/>
    </row>
    <row r="721">
      <c r="J721" s="18"/>
      <c r="K721" s="18"/>
      <c r="L721" s="18"/>
      <c r="M721" s="18"/>
    </row>
    <row r="722">
      <c r="J722" s="18"/>
      <c r="K722" s="18"/>
      <c r="L722" s="18"/>
      <c r="M722" s="18"/>
    </row>
    <row r="723">
      <c r="J723" s="18"/>
      <c r="K723" s="18"/>
      <c r="L723" s="18"/>
      <c r="M723" s="18"/>
    </row>
    <row r="724">
      <c r="J724" s="18"/>
      <c r="K724" s="18"/>
      <c r="L724" s="18"/>
      <c r="M724" s="18"/>
    </row>
    <row r="725">
      <c r="J725" s="18"/>
      <c r="K725" s="18"/>
      <c r="L725" s="18"/>
      <c r="M725" s="18"/>
    </row>
    <row r="726">
      <c r="J726" s="18"/>
      <c r="K726" s="18"/>
      <c r="L726" s="18"/>
      <c r="M726" s="18"/>
    </row>
    <row r="727">
      <c r="J727" s="18"/>
      <c r="K727" s="18"/>
      <c r="L727" s="18"/>
      <c r="M727" s="18"/>
    </row>
    <row r="728">
      <c r="J728" s="18"/>
      <c r="K728" s="18"/>
      <c r="L728" s="18"/>
      <c r="M728" s="18"/>
    </row>
    <row r="729">
      <c r="J729" s="18"/>
      <c r="K729" s="18"/>
      <c r="L729" s="18"/>
      <c r="M729" s="18"/>
    </row>
    <row r="730">
      <c r="J730" s="18"/>
      <c r="K730" s="18"/>
      <c r="L730" s="18"/>
      <c r="M730" s="18"/>
    </row>
    <row r="731">
      <c r="J731" s="18"/>
      <c r="K731" s="18"/>
      <c r="L731" s="18"/>
      <c r="M731" s="18"/>
    </row>
    <row r="732">
      <c r="J732" s="18"/>
      <c r="K732" s="18"/>
      <c r="L732" s="18"/>
      <c r="M732" s="18"/>
    </row>
    <row r="733">
      <c r="J733" s="18"/>
      <c r="K733" s="18"/>
      <c r="L733" s="18"/>
      <c r="M733" s="18"/>
    </row>
    <row r="734">
      <c r="J734" s="18"/>
      <c r="K734" s="18"/>
      <c r="L734" s="18"/>
      <c r="M734" s="18"/>
    </row>
    <row r="735">
      <c r="J735" s="18"/>
      <c r="K735" s="18"/>
      <c r="L735" s="18"/>
      <c r="M735" s="18"/>
    </row>
    <row r="736">
      <c r="J736" s="18"/>
      <c r="K736" s="18"/>
      <c r="L736" s="18"/>
      <c r="M736" s="18"/>
    </row>
    <row r="737">
      <c r="J737" s="18"/>
      <c r="K737" s="18"/>
      <c r="L737" s="18"/>
      <c r="M737" s="18"/>
    </row>
    <row r="738">
      <c r="J738" s="18"/>
      <c r="K738" s="18"/>
      <c r="L738" s="18"/>
      <c r="M738" s="18"/>
    </row>
    <row r="739">
      <c r="J739" s="18"/>
      <c r="K739" s="18"/>
      <c r="L739" s="18"/>
      <c r="M739" s="18"/>
    </row>
    <row r="740">
      <c r="J740" s="18"/>
      <c r="K740" s="18"/>
      <c r="L740" s="18"/>
      <c r="M740" s="18"/>
    </row>
    <row r="741">
      <c r="J741" s="18"/>
      <c r="K741" s="18"/>
      <c r="L741" s="18"/>
      <c r="M741" s="18"/>
    </row>
    <row r="742">
      <c r="J742" s="18"/>
      <c r="K742" s="18"/>
      <c r="L742" s="18"/>
      <c r="M742" s="18"/>
    </row>
    <row r="743">
      <c r="J743" s="18"/>
      <c r="K743" s="18"/>
      <c r="L743" s="18"/>
      <c r="M743" s="18"/>
    </row>
    <row r="744">
      <c r="J744" s="18"/>
      <c r="K744" s="18"/>
      <c r="L744" s="18"/>
      <c r="M744" s="18"/>
    </row>
    <row r="745">
      <c r="J745" s="18"/>
      <c r="K745" s="18"/>
      <c r="L745" s="18"/>
      <c r="M745" s="18"/>
    </row>
    <row r="746">
      <c r="J746" s="18"/>
      <c r="K746" s="18"/>
      <c r="L746" s="18"/>
      <c r="M746" s="18"/>
    </row>
    <row r="747">
      <c r="J747" s="18"/>
      <c r="K747" s="18"/>
      <c r="L747" s="18"/>
      <c r="M747" s="18"/>
    </row>
    <row r="748">
      <c r="J748" s="18"/>
      <c r="K748" s="18"/>
      <c r="L748" s="18"/>
      <c r="M748" s="18"/>
    </row>
    <row r="749">
      <c r="J749" s="18"/>
      <c r="K749" s="18"/>
      <c r="L749" s="18"/>
      <c r="M749" s="18"/>
    </row>
    <row r="750">
      <c r="J750" s="18"/>
      <c r="K750" s="18"/>
      <c r="L750" s="18"/>
      <c r="M750" s="18"/>
    </row>
    <row r="751">
      <c r="J751" s="18"/>
      <c r="K751" s="18"/>
      <c r="L751" s="18"/>
      <c r="M751" s="18"/>
    </row>
    <row r="752">
      <c r="J752" s="18"/>
      <c r="K752" s="18"/>
      <c r="L752" s="18"/>
      <c r="M752" s="18"/>
    </row>
    <row r="753">
      <c r="J753" s="18"/>
      <c r="K753" s="18"/>
      <c r="L753" s="18"/>
      <c r="M753" s="18"/>
    </row>
    <row r="754">
      <c r="J754" s="18"/>
      <c r="K754" s="18"/>
      <c r="L754" s="18"/>
      <c r="M754" s="18"/>
    </row>
    <row r="755">
      <c r="J755" s="18"/>
      <c r="K755" s="18"/>
      <c r="L755" s="18"/>
      <c r="M755" s="18"/>
    </row>
    <row r="756">
      <c r="J756" s="18"/>
      <c r="K756" s="18"/>
      <c r="L756" s="18"/>
      <c r="M756" s="18"/>
    </row>
    <row r="757">
      <c r="J757" s="18"/>
      <c r="K757" s="18"/>
      <c r="L757" s="18"/>
      <c r="M757" s="18"/>
    </row>
    <row r="758">
      <c r="J758" s="18"/>
      <c r="K758" s="18"/>
      <c r="L758" s="18"/>
      <c r="M758" s="18"/>
    </row>
    <row r="759">
      <c r="J759" s="18"/>
      <c r="K759" s="18"/>
      <c r="L759" s="18"/>
      <c r="M759" s="18"/>
    </row>
    <row r="760">
      <c r="J760" s="18"/>
      <c r="K760" s="18"/>
      <c r="L760" s="18"/>
      <c r="M760" s="18"/>
    </row>
    <row r="761">
      <c r="J761" s="18"/>
      <c r="K761" s="18"/>
      <c r="L761" s="18"/>
      <c r="M761" s="18"/>
    </row>
    <row r="762">
      <c r="J762" s="18"/>
      <c r="K762" s="18"/>
      <c r="L762" s="18"/>
      <c r="M762" s="18"/>
    </row>
    <row r="763">
      <c r="J763" s="18"/>
      <c r="K763" s="18"/>
      <c r="L763" s="18"/>
      <c r="M763" s="18"/>
    </row>
    <row r="764">
      <c r="J764" s="18"/>
      <c r="K764" s="18"/>
      <c r="L764" s="18"/>
      <c r="M764" s="18"/>
    </row>
    <row r="765">
      <c r="J765" s="18"/>
      <c r="K765" s="18"/>
      <c r="L765" s="18"/>
      <c r="M765" s="18"/>
    </row>
    <row r="766">
      <c r="J766" s="18"/>
      <c r="K766" s="18"/>
      <c r="L766" s="18"/>
      <c r="M766" s="18"/>
    </row>
    <row r="767">
      <c r="J767" s="18"/>
      <c r="K767" s="18"/>
      <c r="L767" s="18"/>
      <c r="M767" s="18"/>
    </row>
    <row r="768">
      <c r="J768" s="18"/>
      <c r="K768" s="18"/>
      <c r="L768" s="18"/>
      <c r="M768" s="18"/>
    </row>
    <row r="769">
      <c r="J769" s="18"/>
      <c r="K769" s="18"/>
      <c r="L769" s="18"/>
      <c r="M769" s="18"/>
    </row>
    <row r="770">
      <c r="J770" s="18"/>
      <c r="K770" s="18"/>
      <c r="L770" s="18"/>
      <c r="M770" s="18"/>
    </row>
    <row r="771">
      <c r="J771" s="18"/>
      <c r="K771" s="18"/>
      <c r="L771" s="18"/>
      <c r="M771" s="18"/>
    </row>
    <row r="772">
      <c r="J772" s="18"/>
      <c r="K772" s="18"/>
      <c r="L772" s="18"/>
      <c r="M772" s="18"/>
    </row>
    <row r="773">
      <c r="J773" s="18"/>
      <c r="K773" s="18"/>
      <c r="L773" s="18"/>
      <c r="M773" s="18"/>
    </row>
    <row r="774">
      <c r="J774" s="18"/>
      <c r="K774" s="18"/>
      <c r="L774" s="18"/>
      <c r="M774" s="18"/>
    </row>
    <row r="775">
      <c r="J775" s="18"/>
      <c r="K775" s="18"/>
      <c r="L775" s="18"/>
      <c r="M775" s="18"/>
    </row>
    <row r="776">
      <c r="J776" s="18"/>
      <c r="K776" s="18"/>
      <c r="L776" s="18"/>
      <c r="M776" s="18"/>
    </row>
    <row r="777">
      <c r="J777" s="18"/>
      <c r="K777" s="18"/>
      <c r="L777" s="18"/>
      <c r="M777" s="18"/>
    </row>
    <row r="778">
      <c r="J778" s="18"/>
      <c r="K778" s="18"/>
      <c r="L778" s="18"/>
      <c r="M778" s="18"/>
    </row>
    <row r="779">
      <c r="J779" s="18"/>
      <c r="K779" s="18"/>
      <c r="L779" s="18"/>
      <c r="M779" s="18"/>
    </row>
    <row r="780">
      <c r="J780" s="18"/>
      <c r="K780" s="18"/>
      <c r="L780" s="18"/>
      <c r="M780" s="18"/>
    </row>
    <row r="781">
      <c r="J781" s="18"/>
      <c r="K781" s="18"/>
      <c r="L781" s="18"/>
      <c r="M781" s="18"/>
    </row>
    <row r="782">
      <c r="J782" s="18"/>
      <c r="K782" s="18"/>
      <c r="L782" s="18"/>
      <c r="M782" s="18"/>
    </row>
    <row r="783">
      <c r="J783" s="18"/>
      <c r="K783" s="18"/>
      <c r="L783" s="18"/>
      <c r="M783" s="18"/>
    </row>
    <row r="784">
      <c r="J784" s="18"/>
      <c r="K784" s="18"/>
      <c r="L784" s="18"/>
      <c r="M784" s="18"/>
    </row>
    <row r="785">
      <c r="J785" s="18"/>
      <c r="K785" s="18"/>
      <c r="L785" s="18"/>
      <c r="M785" s="18"/>
    </row>
    <row r="786">
      <c r="J786" s="18"/>
      <c r="K786" s="18"/>
      <c r="L786" s="18"/>
      <c r="M786" s="18"/>
    </row>
    <row r="787">
      <c r="J787" s="18"/>
      <c r="K787" s="18"/>
      <c r="L787" s="18"/>
      <c r="M787" s="18"/>
    </row>
    <row r="788">
      <c r="J788" s="18"/>
      <c r="K788" s="18"/>
      <c r="L788" s="18"/>
      <c r="M788" s="18"/>
    </row>
    <row r="789">
      <c r="J789" s="18"/>
      <c r="K789" s="18"/>
      <c r="L789" s="18"/>
      <c r="M789" s="18"/>
    </row>
    <row r="790">
      <c r="J790" s="18"/>
      <c r="K790" s="18"/>
      <c r="L790" s="18"/>
      <c r="M790" s="18"/>
    </row>
    <row r="791">
      <c r="J791" s="18"/>
      <c r="K791" s="18"/>
      <c r="L791" s="18"/>
      <c r="M791" s="18"/>
    </row>
    <row r="792">
      <c r="J792" s="18"/>
      <c r="K792" s="18"/>
      <c r="L792" s="18"/>
      <c r="M792" s="18"/>
    </row>
    <row r="793">
      <c r="J793" s="18"/>
      <c r="K793" s="18"/>
      <c r="L793" s="18"/>
      <c r="M793" s="18"/>
    </row>
    <row r="794">
      <c r="J794" s="18"/>
      <c r="K794" s="18"/>
      <c r="L794" s="18"/>
      <c r="M794" s="18"/>
    </row>
    <row r="795">
      <c r="J795" s="18"/>
      <c r="K795" s="18"/>
      <c r="L795" s="18"/>
      <c r="M795" s="18"/>
    </row>
    <row r="796">
      <c r="J796" s="18"/>
      <c r="K796" s="18"/>
      <c r="L796" s="18"/>
      <c r="M796" s="18"/>
    </row>
    <row r="797">
      <c r="J797" s="18"/>
      <c r="K797" s="18"/>
      <c r="L797" s="18"/>
      <c r="M797" s="18"/>
    </row>
    <row r="798">
      <c r="J798" s="18"/>
      <c r="K798" s="18"/>
      <c r="L798" s="18"/>
      <c r="M798" s="18"/>
    </row>
    <row r="799">
      <c r="J799" s="18"/>
      <c r="K799" s="18"/>
      <c r="L799" s="18"/>
      <c r="M799" s="18"/>
    </row>
    <row r="800">
      <c r="J800" s="18"/>
      <c r="K800" s="18"/>
      <c r="L800" s="18"/>
      <c r="M800" s="18"/>
    </row>
    <row r="801">
      <c r="J801" s="18"/>
      <c r="K801" s="18"/>
      <c r="L801" s="18"/>
      <c r="M801" s="18"/>
    </row>
    <row r="802">
      <c r="J802" s="18"/>
      <c r="K802" s="18"/>
      <c r="L802" s="18"/>
      <c r="M802" s="18"/>
    </row>
    <row r="803">
      <c r="J803" s="18"/>
      <c r="K803" s="18"/>
      <c r="L803" s="18"/>
      <c r="M803" s="18"/>
    </row>
    <row r="804">
      <c r="J804" s="18"/>
      <c r="K804" s="18"/>
      <c r="L804" s="18"/>
      <c r="M804" s="18"/>
    </row>
    <row r="805">
      <c r="J805" s="18"/>
      <c r="K805" s="18"/>
      <c r="L805" s="18"/>
      <c r="M805" s="18"/>
    </row>
    <row r="806">
      <c r="J806" s="18"/>
      <c r="K806" s="18"/>
      <c r="L806" s="18"/>
      <c r="M806" s="18"/>
    </row>
    <row r="807">
      <c r="J807" s="18"/>
      <c r="K807" s="18"/>
      <c r="L807" s="18"/>
      <c r="M807" s="18"/>
    </row>
    <row r="808">
      <c r="J808" s="18"/>
      <c r="K808" s="18"/>
      <c r="L808" s="18"/>
      <c r="M808" s="18"/>
    </row>
    <row r="809">
      <c r="J809" s="18"/>
      <c r="K809" s="18"/>
      <c r="L809" s="18"/>
      <c r="M809" s="18"/>
    </row>
    <row r="810">
      <c r="J810" s="18"/>
      <c r="K810" s="18"/>
      <c r="L810" s="18"/>
      <c r="M810" s="18"/>
    </row>
    <row r="811">
      <c r="J811" s="18"/>
      <c r="K811" s="18"/>
      <c r="L811" s="18"/>
      <c r="M811" s="18"/>
    </row>
    <row r="812">
      <c r="J812" s="18"/>
      <c r="K812" s="18"/>
      <c r="L812" s="18"/>
      <c r="M812" s="18"/>
    </row>
    <row r="813">
      <c r="J813" s="18"/>
      <c r="K813" s="18"/>
      <c r="L813" s="18"/>
      <c r="M813" s="18"/>
    </row>
    <row r="814">
      <c r="J814" s="18"/>
      <c r="K814" s="18"/>
      <c r="L814" s="18"/>
      <c r="M814" s="18"/>
    </row>
    <row r="815">
      <c r="J815" s="18"/>
      <c r="K815" s="18"/>
      <c r="L815" s="18"/>
      <c r="M815" s="18"/>
    </row>
    <row r="816">
      <c r="J816" s="18"/>
      <c r="K816" s="18"/>
      <c r="L816" s="18"/>
      <c r="M816" s="18"/>
    </row>
    <row r="817">
      <c r="J817" s="18"/>
      <c r="K817" s="18"/>
      <c r="L817" s="18"/>
      <c r="M817" s="18"/>
    </row>
    <row r="818">
      <c r="J818" s="18"/>
      <c r="K818" s="18"/>
      <c r="L818" s="18"/>
      <c r="M818" s="18"/>
    </row>
    <row r="819">
      <c r="J819" s="18"/>
      <c r="K819" s="18"/>
      <c r="L819" s="18"/>
      <c r="M819" s="18"/>
    </row>
    <row r="820">
      <c r="J820" s="18"/>
      <c r="K820" s="18"/>
      <c r="L820" s="18"/>
      <c r="M820" s="18"/>
    </row>
    <row r="821">
      <c r="J821" s="18"/>
      <c r="K821" s="18"/>
      <c r="L821" s="18"/>
      <c r="M821" s="18"/>
    </row>
    <row r="822">
      <c r="J822" s="18"/>
      <c r="K822" s="18"/>
      <c r="L822" s="18"/>
      <c r="M822" s="18"/>
    </row>
    <row r="823">
      <c r="J823" s="18"/>
      <c r="K823" s="18"/>
      <c r="L823" s="18"/>
      <c r="M823" s="18"/>
    </row>
    <row r="824">
      <c r="J824" s="18"/>
      <c r="K824" s="18"/>
      <c r="L824" s="18"/>
      <c r="M824" s="18"/>
    </row>
    <row r="825">
      <c r="J825" s="18"/>
      <c r="K825" s="18"/>
      <c r="L825" s="18"/>
      <c r="M825" s="18"/>
    </row>
    <row r="826">
      <c r="J826" s="18"/>
      <c r="K826" s="18"/>
      <c r="L826" s="18"/>
      <c r="M826" s="18"/>
    </row>
    <row r="827">
      <c r="J827" s="18"/>
      <c r="K827" s="18"/>
      <c r="L827" s="18"/>
      <c r="M827" s="18"/>
    </row>
    <row r="828">
      <c r="J828" s="18"/>
      <c r="K828" s="18"/>
      <c r="L828" s="18"/>
      <c r="M828" s="18"/>
    </row>
    <row r="829">
      <c r="J829" s="18"/>
      <c r="K829" s="18"/>
      <c r="L829" s="18"/>
      <c r="M829" s="18"/>
    </row>
    <row r="830">
      <c r="J830" s="18"/>
      <c r="K830" s="18"/>
      <c r="L830" s="18"/>
      <c r="M830" s="18"/>
    </row>
    <row r="831">
      <c r="J831" s="18"/>
      <c r="K831" s="18"/>
      <c r="L831" s="18"/>
      <c r="M831" s="18"/>
    </row>
    <row r="832">
      <c r="J832" s="18"/>
      <c r="K832" s="18"/>
      <c r="L832" s="18"/>
      <c r="M832" s="18"/>
    </row>
    <row r="833">
      <c r="J833" s="18"/>
      <c r="K833" s="18"/>
      <c r="L833" s="18"/>
      <c r="M833" s="18"/>
    </row>
    <row r="834">
      <c r="J834" s="18"/>
      <c r="K834" s="18"/>
      <c r="L834" s="18"/>
      <c r="M834" s="18"/>
    </row>
    <row r="835">
      <c r="J835" s="18"/>
      <c r="K835" s="18"/>
      <c r="L835" s="18"/>
      <c r="M835" s="18"/>
    </row>
    <row r="836">
      <c r="J836" s="18"/>
      <c r="K836" s="18"/>
      <c r="L836" s="18"/>
      <c r="M836" s="18"/>
    </row>
    <row r="837">
      <c r="J837" s="18"/>
      <c r="K837" s="18"/>
      <c r="L837" s="18"/>
      <c r="M837" s="18"/>
    </row>
    <row r="838">
      <c r="J838" s="18"/>
      <c r="K838" s="18"/>
      <c r="L838" s="18"/>
      <c r="M838" s="18"/>
    </row>
    <row r="839">
      <c r="J839" s="18"/>
      <c r="K839" s="18"/>
      <c r="L839" s="18"/>
      <c r="M839" s="18"/>
    </row>
    <row r="840">
      <c r="J840" s="18"/>
      <c r="K840" s="18"/>
      <c r="L840" s="18"/>
      <c r="M840" s="18"/>
    </row>
    <row r="841">
      <c r="J841" s="18"/>
      <c r="K841" s="18"/>
      <c r="L841" s="18"/>
      <c r="M841" s="18"/>
    </row>
    <row r="842">
      <c r="J842" s="18"/>
      <c r="K842" s="18"/>
      <c r="L842" s="18"/>
      <c r="M842" s="18"/>
    </row>
    <row r="843">
      <c r="J843" s="18"/>
      <c r="K843" s="18"/>
      <c r="L843" s="18"/>
      <c r="M843" s="18"/>
    </row>
    <row r="844">
      <c r="J844" s="18"/>
      <c r="K844" s="18"/>
      <c r="L844" s="18"/>
      <c r="M844" s="18"/>
    </row>
    <row r="845">
      <c r="J845" s="18"/>
      <c r="K845" s="18"/>
      <c r="L845" s="18"/>
      <c r="M845" s="18"/>
    </row>
    <row r="846">
      <c r="J846" s="18"/>
      <c r="K846" s="18"/>
      <c r="L846" s="18"/>
      <c r="M846" s="18"/>
    </row>
    <row r="847">
      <c r="J847" s="18"/>
      <c r="K847" s="18"/>
      <c r="L847" s="18"/>
      <c r="M847" s="18"/>
    </row>
    <row r="848">
      <c r="J848" s="18"/>
      <c r="K848" s="18"/>
      <c r="L848" s="18"/>
      <c r="M848" s="18"/>
    </row>
    <row r="849">
      <c r="J849" s="18"/>
      <c r="K849" s="18"/>
      <c r="L849" s="18"/>
      <c r="M849" s="18"/>
    </row>
    <row r="850">
      <c r="J850" s="18"/>
      <c r="K850" s="18"/>
      <c r="L850" s="18"/>
      <c r="M850" s="18"/>
    </row>
    <row r="851">
      <c r="J851" s="18"/>
      <c r="K851" s="18"/>
      <c r="L851" s="18"/>
      <c r="M851" s="18"/>
    </row>
    <row r="852">
      <c r="J852" s="18"/>
      <c r="K852" s="18"/>
      <c r="L852" s="18"/>
      <c r="M852" s="18"/>
    </row>
    <row r="853">
      <c r="J853" s="18"/>
      <c r="K853" s="18"/>
      <c r="L853" s="18"/>
      <c r="M853" s="18"/>
    </row>
    <row r="854">
      <c r="J854" s="18"/>
      <c r="K854" s="18"/>
      <c r="L854" s="18"/>
      <c r="M854" s="18"/>
    </row>
    <row r="855">
      <c r="J855" s="18"/>
      <c r="K855" s="18"/>
      <c r="L855" s="18"/>
      <c r="M855" s="18"/>
    </row>
    <row r="856">
      <c r="J856" s="18"/>
      <c r="K856" s="18"/>
      <c r="L856" s="18"/>
      <c r="M856" s="18"/>
    </row>
    <row r="857">
      <c r="J857" s="18"/>
      <c r="K857" s="18"/>
      <c r="L857" s="18"/>
      <c r="M857" s="18"/>
    </row>
    <row r="858">
      <c r="J858" s="18"/>
      <c r="K858" s="18"/>
      <c r="L858" s="18"/>
      <c r="M858" s="18"/>
    </row>
    <row r="859">
      <c r="J859" s="18"/>
      <c r="K859" s="18"/>
      <c r="L859" s="18"/>
      <c r="M859" s="18"/>
    </row>
    <row r="860">
      <c r="J860" s="18"/>
      <c r="K860" s="18"/>
      <c r="L860" s="18"/>
      <c r="M860" s="18"/>
    </row>
    <row r="861">
      <c r="J861" s="18"/>
      <c r="K861" s="18"/>
      <c r="L861" s="18"/>
      <c r="M861" s="18"/>
    </row>
    <row r="862">
      <c r="J862" s="18"/>
      <c r="K862" s="18"/>
      <c r="L862" s="18"/>
      <c r="M862" s="18"/>
    </row>
    <row r="863">
      <c r="J863" s="18"/>
      <c r="K863" s="18"/>
      <c r="L863" s="18"/>
      <c r="M863" s="18"/>
    </row>
    <row r="864">
      <c r="J864" s="18"/>
      <c r="K864" s="18"/>
      <c r="L864" s="18"/>
      <c r="M864" s="18"/>
    </row>
    <row r="865">
      <c r="J865" s="18"/>
      <c r="K865" s="18"/>
      <c r="L865" s="18"/>
      <c r="M865" s="18"/>
    </row>
    <row r="866">
      <c r="J866" s="18"/>
      <c r="K866" s="18"/>
      <c r="L866" s="18"/>
      <c r="M866" s="18"/>
    </row>
    <row r="867">
      <c r="J867" s="18"/>
      <c r="K867" s="18"/>
      <c r="L867" s="18"/>
      <c r="M867" s="18"/>
    </row>
    <row r="868">
      <c r="J868" s="18"/>
      <c r="K868" s="18"/>
      <c r="L868" s="18"/>
      <c r="M868" s="18"/>
    </row>
    <row r="869">
      <c r="J869" s="18"/>
      <c r="K869" s="18"/>
      <c r="L869" s="18"/>
      <c r="M869" s="18"/>
    </row>
    <row r="870">
      <c r="J870" s="18"/>
      <c r="K870" s="18"/>
      <c r="L870" s="18"/>
      <c r="M870" s="18"/>
    </row>
    <row r="871">
      <c r="J871" s="18"/>
      <c r="K871" s="18"/>
      <c r="L871" s="18"/>
      <c r="M871" s="18"/>
    </row>
    <row r="872">
      <c r="J872" s="18"/>
      <c r="K872" s="18"/>
      <c r="L872" s="18"/>
      <c r="M872" s="18"/>
    </row>
    <row r="873">
      <c r="J873" s="18"/>
      <c r="K873" s="18"/>
      <c r="L873" s="18"/>
      <c r="M873" s="18"/>
    </row>
    <row r="874">
      <c r="J874" s="18"/>
      <c r="K874" s="18"/>
      <c r="L874" s="18"/>
      <c r="M874" s="18"/>
    </row>
    <row r="875">
      <c r="J875" s="18"/>
      <c r="K875" s="18"/>
      <c r="L875" s="18"/>
      <c r="M875" s="18"/>
    </row>
    <row r="876">
      <c r="J876" s="18"/>
      <c r="K876" s="18"/>
      <c r="L876" s="18"/>
      <c r="M876" s="18"/>
    </row>
    <row r="877">
      <c r="J877" s="18"/>
      <c r="K877" s="18"/>
      <c r="L877" s="18"/>
      <c r="M877" s="18"/>
    </row>
    <row r="878">
      <c r="J878" s="18"/>
      <c r="K878" s="18"/>
      <c r="L878" s="18"/>
      <c r="M878" s="18"/>
    </row>
    <row r="879">
      <c r="J879" s="18"/>
      <c r="K879" s="18"/>
      <c r="L879" s="18"/>
      <c r="M879" s="18"/>
    </row>
    <row r="880">
      <c r="J880" s="18"/>
      <c r="K880" s="18"/>
      <c r="L880" s="18"/>
      <c r="M880" s="18"/>
    </row>
    <row r="881">
      <c r="J881" s="18"/>
      <c r="K881" s="18"/>
      <c r="L881" s="18"/>
      <c r="M881" s="18"/>
    </row>
    <row r="882">
      <c r="J882" s="18"/>
      <c r="K882" s="18"/>
      <c r="L882" s="18"/>
      <c r="M882" s="18"/>
    </row>
    <row r="883">
      <c r="J883" s="18"/>
      <c r="K883" s="18"/>
      <c r="L883" s="18"/>
      <c r="M883" s="18"/>
    </row>
    <row r="884">
      <c r="J884" s="18"/>
      <c r="K884" s="18"/>
      <c r="L884" s="18"/>
      <c r="M884" s="18"/>
    </row>
    <row r="885">
      <c r="J885" s="18"/>
      <c r="K885" s="18"/>
      <c r="L885" s="18"/>
      <c r="M885" s="18"/>
    </row>
    <row r="886">
      <c r="J886" s="18"/>
      <c r="K886" s="18"/>
      <c r="L886" s="18"/>
      <c r="M886" s="18"/>
    </row>
    <row r="887">
      <c r="J887" s="18"/>
      <c r="K887" s="18"/>
      <c r="L887" s="18"/>
      <c r="M887" s="18"/>
    </row>
    <row r="888">
      <c r="J888" s="18"/>
      <c r="K888" s="18"/>
      <c r="L888" s="18"/>
      <c r="M888" s="18"/>
    </row>
    <row r="889">
      <c r="J889" s="18"/>
      <c r="K889" s="18"/>
      <c r="L889" s="18"/>
      <c r="M889" s="18"/>
    </row>
    <row r="890">
      <c r="J890" s="18"/>
      <c r="K890" s="18"/>
      <c r="L890" s="18"/>
      <c r="M890" s="18"/>
    </row>
    <row r="891">
      <c r="J891" s="18"/>
      <c r="K891" s="18"/>
      <c r="L891" s="18"/>
      <c r="M891" s="18"/>
    </row>
    <row r="892">
      <c r="J892" s="18"/>
      <c r="K892" s="18"/>
      <c r="L892" s="18"/>
      <c r="M892" s="18"/>
    </row>
    <row r="893">
      <c r="J893" s="18"/>
      <c r="K893" s="18"/>
      <c r="L893" s="18"/>
      <c r="M893" s="18"/>
    </row>
    <row r="894">
      <c r="J894" s="18"/>
      <c r="K894" s="18"/>
      <c r="L894" s="18"/>
      <c r="M894" s="18"/>
    </row>
    <row r="895">
      <c r="J895" s="18"/>
      <c r="K895" s="18"/>
      <c r="L895" s="18"/>
      <c r="M895" s="18"/>
    </row>
    <row r="896">
      <c r="J896" s="18"/>
      <c r="K896" s="18"/>
      <c r="L896" s="18"/>
      <c r="M896" s="18"/>
    </row>
    <row r="897">
      <c r="J897" s="18"/>
      <c r="K897" s="18"/>
      <c r="L897" s="18"/>
      <c r="M897" s="18"/>
    </row>
    <row r="898">
      <c r="J898" s="18"/>
      <c r="K898" s="18"/>
      <c r="L898" s="18"/>
      <c r="M898" s="18"/>
    </row>
    <row r="899">
      <c r="J899" s="18"/>
      <c r="K899" s="18"/>
      <c r="L899" s="18"/>
      <c r="M899" s="18"/>
    </row>
    <row r="900">
      <c r="J900" s="18"/>
      <c r="K900" s="18"/>
      <c r="L900" s="18"/>
      <c r="M900" s="18"/>
    </row>
    <row r="901">
      <c r="J901" s="18"/>
      <c r="K901" s="18"/>
      <c r="L901" s="18"/>
      <c r="M901" s="18"/>
    </row>
    <row r="902">
      <c r="J902" s="18"/>
      <c r="K902" s="18"/>
      <c r="L902" s="18"/>
      <c r="M902" s="18"/>
    </row>
    <row r="903">
      <c r="J903" s="18"/>
      <c r="K903" s="18"/>
      <c r="L903" s="18"/>
      <c r="M903" s="18"/>
    </row>
    <row r="904">
      <c r="J904" s="18"/>
      <c r="K904" s="18"/>
      <c r="L904" s="18"/>
      <c r="M904" s="18"/>
    </row>
    <row r="905">
      <c r="J905" s="18"/>
      <c r="K905" s="18"/>
      <c r="L905" s="18"/>
      <c r="M905" s="18"/>
    </row>
    <row r="906">
      <c r="J906" s="18"/>
      <c r="K906" s="18"/>
      <c r="L906" s="18"/>
      <c r="M906" s="18"/>
    </row>
    <row r="907">
      <c r="J907" s="18"/>
      <c r="K907" s="18"/>
      <c r="L907" s="18"/>
      <c r="M907" s="18"/>
    </row>
    <row r="908">
      <c r="J908" s="18"/>
      <c r="K908" s="18"/>
      <c r="L908" s="18"/>
      <c r="M908" s="18"/>
    </row>
    <row r="909">
      <c r="J909" s="18"/>
      <c r="K909" s="18"/>
      <c r="L909" s="18"/>
      <c r="M909" s="18"/>
    </row>
    <row r="910">
      <c r="J910" s="18"/>
      <c r="K910" s="18"/>
      <c r="L910" s="18"/>
      <c r="M910" s="18"/>
    </row>
    <row r="911">
      <c r="J911" s="18"/>
      <c r="K911" s="18"/>
      <c r="L911" s="18"/>
      <c r="M911" s="18"/>
    </row>
    <row r="912">
      <c r="J912" s="18"/>
      <c r="K912" s="18"/>
      <c r="L912" s="18"/>
      <c r="M912" s="18"/>
    </row>
    <row r="913">
      <c r="J913" s="18"/>
      <c r="K913" s="18"/>
      <c r="L913" s="18"/>
      <c r="M913" s="18"/>
    </row>
    <row r="914">
      <c r="J914" s="18"/>
      <c r="K914" s="18"/>
      <c r="L914" s="18"/>
      <c r="M914" s="18"/>
    </row>
    <row r="915">
      <c r="J915" s="18"/>
      <c r="K915" s="18"/>
      <c r="L915" s="18"/>
      <c r="M915" s="18"/>
    </row>
    <row r="916">
      <c r="J916" s="18"/>
      <c r="K916" s="18"/>
      <c r="L916" s="18"/>
      <c r="M916" s="18"/>
    </row>
    <row r="917">
      <c r="J917" s="18"/>
      <c r="K917" s="18"/>
      <c r="L917" s="18"/>
      <c r="M917" s="18"/>
    </row>
    <row r="918">
      <c r="J918" s="18"/>
      <c r="K918" s="18"/>
      <c r="L918" s="18"/>
      <c r="M918" s="18"/>
    </row>
    <row r="919">
      <c r="J919" s="18"/>
      <c r="K919" s="18"/>
      <c r="L919" s="18"/>
      <c r="M919" s="18"/>
    </row>
    <row r="920">
      <c r="J920" s="18"/>
      <c r="K920" s="18"/>
      <c r="L920" s="18"/>
      <c r="M920" s="18"/>
    </row>
    <row r="921">
      <c r="J921" s="18"/>
      <c r="K921" s="18"/>
      <c r="L921" s="18"/>
      <c r="M921" s="18"/>
    </row>
    <row r="922">
      <c r="J922" s="18"/>
      <c r="K922" s="18"/>
      <c r="L922" s="18"/>
      <c r="M922" s="18"/>
    </row>
    <row r="923">
      <c r="J923" s="18"/>
      <c r="K923" s="18"/>
      <c r="L923" s="18"/>
      <c r="M923" s="18"/>
    </row>
    <row r="924">
      <c r="J924" s="18"/>
      <c r="K924" s="18"/>
      <c r="L924" s="18"/>
      <c r="M924" s="18"/>
    </row>
    <row r="925">
      <c r="J925" s="18"/>
      <c r="K925" s="18"/>
      <c r="L925" s="18"/>
      <c r="M925" s="18"/>
    </row>
    <row r="926">
      <c r="J926" s="18"/>
      <c r="K926" s="18"/>
      <c r="L926" s="18"/>
      <c r="M926" s="18"/>
    </row>
    <row r="927">
      <c r="J927" s="18"/>
      <c r="K927" s="18"/>
      <c r="L927" s="18"/>
      <c r="M927" s="18"/>
    </row>
    <row r="928">
      <c r="J928" s="18"/>
      <c r="K928" s="18"/>
      <c r="L928" s="18"/>
      <c r="M928" s="18"/>
    </row>
    <row r="929">
      <c r="J929" s="18"/>
      <c r="K929" s="18"/>
      <c r="L929" s="18"/>
      <c r="M929" s="18"/>
    </row>
    <row r="930">
      <c r="J930" s="18"/>
      <c r="K930" s="18"/>
      <c r="L930" s="18"/>
      <c r="M930" s="18"/>
    </row>
    <row r="931">
      <c r="J931" s="18"/>
      <c r="K931" s="18"/>
      <c r="L931" s="18"/>
      <c r="M931" s="18"/>
    </row>
    <row r="932">
      <c r="J932" s="18"/>
      <c r="K932" s="18"/>
      <c r="L932" s="18"/>
      <c r="M932" s="18"/>
    </row>
    <row r="933">
      <c r="J933" s="18"/>
      <c r="K933" s="18"/>
      <c r="L933" s="18"/>
      <c r="M933" s="18"/>
    </row>
    <row r="934">
      <c r="J934" s="18"/>
      <c r="K934" s="18"/>
      <c r="L934" s="18"/>
      <c r="M934" s="18"/>
    </row>
    <row r="935">
      <c r="J935" s="18"/>
      <c r="K935" s="18"/>
      <c r="L935" s="18"/>
      <c r="M935" s="18"/>
    </row>
    <row r="936">
      <c r="J936" s="18"/>
      <c r="K936" s="18"/>
      <c r="L936" s="18"/>
      <c r="M936" s="18"/>
    </row>
    <row r="937">
      <c r="J937" s="18"/>
      <c r="K937" s="18"/>
      <c r="L937" s="18"/>
      <c r="M937" s="18"/>
    </row>
    <row r="938">
      <c r="J938" s="18"/>
      <c r="K938" s="18"/>
      <c r="L938" s="18"/>
      <c r="M938" s="18"/>
    </row>
    <row r="939">
      <c r="J939" s="18"/>
      <c r="K939" s="18"/>
      <c r="L939" s="18"/>
      <c r="M939" s="18"/>
    </row>
    <row r="940">
      <c r="J940" s="18"/>
      <c r="K940" s="18"/>
      <c r="L940" s="18"/>
      <c r="M940" s="18"/>
    </row>
    <row r="941">
      <c r="J941" s="18"/>
      <c r="K941" s="18"/>
      <c r="L941" s="18"/>
      <c r="M941" s="18"/>
    </row>
    <row r="942">
      <c r="J942" s="18"/>
      <c r="K942" s="18"/>
      <c r="L942" s="18"/>
      <c r="M942" s="18"/>
    </row>
    <row r="943">
      <c r="J943" s="18"/>
      <c r="K943" s="18"/>
      <c r="L943" s="18"/>
      <c r="M943" s="18"/>
    </row>
    <row r="944">
      <c r="J944" s="18"/>
      <c r="K944" s="18"/>
      <c r="L944" s="18"/>
      <c r="M944" s="18"/>
    </row>
    <row r="945">
      <c r="J945" s="18"/>
      <c r="K945" s="18"/>
      <c r="L945" s="18"/>
      <c r="M945" s="18"/>
    </row>
    <row r="946">
      <c r="J946" s="18"/>
      <c r="K946" s="18"/>
      <c r="L946" s="18"/>
      <c r="M946" s="18"/>
    </row>
    <row r="947">
      <c r="J947" s="18"/>
      <c r="K947" s="18"/>
      <c r="L947" s="18"/>
      <c r="M947" s="18"/>
    </row>
    <row r="948">
      <c r="J948" s="18"/>
      <c r="K948" s="18"/>
      <c r="L948" s="18"/>
      <c r="M948" s="18"/>
    </row>
    <row r="949">
      <c r="J949" s="18"/>
      <c r="K949" s="18"/>
      <c r="L949" s="18"/>
      <c r="M949" s="18"/>
    </row>
    <row r="950">
      <c r="J950" s="18"/>
      <c r="K950" s="18"/>
      <c r="L950" s="18"/>
      <c r="M950" s="18"/>
    </row>
    <row r="951">
      <c r="J951" s="18"/>
      <c r="K951" s="18"/>
      <c r="L951" s="18"/>
      <c r="M951" s="18"/>
    </row>
    <row r="952">
      <c r="J952" s="18"/>
      <c r="K952" s="18"/>
      <c r="L952" s="18"/>
      <c r="M952" s="18"/>
    </row>
    <row r="953">
      <c r="J953" s="18"/>
      <c r="K953" s="18"/>
      <c r="L953" s="18"/>
      <c r="M953" s="18"/>
    </row>
    <row r="954">
      <c r="J954" s="18"/>
      <c r="K954" s="18"/>
      <c r="L954" s="18"/>
      <c r="M954" s="18"/>
    </row>
    <row r="955">
      <c r="J955" s="18"/>
      <c r="K955" s="18"/>
      <c r="L955" s="18"/>
      <c r="M955" s="18"/>
    </row>
    <row r="956">
      <c r="J956" s="18"/>
      <c r="K956" s="18"/>
      <c r="L956" s="18"/>
      <c r="M956" s="18"/>
    </row>
    <row r="957">
      <c r="J957" s="18"/>
      <c r="K957" s="18"/>
      <c r="L957" s="18"/>
      <c r="M957" s="18"/>
    </row>
    <row r="958">
      <c r="J958" s="18"/>
      <c r="K958" s="18"/>
      <c r="L958" s="18"/>
      <c r="M958" s="18"/>
    </row>
    <row r="959">
      <c r="J959" s="18"/>
      <c r="K959" s="18"/>
      <c r="L959" s="18"/>
      <c r="M959" s="18"/>
    </row>
    <row r="960">
      <c r="J960" s="18"/>
      <c r="K960" s="18"/>
      <c r="L960" s="18"/>
      <c r="M960" s="18"/>
    </row>
    <row r="961">
      <c r="J961" s="18"/>
      <c r="K961" s="18"/>
      <c r="L961" s="18"/>
      <c r="M961" s="18"/>
    </row>
    <row r="962">
      <c r="J962" s="18"/>
      <c r="K962" s="18"/>
      <c r="L962" s="18"/>
      <c r="M962" s="18"/>
    </row>
    <row r="963">
      <c r="J963" s="18"/>
      <c r="K963" s="18"/>
      <c r="L963" s="18"/>
      <c r="M963" s="18"/>
    </row>
    <row r="964">
      <c r="J964" s="18"/>
      <c r="K964" s="18"/>
      <c r="L964" s="18"/>
      <c r="M964" s="18"/>
    </row>
    <row r="965">
      <c r="J965" s="18"/>
      <c r="K965" s="18"/>
      <c r="L965" s="18"/>
      <c r="M965" s="18"/>
    </row>
    <row r="966">
      <c r="J966" s="18"/>
      <c r="K966" s="18"/>
      <c r="L966" s="18"/>
      <c r="M966" s="18"/>
    </row>
    <row r="967">
      <c r="J967" s="18"/>
      <c r="K967" s="18"/>
      <c r="L967" s="18"/>
      <c r="M967" s="18"/>
    </row>
    <row r="968">
      <c r="J968" s="18"/>
      <c r="K968" s="18"/>
      <c r="L968" s="18"/>
      <c r="M968" s="18"/>
    </row>
    <row r="969">
      <c r="J969" s="18"/>
      <c r="K969" s="18"/>
      <c r="L969" s="18"/>
      <c r="M969" s="18"/>
    </row>
    <row r="970">
      <c r="J970" s="18"/>
      <c r="K970" s="18"/>
      <c r="L970" s="18"/>
      <c r="M970" s="18"/>
    </row>
    <row r="971">
      <c r="J971" s="18"/>
      <c r="K971" s="18"/>
      <c r="L971" s="18"/>
      <c r="M971" s="18"/>
    </row>
    <row r="972">
      <c r="J972" s="18"/>
      <c r="K972" s="18"/>
      <c r="L972" s="18"/>
      <c r="M972" s="18"/>
    </row>
    <row r="973">
      <c r="J973" s="18"/>
      <c r="K973" s="18"/>
      <c r="L973" s="18"/>
      <c r="M973" s="18"/>
    </row>
    <row r="974">
      <c r="J974" s="18"/>
      <c r="K974" s="18"/>
      <c r="L974" s="18"/>
      <c r="M974" s="18"/>
    </row>
    <row r="975">
      <c r="J975" s="18"/>
      <c r="K975" s="18"/>
      <c r="L975" s="18"/>
      <c r="M975" s="18"/>
    </row>
    <row r="976">
      <c r="J976" s="18"/>
      <c r="K976" s="18"/>
      <c r="L976" s="18"/>
      <c r="M976" s="18"/>
    </row>
    <row r="977">
      <c r="J977" s="18"/>
      <c r="K977" s="18"/>
      <c r="L977" s="18"/>
      <c r="M977" s="18"/>
    </row>
    <row r="978">
      <c r="J978" s="18"/>
      <c r="K978" s="18"/>
      <c r="L978" s="18"/>
      <c r="M978" s="18"/>
    </row>
    <row r="979">
      <c r="J979" s="18"/>
      <c r="K979" s="18"/>
      <c r="L979" s="18"/>
      <c r="M979" s="18"/>
    </row>
    <row r="980">
      <c r="J980" s="18"/>
      <c r="K980" s="18"/>
      <c r="L980" s="18"/>
      <c r="M980" s="18"/>
    </row>
    <row r="981">
      <c r="J981" s="18"/>
      <c r="K981" s="18"/>
      <c r="L981" s="18"/>
      <c r="M981" s="18"/>
    </row>
    <row r="982">
      <c r="J982" s="18"/>
      <c r="K982" s="18"/>
      <c r="L982" s="18"/>
      <c r="M982" s="18"/>
    </row>
    <row r="983">
      <c r="J983" s="18"/>
      <c r="K983" s="18"/>
      <c r="L983" s="18"/>
      <c r="M983" s="18"/>
    </row>
    <row r="984">
      <c r="J984" s="18"/>
      <c r="K984" s="18"/>
      <c r="L984" s="18"/>
      <c r="M984" s="18"/>
    </row>
    <row r="985">
      <c r="J985" s="18"/>
      <c r="K985" s="18"/>
      <c r="L985" s="18"/>
      <c r="M985" s="18"/>
    </row>
    <row r="986">
      <c r="J986" s="18"/>
      <c r="K986" s="18"/>
      <c r="L986" s="18"/>
      <c r="M986" s="18"/>
    </row>
    <row r="987">
      <c r="J987" s="18"/>
      <c r="K987" s="18"/>
      <c r="L987" s="18"/>
      <c r="M987" s="18"/>
    </row>
    <row r="988">
      <c r="J988" s="18"/>
      <c r="K988" s="18"/>
      <c r="L988" s="18"/>
      <c r="M988" s="18"/>
    </row>
    <row r="989">
      <c r="J989" s="18"/>
      <c r="K989" s="18"/>
      <c r="L989" s="18"/>
      <c r="M989" s="18"/>
    </row>
    <row r="990">
      <c r="J990" s="18"/>
      <c r="K990" s="18"/>
      <c r="L990" s="18"/>
      <c r="M990" s="18"/>
    </row>
    <row r="991">
      <c r="J991" s="18"/>
      <c r="K991" s="18"/>
      <c r="L991" s="18"/>
      <c r="M991" s="18"/>
    </row>
    <row r="992">
      <c r="J992" s="18"/>
      <c r="K992" s="18"/>
      <c r="L992" s="18"/>
      <c r="M992" s="18"/>
    </row>
    <row r="993">
      <c r="J993" s="18"/>
      <c r="K993" s="18"/>
      <c r="L993" s="18"/>
      <c r="M993" s="18"/>
    </row>
    <row r="994">
      <c r="J994" s="18"/>
      <c r="K994" s="18"/>
      <c r="L994" s="18"/>
      <c r="M994" s="18"/>
    </row>
    <row r="995">
      <c r="J995" s="18"/>
      <c r="K995" s="18"/>
      <c r="L995" s="18"/>
      <c r="M995" s="18"/>
    </row>
    <row r="996">
      <c r="J996" s="18"/>
      <c r="K996" s="18"/>
      <c r="L996" s="18"/>
      <c r="M996" s="18"/>
    </row>
    <row r="997">
      <c r="J997" s="18"/>
      <c r="K997" s="18"/>
      <c r="L997" s="18"/>
      <c r="M997" s="18"/>
    </row>
    <row r="998">
      <c r="J998" s="18"/>
      <c r="K998" s="18"/>
      <c r="L998" s="18"/>
      <c r="M998" s="18"/>
    </row>
    <row r="999">
      <c r="J999" s="18"/>
      <c r="K999" s="18"/>
      <c r="L999" s="18"/>
      <c r="M999" s="18"/>
    </row>
    <row r="1000">
      <c r="J1000" s="18"/>
      <c r="K1000" s="18"/>
      <c r="L1000" s="18"/>
      <c r="M1000" s="18"/>
    </row>
  </sheetData>
  <mergeCells count="8">
    <mergeCell ref="A1:N2"/>
    <mergeCell ref="A4:A9"/>
    <mergeCell ref="B4:B32"/>
    <mergeCell ref="B33:B53"/>
    <mergeCell ref="N34:N42"/>
    <mergeCell ref="B54:B75"/>
    <mergeCell ref="B76:B120"/>
    <mergeCell ref="B121:B1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11.5"/>
    <col customWidth="1" min="13" max="13" width="15.25"/>
    <col customWidth="1" min="14" max="14" width="30.13"/>
  </cols>
  <sheetData>
    <row r="1">
      <c r="A1" s="81" t="s">
        <v>434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1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435</v>
      </c>
      <c r="B3" s="83"/>
      <c r="C3" s="83"/>
      <c r="D3" s="83"/>
      <c r="E3" s="83"/>
      <c r="F3" s="83"/>
      <c r="G3" s="83"/>
      <c r="H3" s="84"/>
      <c r="I3" s="85"/>
      <c r="J3" s="85"/>
      <c r="K3" s="85"/>
      <c r="L3" s="85"/>
      <c r="M3" s="85" t="s">
        <v>436</v>
      </c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437</v>
      </c>
      <c r="J4" s="15" t="s">
        <v>438</v>
      </c>
      <c r="K4" s="15" t="s">
        <v>439</v>
      </c>
      <c r="L4" s="15" t="s">
        <v>440</v>
      </c>
      <c r="M4" s="15" t="s">
        <v>441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442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399.0</v>
      </c>
      <c r="I6" s="86"/>
      <c r="J6" s="86"/>
      <c r="K6" s="86"/>
      <c r="L6" s="86"/>
      <c r="M6" s="87" t="s">
        <v>443</v>
      </c>
      <c r="N6" s="32"/>
      <c r="O6" s="88" t="s">
        <v>444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389.0</v>
      </c>
      <c r="I7" s="86"/>
      <c r="J7" s="86"/>
      <c r="K7" s="86"/>
      <c r="L7" s="87" t="s">
        <v>445</v>
      </c>
      <c r="M7" s="87" t="s">
        <v>446</v>
      </c>
      <c r="N7" s="15" t="s">
        <v>447</v>
      </c>
      <c r="O7" s="88" t="s">
        <v>444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439.0</v>
      </c>
      <c r="I8" s="86"/>
      <c r="J8" s="89"/>
      <c r="K8" s="90"/>
      <c r="L8" s="90"/>
      <c r="M8" s="86"/>
      <c r="N8" s="15" t="s">
        <v>448</v>
      </c>
      <c r="O8" s="88" t="s">
        <v>444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86"/>
      <c r="J9" s="89"/>
      <c r="K9" s="90"/>
      <c r="L9" s="90"/>
      <c r="M9" s="86"/>
      <c r="N9" s="15" t="s">
        <v>448</v>
      </c>
      <c r="O9" s="88" t="s">
        <v>444</v>
      </c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519.0</v>
      </c>
      <c r="I10" s="57" t="s">
        <v>449</v>
      </c>
      <c r="J10" s="89"/>
      <c r="K10" s="90"/>
      <c r="L10" s="90"/>
      <c r="M10" s="87" t="s">
        <v>450</v>
      </c>
      <c r="N10" s="15" t="s">
        <v>448</v>
      </c>
      <c r="O10" s="88" t="s">
        <v>444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569.0</v>
      </c>
      <c r="I11" s="57" t="s">
        <v>449</v>
      </c>
      <c r="J11" s="89"/>
      <c r="K11" s="90"/>
      <c r="L11" s="90"/>
      <c r="M11" s="87" t="s">
        <v>450</v>
      </c>
      <c r="N11" s="15" t="s">
        <v>448</v>
      </c>
      <c r="O11" s="88" t="s">
        <v>444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57" t="s">
        <v>429</v>
      </c>
      <c r="J12" s="57" t="s">
        <v>429</v>
      </c>
      <c r="K12" s="57" t="s">
        <v>429</v>
      </c>
      <c r="L12" s="87" t="s">
        <v>451</v>
      </c>
      <c r="M12" s="87" t="s">
        <v>452</v>
      </c>
      <c r="N12" s="15" t="s">
        <v>453</v>
      </c>
      <c r="O12" s="88" t="s">
        <v>444</v>
      </c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57" t="s">
        <v>429</v>
      </c>
      <c r="J13" s="57" t="s">
        <v>429</v>
      </c>
      <c r="K13" s="57" t="s">
        <v>429</v>
      </c>
      <c r="L13" s="87" t="s">
        <v>454</v>
      </c>
      <c r="M13" s="86"/>
      <c r="N13" s="15" t="s">
        <v>455</v>
      </c>
      <c r="O13" s="88" t="s">
        <v>444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25" t="s">
        <v>17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89.95</v>
      </c>
      <c r="I15" s="32"/>
      <c r="J15" s="40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124.95</v>
      </c>
      <c r="I16" s="32"/>
      <c r="J16" s="40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54.95</v>
      </c>
      <c r="I17" s="32"/>
      <c r="J17" s="40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24.95</v>
      </c>
      <c r="I18" s="32"/>
      <c r="J18" s="40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54.95</v>
      </c>
      <c r="I19" s="32"/>
      <c r="J19" s="40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40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69.9</v>
      </c>
      <c r="I21" s="32"/>
      <c r="J21" s="40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24.95</v>
      </c>
      <c r="I22" s="32"/>
      <c r="J22" s="40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69.95</v>
      </c>
      <c r="I23" s="32"/>
      <c r="J23" s="40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40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134.92</v>
      </c>
      <c r="I25" s="32"/>
      <c r="J25" s="40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44.95</v>
      </c>
      <c r="I26" s="32"/>
      <c r="J26" s="40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134.95</v>
      </c>
      <c r="I27" s="32"/>
      <c r="J27" s="40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40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40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40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25" t="s">
        <v>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449.0</v>
      </c>
      <c r="I35" s="32"/>
      <c r="J35" s="44"/>
      <c r="K35" s="44"/>
      <c r="L35" s="91" t="s">
        <v>456</v>
      </c>
      <c r="M35" s="92" t="s">
        <v>457</v>
      </c>
      <c r="N35" s="32"/>
      <c r="O35" s="88" t="s">
        <v>444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469.0</v>
      </c>
      <c r="I36" s="32"/>
      <c r="J36" s="44"/>
      <c r="K36" s="44"/>
      <c r="L36" s="91" t="s">
        <v>456</v>
      </c>
      <c r="M36" s="91" t="s">
        <v>456</v>
      </c>
      <c r="N36" s="15" t="s">
        <v>458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464.0</v>
      </c>
      <c r="I37" s="32"/>
      <c r="J37" s="44"/>
      <c r="K37" s="44"/>
      <c r="L37" s="91" t="s">
        <v>456</v>
      </c>
      <c r="M37" s="91" t="s">
        <v>456</v>
      </c>
      <c r="N37" s="15" t="s">
        <v>458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499.0</v>
      </c>
      <c r="I38" s="32"/>
      <c r="J38" s="44"/>
      <c r="K38" s="44"/>
      <c r="L38" s="91" t="s">
        <v>456</v>
      </c>
      <c r="M38" s="91" t="s">
        <v>456</v>
      </c>
      <c r="N38" s="15" t="s">
        <v>458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519.0</v>
      </c>
      <c r="I39" s="32"/>
      <c r="J39" s="44"/>
      <c r="K39" s="44"/>
      <c r="L39" s="91" t="s">
        <v>456</v>
      </c>
      <c r="M39" s="91" t="s">
        <v>456</v>
      </c>
      <c r="N39" s="15" t="s">
        <v>458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359.0</v>
      </c>
      <c r="I40" s="32"/>
      <c r="J40" s="44"/>
      <c r="K40" s="44"/>
      <c r="L40" s="91" t="s">
        <v>459</v>
      </c>
      <c r="M40" s="92" t="s">
        <v>460</v>
      </c>
      <c r="N40" s="15" t="s">
        <v>461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379.0</v>
      </c>
      <c r="I41" s="32"/>
      <c r="J41" s="44"/>
      <c r="K41" s="44"/>
      <c r="L41" s="91" t="s">
        <v>459</v>
      </c>
      <c r="M41" s="91" t="s">
        <v>459</v>
      </c>
      <c r="N41" s="15" t="s">
        <v>462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409.0</v>
      </c>
      <c r="I42" s="32"/>
      <c r="J42" s="44"/>
      <c r="K42" s="44"/>
      <c r="L42" s="93"/>
      <c r="M42" s="94"/>
      <c r="N42" s="32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95" t="s">
        <v>466</v>
      </c>
      <c r="D43" s="96" t="s">
        <v>467</v>
      </c>
      <c r="E43" s="15" t="s">
        <v>468</v>
      </c>
      <c r="F43" s="35"/>
      <c r="G43" s="47"/>
      <c r="H43" s="31">
        <v>429.0</v>
      </c>
      <c r="I43" s="32"/>
      <c r="J43" s="44"/>
      <c r="K43" s="44"/>
      <c r="L43" s="93"/>
      <c r="M43" s="94"/>
      <c r="N43" s="32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369.0</v>
      </c>
      <c r="I44" s="32"/>
      <c r="J44" s="44"/>
      <c r="K44" s="44"/>
      <c r="L44" s="97" t="s">
        <v>459</v>
      </c>
      <c r="M44" s="97" t="s">
        <v>459</v>
      </c>
      <c r="N44" s="15" t="s">
        <v>458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8">
        <v>379.0</v>
      </c>
      <c r="H45" s="31">
        <v>389.0</v>
      </c>
      <c r="I45" s="32"/>
      <c r="J45" s="44"/>
      <c r="K45" s="44"/>
      <c r="L45" s="97" t="s">
        <v>459</v>
      </c>
      <c r="M45" s="97" t="s">
        <v>459</v>
      </c>
      <c r="N45" s="15" t="s">
        <v>458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25" t="s">
        <v>17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128</v>
      </c>
      <c r="D47" s="49" t="s">
        <v>129</v>
      </c>
      <c r="E47" s="32" t="s">
        <v>130</v>
      </c>
      <c r="F47" s="50">
        <f t="shared" ref="F47:F56" si="6">H47</f>
        <v>59.95</v>
      </c>
      <c r="G47" s="51">
        <f t="shared" ref="G47:G56" si="7">H47</f>
        <v>59.95</v>
      </c>
      <c r="H47" s="52">
        <v>59.95</v>
      </c>
      <c r="I47" s="32"/>
      <c r="J47" s="44"/>
      <c r="K47" s="44"/>
      <c r="L47" s="44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131</v>
      </c>
      <c r="D48" s="15" t="s">
        <v>132</v>
      </c>
      <c r="E48" s="32" t="s">
        <v>133</v>
      </c>
      <c r="F48" s="50">
        <f t="shared" si="6"/>
        <v>59.95</v>
      </c>
      <c r="G48" s="51">
        <f t="shared" si="7"/>
        <v>59.95</v>
      </c>
      <c r="H48" s="52">
        <v>59.95</v>
      </c>
      <c r="I48" s="32"/>
      <c r="J48" s="44"/>
      <c r="K48" s="44"/>
      <c r="L48" s="44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134</v>
      </c>
      <c r="D49" s="15" t="s">
        <v>135</v>
      </c>
      <c r="E49" s="32" t="s">
        <v>136</v>
      </c>
      <c r="F49" s="50">
        <f t="shared" si="6"/>
        <v>33.95</v>
      </c>
      <c r="G49" s="51">
        <f t="shared" si="7"/>
        <v>33.95</v>
      </c>
      <c r="H49" s="52">
        <v>33.95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137</v>
      </c>
      <c r="D50" s="15" t="s">
        <v>138</v>
      </c>
      <c r="E50" s="32" t="s">
        <v>139</v>
      </c>
      <c r="F50" s="50">
        <f t="shared" si="6"/>
        <v>42.95</v>
      </c>
      <c r="G50" s="51">
        <f t="shared" si="7"/>
        <v>42.95</v>
      </c>
      <c r="H50" s="52">
        <v>42.95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140</v>
      </c>
      <c r="D51" s="15" t="s">
        <v>141</v>
      </c>
      <c r="E51" s="32" t="s">
        <v>142</v>
      </c>
      <c r="F51" s="50">
        <f t="shared" si="6"/>
        <v>79.95</v>
      </c>
      <c r="G51" s="51">
        <f t="shared" si="7"/>
        <v>79.95</v>
      </c>
      <c r="H51" s="52">
        <v>79.95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143</v>
      </c>
      <c r="D52" s="15" t="s">
        <v>144</v>
      </c>
      <c r="E52" s="15" t="s">
        <v>145</v>
      </c>
      <c r="F52" s="50">
        <f t="shared" si="6"/>
        <v>42.95</v>
      </c>
      <c r="G52" s="51">
        <f t="shared" si="7"/>
        <v>42.95</v>
      </c>
      <c r="H52" s="52">
        <v>42.95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146</v>
      </c>
      <c r="D53" s="15" t="s">
        <v>147</v>
      </c>
      <c r="E53" s="15" t="s">
        <v>148</v>
      </c>
      <c r="F53" s="50">
        <f t="shared" si="6"/>
        <v>59.95</v>
      </c>
      <c r="G53" s="51">
        <f t="shared" si="7"/>
        <v>59.95</v>
      </c>
      <c r="H53" s="52">
        <v>59.95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149</v>
      </c>
      <c r="D54" s="15" t="s">
        <v>150</v>
      </c>
      <c r="E54" s="15" t="s">
        <v>151</v>
      </c>
      <c r="F54" s="50">
        <f t="shared" si="6"/>
        <v>33.95</v>
      </c>
      <c r="G54" s="51">
        <f t="shared" si="7"/>
        <v>33.95</v>
      </c>
      <c r="H54" s="52">
        <v>33.95</v>
      </c>
      <c r="I54" s="32"/>
      <c r="J54" s="32"/>
      <c r="K54" s="32"/>
      <c r="L54" s="32"/>
      <c r="M54" s="32"/>
      <c r="N54" s="32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152</v>
      </c>
      <c r="D55" s="53" t="s">
        <v>153</v>
      </c>
      <c r="E55" s="15" t="s">
        <v>154</v>
      </c>
      <c r="F55" s="50">
        <f t="shared" si="6"/>
        <v>80</v>
      </c>
      <c r="G55" s="51">
        <f t="shared" si="7"/>
        <v>80</v>
      </c>
      <c r="H55" s="54">
        <v>80.0</v>
      </c>
      <c r="I55" s="32"/>
      <c r="J55" s="32"/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38"/>
      <c r="C56" s="28" t="s">
        <v>155</v>
      </c>
      <c r="D56" s="53" t="s">
        <v>156</v>
      </c>
      <c r="E56" s="15" t="s">
        <v>157</v>
      </c>
      <c r="F56" s="50">
        <f t="shared" si="6"/>
        <v>29.95</v>
      </c>
      <c r="G56" s="51">
        <f t="shared" si="7"/>
        <v>29.95</v>
      </c>
      <c r="H56" s="52">
        <v>29.95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0" t="s">
        <v>158</v>
      </c>
      <c r="C57" s="21" t="s">
        <v>17</v>
      </c>
      <c r="D57" s="22" t="s">
        <v>17</v>
      </c>
      <c r="E57" s="23" t="s">
        <v>159</v>
      </c>
      <c r="F57" s="24" t="s">
        <v>17</v>
      </c>
      <c r="G57" s="24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25" t="s">
        <v>17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55" t="s">
        <v>160</v>
      </c>
      <c r="D58" s="15" t="s">
        <v>161</v>
      </c>
      <c r="E58" s="15" t="s">
        <v>162</v>
      </c>
      <c r="F58" s="50">
        <f t="shared" ref="F58:F60" si="8">H58*80%</f>
        <v>208</v>
      </c>
      <c r="G58" s="56">
        <v>260.0</v>
      </c>
      <c r="H58" s="52">
        <v>260.0</v>
      </c>
      <c r="I58" s="32"/>
      <c r="J58" s="32"/>
      <c r="K58" s="32"/>
      <c r="L58" s="32"/>
      <c r="M58" s="57" t="s">
        <v>469</v>
      </c>
      <c r="N58" s="32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164</v>
      </c>
      <c r="D59" s="15" t="s">
        <v>165</v>
      </c>
      <c r="E59" s="15" t="s">
        <v>166</v>
      </c>
      <c r="F59" s="50">
        <f t="shared" si="8"/>
        <v>208</v>
      </c>
      <c r="G59" s="56">
        <v>260.0</v>
      </c>
      <c r="H59" s="52">
        <v>260.0</v>
      </c>
      <c r="I59" s="32"/>
      <c r="J59" s="32"/>
      <c r="K59" s="32"/>
      <c r="L59" s="32"/>
      <c r="M59" s="57" t="s">
        <v>469</v>
      </c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167</v>
      </c>
      <c r="D60" s="15" t="s">
        <v>168</v>
      </c>
      <c r="E60" s="15" t="s">
        <v>169</v>
      </c>
      <c r="F60" s="50">
        <f t="shared" si="8"/>
        <v>208</v>
      </c>
      <c r="G60" s="56">
        <v>260.0</v>
      </c>
      <c r="H60" s="52">
        <v>260.0</v>
      </c>
      <c r="I60" s="32"/>
      <c r="J60" s="32"/>
      <c r="K60" s="32"/>
      <c r="L60" s="32"/>
      <c r="M60" s="57" t="s">
        <v>469</v>
      </c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21" t="s">
        <v>17</v>
      </c>
      <c r="D61" s="22" t="s">
        <v>17</v>
      </c>
      <c r="E61" s="23" t="s">
        <v>170</v>
      </c>
      <c r="F61" s="24" t="s">
        <v>17</v>
      </c>
      <c r="G61" s="24" t="s">
        <v>17</v>
      </c>
      <c r="H61" s="25" t="s">
        <v>17</v>
      </c>
      <c r="I61" s="25" t="s">
        <v>17</v>
      </c>
      <c r="J61" s="25" t="s">
        <v>17</v>
      </c>
      <c r="K61" s="25" t="s">
        <v>17</v>
      </c>
      <c r="L61" s="25" t="s">
        <v>17</v>
      </c>
      <c r="M61" s="25" t="s">
        <v>17</v>
      </c>
      <c r="N61" s="25" t="s">
        <v>17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171</v>
      </c>
      <c r="D62" s="15" t="s">
        <v>172</v>
      </c>
      <c r="E62" s="15" t="s">
        <v>173</v>
      </c>
      <c r="F62" s="50">
        <f t="shared" ref="F62:F68" si="9">H62*70%</f>
        <v>51.1</v>
      </c>
      <c r="G62" s="56">
        <v>73.0</v>
      </c>
      <c r="H62" s="52">
        <v>73.0</v>
      </c>
      <c r="I62" s="15"/>
      <c r="J62" s="32"/>
      <c r="K62" s="32"/>
      <c r="L62" s="15" t="s">
        <v>470</v>
      </c>
      <c r="M62" s="57" t="s">
        <v>469</v>
      </c>
      <c r="N62" s="32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176</v>
      </c>
      <c r="D63" s="15" t="s">
        <v>177</v>
      </c>
      <c r="E63" s="15" t="s">
        <v>178</v>
      </c>
      <c r="F63" s="50">
        <f t="shared" si="9"/>
        <v>51.1</v>
      </c>
      <c r="G63" s="56">
        <v>73.0</v>
      </c>
      <c r="H63" s="52">
        <v>73.0</v>
      </c>
      <c r="I63" s="32"/>
      <c r="J63" s="32"/>
      <c r="K63" s="32"/>
      <c r="L63" s="15" t="s">
        <v>470</v>
      </c>
      <c r="M63" s="57" t="s">
        <v>469</v>
      </c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179</v>
      </c>
      <c r="D64" s="15" t="s">
        <v>180</v>
      </c>
      <c r="E64" s="15" t="s">
        <v>181</v>
      </c>
      <c r="F64" s="50">
        <f t="shared" si="9"/>
        <v>57.365</v>
      </c>
      <c r="G64" s="56">
        <v>81.95</v>
      </c>
      <c r="H64" s="52">
        <v>81.95</v>
      </c>
      <c r="I64" s="32"/>
      <c r="J64" s="32"/>
      <c r="K64" s="32"/>
      <c r="L64" s="15" t="s">
        <v>470</v>
      </c>
      <c r="M64" s="57" t="s">
        <v>469</v>
      </c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182</v>
      </c>
      <c r="D65" s="15" t="s">
        <v>183</v>
      </c>
      <c r="E65" s="15" t="s">
        <v>184</v>
      </c>
      <c r="F65" s="50">
        <f t="shared" si="9"/>
        <v>60.865</v>
      </c>
      <c r="G65" s="56">
        <v>86.95</v>
      </c>
      <c r="H65" s="52">
        <v>86.95</v>
      </c>
      <c r="I65" s="32"/>
      <c r="J65" s="32"/>
      <c r="K65" s="32"/>
      <c r="L65" s="15" t="s">
        <v>470</v>
      </c>
      <c r="M65" s="57" t="s">
        <v>469</v>
      </c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185</v>
      </c>
      <c r="D66" s="15" t="s">
        <v>186</v>
      </c>
      <c r="E66" s="15" t="s">
        <v>187</v>
      </c>
      <c r="F66" s="50">
        <f t="shared" si="9"/>
        <v>67.165</v>
      </c>
      <c r="G66" s="56">
        <v>95.95</v>
      </c>
      <c r="H66" s="52">
        <v>95.95</v>
      </c>
      <c r="I66" s="32"/>
      <c r="J66" s="32"/>
      <c r="K66" s="32"/>
      <c r="L66" s="15" t="s">
        <v>470</v>
      </c>
      <c r="M66" s="57" t="s">
        <v>469</v>
      </c>
      <c r="N66" s="32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188</v>
      </c>
      <c r="D67" s="15" t="s">
        <v>189</v>
      </c>
      <c r="E67" s="15" t="s">
        <v>190</v>
      </c>
      <c r="F67" s="50">
        <f t="shared" si="9"/>
        <v>74.865</v>
      </c>
      <c r="G67" s="56">
        <v>106.95</v>
      </c>
      <c r="H67" s="52">
        <v>106.95</v>
      </c>
      <c r="I67" s="32"/>
      <c r="J67" s="32"/>
      <c r="K67" s="32"/>
      <c r="L67" s="15" t="s">
        <v>470</v>
      </c>
      <c r="M67" s="57" t="s">
        <v>469</v>
      </c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39" t="s">
        <v>191</v>
      </c>
      <c r="D68" s="15" t="s">
        <v>192</v>
      </c>
      <c r="E68" s="15" t="s">
        <v>193</v>
      </c>
      <c r="F68" s="50">
        <f t="shared" si="9"/>
        <v>74.865</v>
      </c>
      <c r="G68" s="56">
        <v>106.95</v>
      </c>
      <c r="H68" s="52">
        <v>106.95</v>
      </c>
      <c r="I68" s="32"/>
      <c r="J68" s="32"/>
      <c r="K68" s="32"/>
      <c r="L68" s="15" t="s">
        <v>470</v>
      </c>
      <c r="M68" s="57" t="s">
        <v>469</v>
      </c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21" t="s">
        <v>17</v>
      </c>
      <c r="D69" s="22" t="s">
        <v>17</v>
      </c>
      <c r="E69" s="23" t="s">
        <v>194</v>
      </c>
      <c r="F69" s="24" t="s">
        <v>17</v>
      </c>
      <c r="G69" s="24" t="s">
        <v>17</v>
      </c>
      <c r="H69" s="25" t="s">
        <v>17</v>
      </c>
      <c r="I69" s="25" t="s">
        <v>17</v>
      </c>
      <c r="J69" s="25" t="s">
        <v>17</v>
      </c>
      <c r="K69" s="25" t="s">
        <v>17</v>
      </c>
      <c r="L69" s="25" t="s">
        <v>17</v>
      </c>
      <c r="M69" s="25" t="s">
        <v>17</v>
      </c>
      <c r="N69" s="25" t="s">
        <v>17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195</v>
      </c>
      <c r="D70" s="15" t="s">
        <v>196</v>
      </c>
      <c r="E70" s="15" t="s">
        <v>197</v>
      </c>
      <c r="F70" s="50">
        <f t="shared" ref="F70:F78" si="10">H70*70%</f>
        <v>18.2</v>
      </c>
      <c r="G70" s="56">
        <v>26.0</v>
      </c>
      <c r="H70" s="54">
        <v>26.0</v>
      </c>
      <c r="I70" s="32"/>
      <c r="J70" s="32"/>
      <c r="K70" s="32"/>
      <c r="L70" s="15" t="s">
        <v>470</v>
      </c>
      <c r="M70" s="57" t="s">
        <v>469</v>
      </c>
      <c r="N70" s="32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198</v>
      </c>
      <c r="D71" s="15" t="s">
        <v>199</v>
      </c>
      <c r="E71" s="15" t="s">
        <v>200</v>
      </c>
      <c r="F71" s="50">
        <f t="shared" si="10"/>
        <v>18.2</v>
      </c>
      <c r="G71" s="56">
        <v>26.0</v>
      </c>
      <c r="H71" s="54">
        <v>26.0</v>
      </c>
      <c r="I71" s="32"/>
      <c r="J71" s="32"/>
      <c r="K71" s="32"/>
      <c r="L71" s="15" t="s">
        <v>470</v>
      </c>
      <c r="M71" s="57" t="s">
        <v>469</v>
      </c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201</v>
      </c>
      <c r="D72" s="15" t="s">
        <v>202</v>
      </c>
      <c r="E72" s="15" t="s">
        <v>203</v>
      </c>
      <c r="F72" s="50">
        <f t="shared" si="10"/>
        <v>21</v>
      </c>
      <c r="G72" s="56">
        <v>30.0</v>
      </c>
      <c r="H72" s="54">
        <v>30.0</v>
      </c>
      <c r="I72" s="32"/>
      <c r="J72" s="32"/>
      <c r="K72" s="32"/>
      <c r="L72" s="15" t="s">
        <v>470</v>
      </c>
      <c r="M72" s="57" t="s">
        <v>469</v>
      </c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204</v>
      </c>
      <c r="D73" s="15" t="s">
        <v>205</v>
      </c>
      <c r="E73" s="15" t="s">
        <v>206</v>
      </c>
      <c r="F73" s="50">
        <f t="shared" si="10"/>
        <v>12.6</v>
      </c>
      <c r="G73" s="56">
        <v>18.0</v>
      </c>
      <c r="H73" s="52">
        <v>18.0</v>
      </c>
      <c r="I73" s="32"/>
      <c r="J73" s="32"/>
      <c r="K73" s="32"/>
      <c r="L73" s="15" t="s">
        <v>470</v>
      </c>
      <c r="M73" s="57" t="s">
        <v>469</v>
      </c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207</v>
      </c>
      <c r="D74" s="15" t="s">
        <v>208</v>
      </c>
      <c r="E74" s="15" t="s">
        <v>209</v>
      </c>
      <c r="F74" s="50">
        <f t="shared" si="10"/>
        <v>15.4</v>
      </c>
      <c r="G74" s="56">
        <v>22.0</v>
      </c>
      <c r="H74" s="54">
        <v>22.0</v>
      </c>
      <c r="I74" s="32"/>
      <c r="J74" s="32"/>
      <c r="K74" s="32"/>
      <c r="L74" s="15" t="s">
        <v>470</v>
      </c>
      <c r="M74" s="57" t="s">
        <v>469</v>
      </c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210</v>
      </c>
      <c r="D75" s="15" t="s">
        <v>211</v>
      </c>
      <c r="E75" s="15" t="s">
        <v>212</v>
      </c>
      <c r="F75" s="50">
        <f t="shared" si="10"/>
        <v>11.2</v>
      </c>
      <c r="G75" s="56">
        <v>16.0</v>
      </c>
      <c r="H75" s="52">
        <v>16.0</v>
      </c>
      <c r="I75" s="32"/>
      <c r="J75" s="32"/>
      <c r="K75" s="32"/>
      <c r="L75" s="15" t="s">
        <v>470</v>
      </c>
      <c r="M75" s="57" t="s">
        <v>469</v>
      </c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213</v>
      </c>
      <c r="D76" s="15" t="s">
        <v>214</v>
      </c>
      <c r="E76" s="15" t="s">
        <v>215</v>
      </c>
      <c r="F76" s="50">
        <f t="shared" si="10"/>
        <v>11.2</v>
      </c>
      <c r="G76" s="56">
        <v>16.0</v>
      </c>
      <c r="H76" s="52">
        <v>16.0</v>
      </c>
      <c r="I76" s="32"/>
      <c r="J76" s="32"/>
      <c r="K76" s="32"/>
      <c r="L76" s="15" t="s">
        <v>470</v>
      </c>
      <c r="M76" s="57" t="s">
        <v>469</v>
      </c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216</v>
      </c>
      <c r="D77" s="15" t="s">
        <v>217</v>
      </c>
      <c r="E77" s="15" t="s">
        <v>218</v>
      </c>
      <c r="F77" s="50">
        <f t="shared" si="10"/>
        <v>14.7</v>
      </c>
      <c r="G77" s="56">
        <v>21.0</v>
      </c>
      <c r="H77" s="54">
        <v>21.0</v>
      </c>
      <c r="I77" s="32"/>
      <c r="J77" s="32"/>
      <c r="K77" s="32"/>
      <c r="L77" s="15" t="s">
        <v>470</v>
      </c>
      <c r="M77" s="57" t="s">
        <v>469</v>
      </c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38"/>
      <c r="C78" s="55" t="s">
        <v>219</v>
      </c>
      <c r="D78" s="49" t="s">
        <v>220</v>
      </c>
      <c r="E78" s="15" t="s">
        <v>221</v>
      </c>
      <c r="F78" s="50">
        <f t="shared" si="10"/>
        <v>15.4</v>
      </c>
      <c r="G78" s="56">
        <v>22.0</v>
      </c>
      <c r="H78" s="54">
        <v>22.0</v>
      </c>
      <c r="I78" s="32"/>
      <c r="J78" s="32"/>
      <c r="K78" s="32"/>
      <c r="L78" s="15" t="s">
        <v>470</v>
      </c>
      <c r="M78" s="57" t="s">
        <v>469</v>
      </c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0" t="s">
        <v>222</v>
      </c>
      <c r="C79" s="21" t="s">
        <v>17</v>
      </c>
      <c r="D79" s="22" t="s">
        <v>17</v>
      </c>
      <c r="E79" s="23" t="s">
        <v>223</v>
      </c>
      <c r="F79" s="24" t="s">
        <v>17</v>
      </c>
      <c r="G79" s="24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  <c r="N79" s="25" t="s">
        <v>17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224</v>
      </c>
      <c r="D80" s="15" t="s">
        <v>225</v>
      </c>
      <c r="E80" s="15" t="s">
        <v>226</v>
      </c>
      <c r="F80" s="58">
        <v>45.49</v>
      </c>
      <c r="G80" s="56">
        <v>69.95</v>
      </c>
      <c r="H80" s="52">
        <v>69.95</v>
      </c>
      <c r="I80" s="32"/>
      <c r="J80" s="32"/>
      <c r="K80" s="32"/>
      <c r="L80" s="32"/>
      <c r="M80" s="57" t="s">
        <v>471</v>
      </c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227</v>
      </c>
      <c r="D81" s="15" t="s">
        <v>228</v>
      </c>
      <c r="E81" s="15" t="s">
        <v>229</v>
      </c>
      <c r="F81" s="58">
        <v>58.84</v>
      </c>
      <c r="G81" s="56">
        <v>79.95</v>
      </c>
      <c r="H81" s="52">
        <v>79.95</v>
      </c>
      <c r="I81" s="32"/>
      <c r="J81" s="32"/>
      <c r="K81" s="32"/>
      <c r="L81" s="32"/>
      <c r="M81" s="15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230</v>
      </c>
      <c r="D82" s="15" t="s">
        <v>231</v>
      </c>
      <c r="E82" s="15" t="s">
        <v>232</v>
      </c>
      <c r="F82" s="58">
        <v>92.41</v>
      </c>
      <c r="G82" s="56">
        <v>114.95</v>
      </c>
      <c r="H82" s="54">
        <v>119.0</v>
      </c>
      <c r="I82" s="32"/>
      <c r="J82" s="32"/>
      <c r="K82" s="32"/>
      <c r="L82" s="32"/>
      <c r="M82" s="15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233</v>
      </c>
      <c r="D83" s="15" t="s">
        <v>234</v>
      </c>
      <c r="E83" s="15" t="s">
        <v>235</v>
      </c>
      <c r="F83" s="58">
        <v>17.99</v>
      </c>
      <c r="G83" s="56">
        <v>24.95</v>
      </c>
      <c r="H83" s="52">
        <v>24.95</v>
      </c>
      <c r="I83" s="32"/>
      <c r="J83" s="32"/>
      <c r="K83" s="32"/>
      <c r="L83" s="32"/>
      <c r="M83" s="57" t="s">
        <v>471</v>
      </c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236</v>
      </c>
      <c r="D84" s="15" t="s">
        <v>237</v>
      </c>
      <c r="E84" s="15" t="s">
        <v>238</v>
      </c>
      <c r="F84" s="58">
        <v>27.99</v>
      </c>
      <c r="G84" s="59">
        <v>32.95</v>
      </c>
      <c r="H84" s="52">
        <v>32.95</v>
      </c>
      <c r="I84" s="32"/>
      <c r="J84" s="32"/>
      <c r="K84" s="32"/>
      <c r="L84" s="32"/>
      <c r="M84" s="57" t="s">
        <v>471</v>
      </c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239</v>
      </c>
      <c r="D85" s="15" t="s">
        <v>240</v>
      </c>
      <c r="E85" s="15" t="s">
        <v>241</v>
      </c>
      <c r="F85" s="58">
        <v>19.95</v>
      </c>
      <c r="G85" s="59">
        <v>19.95</v>
      </c>
      <c r="H85" s="52">
        <v>19.95</v>
      </c>
      <c r="I85" s="32"/>
      <c r="J85" s="32"/>
      <c r="K85" s="32"/>
      <c r="L85" s="32"/>
      <c r="M85" s="15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242</v>
      </c>
      <c r="D86" s="15" t="s">
        <v>243</v>
      </c>
      <c r="E86" s="15" t="s">
        <v>244</v>
      </c>
      <c r="F86" s="58">
        <v>33.71</v>
      </c>
      <c r="G86" s="59">
        <v>44.95</v>
      </c>
      <c r="H86" s="52">
        <v>44.95</v>
      </c>
      <c r="I86" s="32"/>
      <c r="J86" s="32"/>
      <c r="K86" s="32"/>
      <c r="L86" s="32"/>
      <c r="M86" s="57" t="s">
        <v>471</v>
      </c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245</v>
      </c>
      <c r="D87" s="15" t="s">
        <v>246</v>
      </c>
      <c r="E87" s="15" t="s">
        <v>247</v>
      </c>
      <c r="F87" s="58">
        <v>33.71</v>
      </c>
      <c r="G87" s="59">
        <v>44.95</v>
      </c>
      <c r="H87" s="52">
        <v>44.95</v>
      </c>
      <c r="I87" s="32"/>
      <c r="J87" s="32"/>
      <c r="K87" s="32"/>
      <c r="L87" s="32"/>
      <c r="M87" s="57" t="s">
        <v>471</v>
      </c>
      <c r="N87" s="32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248</v>
      </c>
      <c r="D88" s="15" t="s">
        <v>249</v>
      </c>
      <c r="E88" s="15" t="s">
        <v>250</v>
      </c>
      <c r="F88" s="58">
        <v>104.99</v>
      </c>
      <c r="G88" s="59">
        <v>129.95</v>
      </c>
      <c r="H88" s="52">
        <v>129.95</v>
      </c>
      <c r="I88" s="32"/>
      <c r="J88" s="32"/>
      <c r="K88" s="32"/>
      <c r="L88" s="32"/>
      <c r="M88" s="15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251</v>
      </c>
      <c r="D89" s="15" t="s">
        <v>252</v>
      </c>
      <c r="E89" s="15" t="s">
        <v>253</v>
      </c>
      <c r="F89" s="58">
        <v>21.24</v>
      </c>
      <c r="G89" s="59">
        <v>24.95</v>
      </c>
      <c r="H89" s="52">
        <v>24.95</v>
      </c>
      <c r="I89" s="32"/>
      <c r="J89" s="32"/>
      <c r="K89" s="32"/>
      <c r="L89" s="32"/>
      <c r="M89" s="57" t="s">
        <v>471</v>
      </c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21" t="s">
        <v>17</v>
      </c>
      <c r="D90" s="22" t="s">
        <v>17</v>
      </c>
      <c r="E90" s="23" t="s">
        <v>254</v>
      </c>
      <c r="F90" s="24" t="s">
        <v>17</v>
      </c>
      <c r="G90" s="24" t="s">
        <v>17</v>
      </c>
      <c r="H90" s="25" t="s">
        <v>17</v>
      </c>
      <c r="I90" s="25" t="s">
        <v>17</v>
      </c>
      <c r="J90" s="25" t="s">
        <v>17</v>
      </c>
      <c r="K90" s="25" t="s">
        <v>17</v>
      </c>
      <c r="L90" s="25" t="s">
        <v>17</v>
      </c>
      <c r="M90" s="25" t="s">
        <v>17</v>
      </c>
      <c r="N90" s="25" t="s">
        <v>17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255</v>
      </c>
      <c r="D91" s="15" t="s">
        <v>256</v>
      </c>
      <c r="E91" s="15" t="s">
        <v>257</v>
      </c>
      <c r="F91" s="58">
        <v>84.4</v>
      </c>
      <c r="G91" s="59">
        <v>99.95</v>
      </c>
      <c r="H91" s="52">
        <v>99.95</v>
      </c>
      <c r="I91" s="32"/>
      <c r="J91" s="32"/>
      <c r="K91" s="32"/>
      <c r="L91" s="32"/>
      <c r="M91" s="57" t="s">
        <v>471</v>
      </c>
      <c r="N91" s="32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258</v>
      </c>
      <c r="D92" s="15" t="s">
        <v>259</v>
      </c>
      <c r="E92" s="15" t="s">
        <v>260</v>
      </c>
      <c r="F92" s="58">
        <v>126.82</v>
      </c>
      <c r="G92" s="59">
        <v>163.95</v>
      </c>
      <c r="H92" s="52">
        <v>163.95</v>
      </c>
      <c r="I92" s="32"/>
      <c r="J92" s="32"/>
      <c r="K92" s="32"/>
      <c r="L92" s="32"/>
      <c r="M92" s="15"/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261</v>
      </c>
      <c r="D93" s="15" t="s">
        <v>262</v>
      </c>
      <c r="E93" s="15" t="s">
        <v>263</v>
      </c>
      <c r="F93" s="58">
        <v>24.95</v>
      </c>
      <c r="G93" s="59">
        <v>24.95</v>
      </c>
      <c r="H93" s="52">
        <v>24.95</v>
      </c>
      <c r="I93" s="32"/>
      <c r="J93" s="32"/>
      <c r="K93" s="32"/>
      <c r="L93" s="32"/>
      <c r="M93" s="57" t="s">
        <v>471</v>
      </c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21" t="s">
        <v>17</v>
      </c>
      <c r="D94" s="22" t="s">
        <v>17</v>
      </c>
      <c r="E94" s="23" t="s">
        <v>264</v>
      </c>
      <c r="F94" s="24" t="s">
        <v>17</v>
      </c>
      <c r="G94" s="24" t="s">
        <v>17</v>
      </c>
      <c r="H94" s="25" t="s">
        <v>17</v>
      </c>
      <c r="I94" s="25" t="s">
        <v>17</v>
      </c>
      <c r="J94" s="25" t="s">
        <v>17</v>
      </c>
      <c r="K94" s="25" t="s">
        <v>17</v>
      </c>
      <c r="L94" s="25" t="s">
        <v>17</v>
      </c>
      <c r="M94" s="25" t="s">
        <v>17</v>
      </c>
      <c r="N94" s="25" t="s">
        <v>17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265</v>
      </c>
      <c r="D95" s="15" t="s">
        <v>266</v>
      </c>
      <c r="E95" s="15" t="s">
        <v>267</v>
      </c>
      <c r="F95" s="58">
        <v>104.97</v>
      </c>
      <c r="G95" s="56">
        <v>199.95</v>
      </c>
      <c r="H95" s="52">
        <v>149.95</v>
      </c>
      <c r="I95" s="80" t="s">
        <v>472</v>
      </c>
      <c r="J95" s="80" t="s">
        <v>472</v>
      </c>
      <c r="K95" s="80" t="s">
        <v>472</v>
      </c>
      <c r="L95" s="80" t="s">
        <v>472</v>
      </c>
      <c r="M95" s="80" t="s">
        <v>473</v>
      </c>
      <c r="N95" s="5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268</v>
      </c>
      <c r="D96" s="15" t="s">
        <v>269</v>
      </c>
      <c r="E96" s="15" t="s">
        <v>270</v>
      </c>
      <c r="F96" s="58">
        <v>136.5</v>
      </c>
      <c r="G96" s="56">
        <v>244.95</v>
      </c>
      <c r="H96" s="54">
        <v>195.0</v>
      </c>
      <c r="I96" s="80" t="s">
        <v>472</v>
      </c>
      <c r="J96" s="80" t="s">
        <v>472</v>
      </c>
      <c r="K96" s="80" t="s">
        <v>472</v>
      </c>
      <c r="L96" s="80" t="s">
        <v>472</v>
      </c>
      <c r="M96" s="80" t="s">
        <v>474</v>
      </c>
      <c r="N96" s="5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271</v>
      </c>
      <c r="D97" s="15" t="s">
        <v>272</v>
      </c>
      <c r="E97" s="15" t="s">
        <v>273</v>
      </c>
      <c r="F97" s="58">
        <v>19.95</v>
      </c>
      <c r="G97" s="56">
        <v>49.95</v>
      </c>
      <c r="H97" s="52">
        <v>29.95</v>
      </c>
      <c r="I97" s="32"/>
      <c r="J97" s="32"/>
      <c r="K97" s="32"/>
      <c r="L97" s="32"/>
      <c r="M97" s="57" t="s">
        <v>475</v>
      </c>
      <c r="N97" s="5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274</v>
      </c>
      <c r="D98" s="15" t="s">
        <v>275</v>
      </c>
      <c r="E98" s="15" t="s">
        <v>276</v>
      </c>
      <c r="F98" s="58">
        <v>19.95</v>
      </c>
      <c r="G98" s="56">
        <v>29.95</v>
      </c>
      <c r="H98" s="52">
        <v>29.95</v>
      </c>
      <c r="I98" s="32"/>
      <c r="J98" s="32"/>
      <c r="K98" s="32"/>
      <c r="L98" s="32"/>
      <c r="M98" s="57" t="s">
        <v>475</v>
      </c>
      <c r="N98" s="5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277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278</v>
      </c>
      <c r="D100" s="15" t="s">
        <v>279</v>
      </c>
      <c r="E100" s="15" t="s">
        <v>280</v>
      </c>
      <c r="F100" s="58">
        <v>52.61</v>
      </c>
      <c r="G100" s="59">
        <v>79.95</v>
      </c>
      <c r="H100" s="52">
        <v>79.95</v>
      </c>
      <c r="I100" s="32"/>
      <c r="J100" s="32"/>
      <c r="K100" s="32"/>
      <c r="L100" s="32"/>
      <c r="M100" s="57"/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281</v>
      </c>
      <c r="D101" s="15" t="s">
        <v>282</v>
      </c>
      <c r="E101" s="15" t="s">
        <v>283</v>
      </c>
      <c r="F101" s="58">
        <v>64.5</v>
      </c>
      <c r="G101" s="59">
        <v>129.0</v>
      </c>
      <c r="H101" s="52">
        <v>129.0</v>
      </c>
      <c r="I101" s="32"/>
      <c r="J101" s="32"/>
      <c r="K101" s="32"/>
      <c r="L101" s="32"/>
      <c r="M101" s="57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21" t="s">
        <v>17</v>
      </c>
      <c r="D102" s="22" t="s">
        <v>17</v>
      </c>
      <c r="E102" s="23" t="s">
        <v>284</v>
      </c>
      <c r="F102" s="24" t="s">
        <v>17</v>
      </c>
      <c r="G102" s="24" t="s">
        <v>17</v>
      </c>
      <c r="H102" s="25" t="s">
        <v>17</v>
      </c>
      <c r="I102" s="25" t="s">
        <v>17</v>
      </c>
      <c r="J102" s="25" t="s">
        <v>17</v>
      </c>
      <c r="K102" s="25" t="s">
        <v>17</v>
      </c>
      <c r="L102" s="25" t="s">
        <v>17</v>
      </c>
      <c r="M102" s="25" t="s">
        <v>17</v>
      </c>
      <c r="N102" s="25" t="s">
        <v>17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285</v>
      </c>
      <c r="D103" s="60" t="s">
        <v>286</v>
      </c>
      <c r="E103" s="15" t="s">
        <v>287</v>
      </c>
      <c r="F103" s="58">
        <v>34.68</v>
      </c>
      <c r="G103" s="59">
        <v>39.95</v>
      </c>
      <c r="H103" s="52">
        <v>39.95</v>
      </c>
      <c r="I103" s="32"/>
      <c r="J103" s="32"/>
      <c r="K103" s="57" t="s">
        <v>476</v>
      </c>
      <c r="L103" s="57" t="s">
        <v>476</v>
      </c>
      <c r="M103" s="57" t="s">
        <v>477</v>
      </c>
      <c r="N103" s="15" t="s">
        <v>478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288</v>
      </c>
      <c r="D104" s="60" t="s">
        <v>289</v>
      </c>
      <c r="E104" s="15" t="s">
        <v>290</v>
      </c>
      <c r="F104" s="58">
        <v>34.68</v>
      </c>
      <c r="G104" s="59">
        <v>39.95</v>
      </c>
      <c r="H104" s="52">
        <v>39.95</v>
      </c>
      <c r="I104" s="32"/>
      <c r="J104" s="32"/>
      <c r="K104" s="57" t="s">
        <v>476</v>
      </c>
      <c r="L104" s="57" t="s">
        <v>476</v>
      </c>
      <c r="M104" s="57" t="s">
        <v>477</v>
      </c>
      <c r="N104" s="15" t="s">
        <v>478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291</v>
      </c>
      <c r="D105" s="60" t="s">
        <v>292</v>
      </c>
      <c r="E105" s="15" t="s">
        <v>293</v>
      </c>
      <c r="F105" s="58">
        <v>34.68</v>
      </c>
      <c r="G105" s="59">
        <v>39.95</v>
      </c>
      <c r="H105" s="52">
        <v>39.95</v>
      </c>
      <c r="I105" s="32"/>
      <c r="J105" s="32"/>
      <c r="K105" s="57" t="s">
        <v>476</v>
      </c>
      <c r="L105" s="57" t="s">
        <v>476</v>
      </c>
      <c r="M105" s="57" t="s">
        <v>477</v>
      </c>
      <c r="N105" s="15" t="s">
        <v>478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294</v>
      </c>
      <c r="D106" s="61" t="s">
        <v>295</v>
      </c>
      <c r="E106" s="15" t="s">
        <v>296</v>
      </c>
      <c r="F106" s="58">
        <v>34.68</v>
      </c>
      <c r="G106" s="59">
        <v>39.95</v>
      </c>
      <c r="H106" s="52">
        <v>39.95</v>
      </c>
      <c r="I106" s="32"/>
      <c r="J106" s="32"/>
      <c r="K106" s="57" t="s">
        <v>476</v>
      </c>
      <c r="L106" s="57" t="s">
        <v>476</v>
      </c>
      <c r="M106" s="57" t="s">
        <v>477</v>
      </c>
      <c r="N106" s="15" t="s">
        <v>478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297</v>
      </c>
      <c r="D107" s="60" t="s">
        <v>298</v>
      </c>
      <c r="E107" s="15" t="s">
        <v>299</v>
      </c>
      <c r="F107" s="58">
        <v>34.68</v>
      </c>
      <c r="G107" s="59">
        <v>39.95</v>
      </c>
      <c r="H107" s="52">
        <v>39.95</v>
      </c>
      <c r="I107" s="32"/>
      <c r="J107" s="32"/>
      <c r="K107" s="57" t="s">
        <v>476</v>
      </c>
      <c r="L107" s="57" t="s">
        <v>476</v>
      </c>
      <c r="M107" s="57" t="s">
        <v>477</v>
      </c>
      <c r="N107" s="15" t="s">
        <v>478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300</v>
      </c>
      <c r="D108" s="60" t="s">
        <v>301</v>
      </c>
      <c r="E108" s="15" t="s">
        <v>302</v>
      </c>
      <c r="F108" s="58">
        <v>34.68</v>
      </c>
      <c r="G108" s="59">
        <v>39.95</v>
      </c>
      <c r="H108" s="52">
        <v>39.95</v>
      </c>
      <c r="I108" s="32"/>
      <c r="J108" s="32"/>
      <c r="K108" s="57" t="s">
        <v>476</v>
      </c>
      <c r="L108" s="57" t="s">
        <v>476</v>
      </c>
      <c r="M108" s="57" t="s">
        <v>477</v>
      </c>
      <c r="N108" s="15" t="s">
        <v>478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303</v>
      </c>
      <c r="D109" s="60" t="s">
        <v>304</v>
      </c>
      <c r="E109" s="15" t="s">
        <v>305</v>
      </c>
      <c r="F109" s="58">
        <v>34.68</v>
      </c>
      <c r="G109" s="59">
        <v>39.95</v>
      </c>
      <c r="H109" s="52">
        <v>39.95</v>
      </c>
      <c r="I109" s="32"/>
      <c r="J109" s="32"/>
      <c r="K109" s="57" t="s">
        <v>476</v>
      </c>
      <c r="L109" s="57" t="s">
        <v>476</v>
      </c>
      <c r="M109" s="57" t="s">
        <v>477</v>
      </c>
      <c r="N109" s="15" t="s">
        <v>478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306</v>
      </c>
      <c r="D110" s="62" t="s">
        <v>307</v>
      </c>
      <c r="E110" s="15" t="s">
        <v>308</v>
      </c>
      <c r="F110" s="58">
        <v>34.68</v>
      </c>
      <c r="G110" s="59">
        <v>39.95</v>
      </c>
      <c r="H110" s="52">
        <v>39.95</v>
      </c>
      <c r="I110" s="32"/>
      <c r="J110" s="32"/>
      <c r="K110" s="57" t="s">
        <v>476</v>
      </c>
      <c r="L110" s="57" t="s">
        <v>476</v>
      </c>
      <c r="M110" s="57" t="s">
        <v>477</v>
      </c>
      <c r="N110" s="15" t="s">
        <v>478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309</v>
      </c>
      <c r="D111" s="60" t="s">
        <v>310</v>
      </c>
      <c r="E111" s="15" t="s">
        <v>311</v>
      </c>
      <c r="F111" s="58">
        <v>34.68</v>
      </c>
      <c r="G111" s="59">
        <v>39.95</v>
      </c>
      <c r="H111" s="52">
        <v>39.95</v>
      </c>
      <c r="I111" s="32"/>
      <c r="J111" s="32"/>
      <c r="K111" s="57" t="s">
        <v>476</v>
      </c>
      <c r="L111" s="57" t="s">
        <v>476</v>
      </c>
      <c r="M111" s="57" t="s">
        <v>477</v>
      </c>
      <c r="N111" s="15" t="s">
        <v>478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312</v>
      </c>
      <c r="D112" s="60" t="s">
        <v>313</v>
      </c>
      <c r="E112" s="15" t="s">
        <v>314</v>
      </c>
      <c r="F112" s="58">
        <v>34.68</v>
      </c>
      <c r="G112" s="59">
        <v>39.95</v>
      </c>
      <c r="H112" s="52">
        <v>39.95</v>
      </c>
      <c r="I112" s="32"/>
      <c r="J112" s="32"/>
      <c r="K112" s="57" t="s">
        <v>476</v>
      </c>
      <c r="L112" s="57" t="s">
        <v>476</v>
      </c>
      <c r="M112" s="57" t="s">
        <v>477</v>
      </c>
      <c r="N112" s="15" t="s">
        <v>478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315</v>
      </c>
      <c r="D113" s="60" t="s">
        <v>316</v>
      </c>
      <c r="E113" s="15" t="s">
        <v>317</v>
      </c>
      <c r="F113" s="58">
        <v>34.68</v>
      </c>
      <c r="G113" s="59">
        <v>39.95</v>
      </c>
      <c r="H113" s="52">
        <v>39.95</v>
      </c>
      <c r="I113" s="32"/>
      <c r="J113" s="32"/>
      <c r="K113" s="57" t="s">
        <v>476</v>
      </c>
      <c r="L113" s="57" t="s">
        <v>476</v>
      </c>
      <c r="M113" s="57" t="s">
        <v>477</v>
      </c>
      <c r="N113" s="15" t="s">
        <v>478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21" t="s">
        <v>17</v>
      </c>
      <c r="D114" s="22" t="s">
        <v>17</v>
      </c>
      <c r="E114" s="23" t="s">
        <v>331</v>
      </c>
      <c r="F114" s="24" t="s">
        <v>17</v>
      </c>
      <c r="G114" s="24" t="s">
        <v>17</v>
      </c>
      <c r="H114" s="25" t="s">
        <v>17</v>
      </c>
      <c r="I114" s="25" t="s">
        <v>17</v>
      </c>
      <c r="J114" s="25" t="s">
        <v>17</v>
      </c>
      <c r="K114" s="25" t="s">
        <v>17</v>
      </c>
      <c r="L114" s="25" t="s">
        <v>17</v>
      </c>
      <c r="M114" s="25" t="s">
        <v>17</v>
      </c>
      <c r="N114" s="25" t="s">
        <v>17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332</v>
      </c>
      <c r="D115" s="15" t="s">
        <v>333</v>
      </c>
      <c r="E115" s="15" t="s">
        <v>334</v>
      </c>
      <c r="F115" s="58">
        <v>41.97</v>
      </c>
      <c r="G115" s="56">
        <v>79.95</v>
      </c>
      <c r="H115" s="52">
        <v>59.95</v>
      </c>
      <c r="I115" s="32"/>
      <c r="J115" s="32"/>
      <c r="K115" s="32"/>
      <c r="L115" s="32"/>
      <c r="M115" s="57" t="s">
        <v>471</v>
      </c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335</v>
      </c>
      <c r="D116" s="15" t="s">
        <v>336</v>
      </c>
      <c r="E116" s="15" t="s">
        <v>337</v>
      </c>
      <c r="F116" s="58">
        <v>41.97</v>
      </c>
      <c r="G116" s="56">
        <v>79.95</v>
      </c>
      <c r="H116" s="52">
        <v>59.95</v>
      </c>
      <c r="I116" s="32"/>
      <c r="J116" s="32"/>
      <c r="K116" s="32"/>
      <c r="L116" s="32"/>
      <c r="M116" s="57" t="s">
        <v>471</v>
      </c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338</v>
      </c>
      <c r="D117" s="15" t="s">
        <v>339</v>
      </c>
      <c r="E117" s="15" t="s">
        <v>340</v>
      </c>
      <c r="F117" s="58">
        <v>41.97</v>
      </c>
      <c r="G117" s="56">
        <v>79.95</v>
      </c>
      <c r="H117" s="52">
        <v>59.95</v>
      </c>
      <c r="I117" s="32"/>
      <c r="J117" s="32"/>
      <c r="K117" s="32"/>
      <c r="L117" s="32"/>
      <c r="M117" s="57" t="s">
        <v>471</v>
      </c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341</v>
      </c>
      <c r="D118" s="15" t="s">
        <v>342</v>
      </c>
      <c r="E118" s="15" t="s">
        <v>340</v>
      </c>
      <c r="F118" s="58">
        <v>41.97</v>
      </c>
      <c r="G118" s="56">
        <v>79.95</v>
      </c>
      <c r="H118" s="52">
        <v>59.95</v>
      </c>
      <c r="I118" s="32"/>
      <c r="J118" s="32"/>
      <c r="K118" s="32"/>
      <c r="L118" s="32"/>
      <c r="M118" s="57" t="s">
        <v>471</v>
      </c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343</v>
      </c>
      <c r="D119" s="15" t="s">
        <v>344</v>
      </c>
      <c r="E119" s="15" t="s">
        <v>345</v>
      </c>
      <c r="F119" s="58">
        <v>41.97</v>
      </c>
      <c r="G119" s="56">
        <v>79.95</v>
      </c>
      <c r="H119" s="52">
        <v>59.95</v>
      </c>
      <c r="I119" s="32"/>
      <c r="J119" s="32"/>
      <c r="K119" s="32"/>
      <c r="L119" s="32"/>
      <c r="M119" s="57" t="s">
        <v>471</v>
      </c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346</v>
      </c>
      <c r="D120" s="15" t="s">
        <v>347</v>
      </c>
      <c r="E120" s="15" t="s">
        <v>340</v>
      </c>
      <c r="F120" s="58">
        <v>41.97</v>
      </c>
      <c r="G120" s="56">
        <v>79.95</v>
      </c>
      <c r="H120" s="52">
        <v>59.95</v>
      </c>
      <c r="I120" s="32"/>
      <c r="J120" s="32"/>
      <c r="K120" s="32"/>
      <c r="L120" s="32"/>
      <c r="M120" s="57" t="s">
        <v>471</v>
      </c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348</v>
      </c>
      <c r="D121" s="15" t="s">
        <v>349</v>
      </c>
      <c r="E121" s="15" t="s">
        <v>340</v>
      </c>
      <c r="F121" s="58">
        <v>41.97</v>
      </c>
      <c r="G121" s="56">
        <v>79.95</v>
      </c>
      <c r="H121" s="52">
        <v>59.95</v>
      </c>
      <c r="I121" s="32"/>
      <c r="J121" s="32"/>
      <c r="K121" s="32"/>
      <c r="L121" s="32"/>
      <c r="M121" s="57" t="s">
        <v>471</v>
      </c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350</v>
      </c>
      <c r="D122" s="15" t="s">
        <v>351</v>
      </c>
      <c r="E122" s="15" t="s">
        <v>352</v>
      </c>
      <c r="F122" s="58">
        <v>41.97</v>
      </c>
      <c r="G122" s="56">
        <v>79.95</v>
      </c>
      <c r="H122" s="52">
        <v>59.95</v>
      </c>
      <c r="I122" s="32"/>
      <c r="J122" s="32"/>
      <c r="K122" s="32"/>
      <c r="L122" s="32"/>
      <c r="M122" s="57" t="s">
        <v>471</v>
      </c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38"/>
      <c r="C123" s="64" t="s">
        <v>353</v>
      </c>
      <c r="D123" s="65" t="s">
        <v>354</v>
      </c>
      <c r="E123" s="65" t="s">
        <v>355</v>
      </c>
      <c r="F123" s="58">
        <v>41.97</v>
      </c>
      <c r="G123" s="56">
        <v>79.95</v>
      </c>
      <c r="H123" s="52">
        <v>59.95</v>
      </c>
      <c r="I123" s="32"/>
      <c r="J123" s="32"/>
      <c r="K123" s="32"/>
      <c r="L123" s="32"/>
      <c r="M123" s="57" t="s">
        <v>471</v>
      </c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0" t="s">
        <v>356</v>
      </c>
      <c r="C124" s="66" t="s">
        <v>17</v>
      </c>
      <c r="D124" s="67" t="s">
        <v>17</v>
      </c>
      <c r="E124" s="23" t="s">
        <v>357</v>
      </c>
      <c r="F124" s="68" t="s">
        <v>17</v>
      </c>
      <c r="G124" s="68" t="s">
        <v>17</v>
      </c>
      <c r="H124" s="25" t="s">
        <v>17</v>
      </c>
      <c r="I124" s="25" t="s">
        <v>17</v>
      </c>
      <c r="J124" s="25" t="s">
        <v>17</v>
      </c>
      <c r="K124" s="25" t="s">
        <v>17</v>
      </c>
      <c r="L124" s="25" t="s">
        <v>17</v>
      </c>
      <c r="M124" s="25" t="s">
        <v>17</v>
      </c>
      <c r="N124" s="25" t="s">
        <v>17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69" t="s">
        <v>358</v>
      </c>
      <c r="D125" s="70" t="s">
        <v>359</v>
      </c>
      <c r="E125" s="70" t="s">
        <v>360</v>
      </c>
      <c r="F125" s="71">
        <v>35.95</v>
      </c>
      <c r="G125" s="72">
        <v>69.95</v>
      </c>
      <c r="H125" s="52">
        <v>54.95</v>
      </c>
      <c r="I125" s="32"/>
      <c r="J125" s="32"/>
      <c r="K125" s="32"/>
      <c r="L125" s="32"/>
      <c r="M125" s="32"/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66" t="s">
        <v>17</v>
      </c>
      <c r="D126" s="67" t="s">
        <v>17</v>
      </c>
      <c r="E126" s="23" t="s">
        <v>361</v>
      </c>
      <c r="F126" s="68" t="s">
        <v>17</v>
      </c>
      <c r="G126" s="68" t="s">
        <v>17</v>
      </c>
      <c r="H126" s="25" t="s">
        <v>17</v>
      </c>
      <c r="I126" s="25" t="s">
        <v>17</v>
      </c>
      <c r="J126" s="25" t="s">
        <v>17</v>
      </c>
      <c r="K126" s="25" t="s">
        <v>17</v>
      </c>
      <c r="L126" s="25" t="s">
        <v>17</v>
      </c>
      <c r="M126" s="25" t="s">
        <v>17</v>
      </c>
      <c r="N126" s="25" t="s">
        <v>17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73" t="s">
        <v>362</v>
      </c>
      <c r="D127" s="70" t="s">
        <v>363</v>
      </c>
      <c r="E127" s="70" t="s">
        <v>364</v>
      </c>
      <c r="F127" s="71">
        <v>35.95</v>
      </c>
      <c r="G127" s="72">
        <v>59.95</v>
      </c>
      <c r="H127" s="52">
        <v>59.95</v>
      </c>
      <c r="I127" s="32"/>
      <c r="J127" s="32"/>
      <c r="K127" s="32"/>
      <c r="L127" s="32"/>
      <c r="M127" s="32"/>
      <c r="N127" s="32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73" t="s">
        <v>365</v>
      </c>
      <c r="D128" s="70" t="s">
        <v>366</v>
      </c>
      <c r="E128" s="70" t="s">
        <v>367</v>
      </c>
      <c r="F128" s="71">
        <v>71.9</v>
      </c>
      <c r="G128" s="72">
        <v>79.9</v>
      </c>
      <c r="H128" s="52">
        <v>97.12</v>
      </c>
      <c r="I128" s="32"/>
      <c r="J128" s="32"/>
      <c r="K128" s="32"/>
      <c r="L128" s="32"/>
      <c r="M128" s="32"/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73" t="s">
        <v>368</v>
      </c>
      <c r="D129" s="70" t="s">
        <v>369</v>
      </c>
      <c r="E129" s="70" t="s">
        <v>370</v>
      </c>
      <c r="F129" s="71">
        <v>45.95</v>
      </c>
      <c r="G129" s="72">
        <v>69.95</v>
      </c>
      <c r="H129" s="52">
        <v>69.95</v>
      </c>
      <c r="I129" s="32"/>
      <c r="J129" s="32"/>
      <c r="K129" s="32"/>
      <c r="L129" s="32"/>
      <c r="M129" s="32"/>
      <c r="N129" s="32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73" t="s">
        <v>371</v>
      </c>
      <c r="D130" s="70" t="s">
        <v>372</v>
      </c>
      <c r="E130" s="70" t="s">
        <v>373</v>
      </c>
      <c r="F130" s="71">
        <v>91.9</v>
      </c>
      <c r="G130" s="72">
        <v>99.9</v>
      </c>
      <c r="H130" s="52">
        <v>107.03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6" t="s">
        <v>17</v>
      </c>
      <c r="D131" s="67" t="s">
        <v>17</v>
      </c>
      <c r="E131" s="23" t="s">
        <v>374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25" t="s">
        <v>17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4" t="s">
        <v>375</v>
      </c>
      <c r="D132" s="70" t="s">
        <v>376</v>
      </c>
      <c r="E132" s="70" t="s">
        <v>374</v>
      </c>
      <c r="F132" s="71">
        <v>35.95</v>
      </c>
      <c r="G132" s="72">
        <v>36.0</v>
      </c>
      <c r="H132" s="54">
        <v>36.0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69" t="s">
        <v>377</v>
      </c>
      <c r="D133" s="70" t="s">
        <v>378</v>
      </c>
      <c r="E133" s="70" t="s">
        <v>379</v>
      </c>
      <c r="F133" s="71">
        <v>45.95</v>
      </c>
      <c r="G133" s="72">
        <v>58.65</v>
      </c>
      <c r="H133" s="52">
        <v>58.65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6" t="s">
        <v>17</v>
      </c>
      <c r="D134" s="67" t="s">
        <v>17</v>
      </c>
      <c r="E134" s="23" t="s">
        <v>380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4" t="s">
        <v>381</v>
      </c>
      <c r="D135" s="70" t="s">
        <v>382</v>
      </c>
      <c r="E135" s="70" t="s">
        <v>380</v>
      </c>
      <c r="F135" s="71">
        <v>35.95</v>
      </c>
      <c r="G135" s="72">
        <v>59.95</v>
      </c>
      <c r="H135" s="54">
        <v>55.0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4" t="s">
        <v>383</v>
      </c>
      <c r="D136" s="70" t="s">
        <v>384</v>
      </c>
      <c r="E136" s="70" t="s">
        <v>385</v>
      </c>
      <c r="F136" s="71">
        <v>45.95</v>
      </c>
      <c r="G136" s="72">
        <v>69.95</v>
      </c>
      <c r="H136" s="54">
        <v>69.95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66" t="s">
        <v>17</v>
      </c>
      <c r="D137" s="67" t="s">
        <v>17</v>
      </c>
      <c r="E137" s="23" t="s">
        <v>386</v>
      </c>
      <c r="F137" s="68" t="s">
        <v>17</v>
      </c>
      <c r="G137" s="68" t="s">
        <v>17</v>
      </c>
      <c r="H137" s="25" t="s">
        <v>17</v>
      </c>
      <c r="I137" s="66" t="s">
        <v>17</v>
      </c>
      <c r="J137" s="67" t="s">
        <v>17</v>
      </c>
      <c r="K137" s="67" t="s">
        <v>17</v>
      </c>
      <c r="L137" s="68" t="s">
        <v>17</v>
      </c>
      <c r="M137" s="68" t="s">
        <v>17</v>
      </c>
      <c r="N137" s="25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387</v>
      </c>
      <c r="D138" s="70" t="s">
        <v>388</v>
      </c>
      <c r="E138" s="70" t="s">
        <v>389</v>
      </c>
      <c r="F138" s="71">
        <v>19.99</v>
      </c>
      <c r="G138" s="72">
        <v>24.99</v>
      </c>
      <c r="H138" s="52">
        <v>34.95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390</v>
      </c>
      <c r="D139" s="70" t="s">
        <v>391</v>
      </c>
      <c r="E139" s="70" t="s">
        <v>392</v>
      </c>
      <c r="F139" s="71">
        <v>39.95</v>
      </c>
      <c r="G139" s="72">
        <v>49.95</v>
      </c>
      <c r="H139" s="52">
        <v>59.99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393</v>
      </c>
      <c r="D140" s="70" t="s">
        <v>394</v>
      </c>
      <c r="E140" s="70" t="s">
        <v>395</v>
      </c>
      <c r="F140" s="71">
        <v>79.9</v>
      </c>
      <c r="G140" s="72">
        <v>99.9</v>
      </c>
      <c r="H140" s="52">
        <v>124.95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3" t="s">
        <v>396</v>
      </c>
      <c r="D141" s="70" t="s">
        <v>397</v>
      </c>
      <c r="E141" s="70" t="s">
        <v>398</v>
      </c>
      <c r="F141" s="71">
        <v>49.95</v>
      </c>
      <c r="G141" s="72">
        <v>59.95</v>
      </c>
      <c r="H141" s="52">
        <v>69.95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6" t="s">
        <v>17</v>
      </c>
      <c r="D142" s="67" t="s">
        <v>17</v>
      </c>
      <c r="E142" s="23" t="s">
        <v>399</v>
      </c>
      <c r="F142" s="68" t="s">
        <v>17</v>
      </c>
      <c r="G142" s="68" t="s">
        <v>17</v>
      </c>
      <c r="H142" s="25" t="s">
        <v>17</v>
      </c>
      <c r="I142" s="66" t="s">
        <v>17</v>
      </c>
      <c r="J142" s="67" t="s">
        <v>17</v>
      </c>
      <c r="K142" s="67" t="s">
        <v>17</v>
      </c>
      <c r="L142" s="68" t="s">
        <v>17</v>
      </c>
      <c r="M142" s="68" t="s">
        <v>17</v>
      </c>
      <c r="N142" s="25" t="s">
        <v>17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3" t="s">
        <v>400</v>
      </c>
      <c r="D143" s="70" t="s">
        <v>401</v>
      </c>
      <c r="E143" s="70" t="s">
        <v>399</v>
      </c>
      <c r="F143" s="71">
        <v>29.95</v>
      </c>
      <c r="G143" s="72">
        <v>39.95</v>
      </c>
      <c r="H143" s="52">
        <v>29.95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66" t="s">
        <v>17</v>
      </c>
      <c r="D144" s="67" t="s">
        <v>17</v>
      </c>
      <c r="E144" s="23" t="s">
        <v>402</v>
      </c>
      <c r="F144" s="68" t="s">
        <v>17</v>
      </c>
      <c r="G144" s="68" t="s">
        <v>17</v>
      </c>
      <c r="H144" s="25" t="s">
        <v>17</v>
      </c>
      <c r="I144" s="66" t="s">
        <v>17</v>
      </c>
      <c r="J144" s="67" t="s">
        <v>17</v>
      </c>
      <c r="K144" s="67" t="s">
        <v>17</v>
      </c>
      <c r="L144" s="68" t="s">
        <v>17</v>
      </c>
      <c r="M144" s="68" t="s">
        <v>17</v>
      </c>
      <c r="N144" s="25" t="s">
        <v>17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69" t="s">
        <v>403</v>
      </c>
      <c r="D145" s="70" t="s">
        <v>404</v>
      </c>
      <c r="E145" s="70" t="s">
        <v>405</v>
      </c>
      <c r="F145" s="71">
        <v>69.95</v>
      </c>
      <c r="G145" s="72">
        <v>69.95</v>
      </c>
      <c r="H145" s="52">
        <v>69.95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66" t="s">
        <v>17</v>
      </c>
      <c r="D146" s="67" t="s">
        <v>17</v>
      </c>
      <c r="E146" s="23" t="s">
        <v>406</v>
      </c>
      <c r="F146" s="68" t="s">
        <v>17</v>
      </c>
      <c r="G146" s="68" t="s">
        <v>17</v>
      </c>
      <c r="H146" s="25" t="s">
        <v>17</v>
      </c>
      <c r="I146" s="66" t="s">
        <v>17</v>
      </c>
      <c r="J146" s="67" t="s">
        <v>17</v>
      </c>
      <c r="K146" s="67" t="s">
        <v>17</v>
      </c>
      <c r="L146" s="68" t="s">
        <v>17</v>
      </c>
      <c r="M146" s="68" t="s">
        <v>17</v>
      </c>
      <c r="N146" s="25" t="s">
        <v>17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3" t="s">
        <v>407</v>
      </c>
      <c r="D147" s="70" t="s">
        <v>408</v>
      </c>
      <c r="E147" s="70" t="s">
        <v>409</v>
      </c>
      <c r="F147" s="71">
        <v>79.9</v>
      </c>
      <c r="G147" s="72">
        <v>79.9</v>
      </c>
      <c r="H147" s="52">
        <v>109.9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4" t="s">
        <v>410</v>
      </c>
      <c r="D148" s="70" t="s">
        <v>411</v>
      </c>
      <c r="E148" s="70" t="s">
        <v>412</v>
      </c>
      <c r="F148" s="71">
        <v>39.95</v>
      </c>
      <c r="G148" s="72">
        <v>49.95</v>
      </c>
      <c r="H148" s="52">
        <v>59.95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5" t="s">
        <v>413</v>
      </c>
      <c r="D149" s="70" t="s">
        <v>414</v>
      </c>
      <c r="E149" s="70" t="s">
        <v>415</v>
      </c>
      <c r="F149" s="71">
        <v>99.9</v>
      </c>
      <c r="G149" s="72">
        <v>99.9</v>
      </c>
      <c r="H149" s="52">
        <v>129.95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38"/>
      <c r="C150" s="39" t="s">
        <v>416</v>
      </c>
      <c r="D150" s="15" t="s">
        <v>417</v>
      </c>
      <c r="E150" s="15" t="s">
        <v>418</v>
      </c>
      <c r="F150" s="58">
        <v>49.95</v>
      </c>
      <c r="G150" s="56">
        <v>59.95</v>
      </c>
      <c r="H150" s="52">
        <v>69.95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</sheetData>
  <mergeCells count="8">
    <mergeCell ref="A1:N2"/>
    <mergeCell ref="A3:H3"/>
    <mergeCell ref="A5:A10"/>
    <mergeCell ref="B5:B33"/>
    <mergeCell ref="B34:B56"/>
    <mergeCell ref="B57:B78"/>
    <mergeCell ref="B79:B123"/>
    <mergeCell ref="B124:B1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11.5"/>
    <col customWidth="1" min="9" max="9" width="15.38"/>
    <col customWidth="1" min="10" max="10" width="14.75"/>
    <col customWidth="1" min="11" max="11" width="17.0"/>
    <col customWidth="1" min="12" max="12" width="17.25"/>
    <col customWidth="1" min="14" max="14" width="30.13"/>
  </cols>
  <sheetData>
    <row r="1">
      <c r="A1" s="98" t="s">
        <v>479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29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99" t="s">
        <v>481</v>
      </c>
      <c r="J3" s="85" t="s">
        <v>482</v>
      </c>
      <c r="K3" s="85" t="s">
        <v>483</v>
      </c>
      <c r="L3" s="85" t="s">
        <v>484</v>
      </c>
      <c r="M3" s="15"/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485</v>
      </c>
      <c r="J4" s="15" t="s">
        <v>486</v>
      </c>
      <c r="K4" s="15" t="s">
        <v>487</v>
      </c>
      <c r="L4" s="15" t="s">
        <v>488</v>
      </c>
      <c r="M4" s="15" t="s">
        <v>489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490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399.0</v>
      </c>
      <c r="I6" s="32"/>
      <c r="J6" s="100" t="s">
        <v>491</v>
      </c>
      <c r="K6" s="32"/>
      <c r="L6" s="57" t="s">
        <v>492</v>
      </c>
      <c r="M6" s="32"/>
      <c r="N6" s="15" t="s">
        <v>493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389.0</v>
      </c>
      <c r="I7" s="32"/>
      <c r="J7" s="100" t="s">
        <v>494</v>
      </c>
      <c r="K7" s="32"/>
      <c r="L7" s="57" t="s">
        <v>495</v>
      </c>
      <c r="M7" s="32"/>
      <c r="N7" s="15" t="s">
        <v>493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439.0</v>
      </c>
      <c r="I8" s="32"/>
      <c r="J8" s="100" t="s">
        <v>496</v>
      </c>
      <c r="K8" s="15"/>
      <c r="L8" s="57" t="s">
        <v>497</v>
      </c>
      <c r="M8" s="32"/>
      <c r="N8" s="15" t="s">
        <v>493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32"/>
      <c r="J9" s="40"/>
      <c r="K9" s="15"/>
      <c r="L9" s="15"/>
      <c r="M9" s="32"/>
      <c r="N9" s="15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519.0</v>
      </c>
      <c r="I10" s="32"/>
      <c r="J10" s="100" t="s">
        <v>498</v>
      </c>
      <c r="K10" s="15"/>
      <c r="L10" s="57" t="s">
        <v>499</v>
      </c>
      <c r="M10" s="32"/>
      <c r="N10" s="15" t="s">
        <v>493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569.0</v>
      </c>
      <c r="I11" s="32"/>
      <c r="J11" s="100" t="s">
        <v>500</v>
      </c>
      <c r="K11" s="15"/>
      <c r="L11" s="57" t="s">
        <v>501</v>
      </c>
      <c r="M11" s="32"/>
      <c r="N11" s="15" t="s">
        <v>493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57" t="s">
        <v>429</v>
      </c>
      <c r="J12" s="100" t="s">
        <v>502</v>
      </c>
      <c r="K12" s="57" t="s">
        <v>429</v>
      </c>
      <c r="L12" s="57" t="s">
        <v>503</v>
      </c>
      <c r="M12" s="57" t="s">
        <v>429</v>
      </c>
      <c r="N12" s="15" t="s">
        <v>493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57" t="s">
        <v>429</v>
      </c>
      <c r="J13" s="100" t="s">
        <v>504</v>
      </c>
      <c r="K13" s="57" t="s">
        <v>429</v>
      </c>
      <c r="L13" s="57" t="s">
        <v>505</v>
      </c>
      <c r="M13" s="57" t="s">
        <v>429</v>
      </c>
      <c r="N13" s="15" t="s">
        <v>493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25" t="s">
        <v>17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89.95</v>
      </c>
      <c r="I15" s="32"/>
      <c r="J15" s="40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124.95</v>
      </c>
      <c r="I16" s="32"/>
      <c r="J16" s="40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54.95</v>
      </c>
      <c r="I17" s="32"/>
      <c r="J17" s="40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24.95</v>
      </c>
      <c r="I18" s="32"/>
      <c r="J18" s="40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54.95</v>
      </c>
      <c r="I19" s="32"/>
      <c r="J19" s="40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40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69.9</v>
      </c>
      <c r="I21" s="32"/>
      <c r="J21" s="40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24.95</v>
      </c>
      <c r="I22" s="32"/>
      <c r="J22" s="40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69.95</v>
      </c>
      <c r="I23" s="32"/>
      <c r="J23" s="40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40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134.92</v>
      </c>
      <c r="I25" s="32"/>
      <c r="J25" s="40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44.95</v>
      </c>
      <c r="I26" s="32"/>
      <c r="J26" s="40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134.95</v>
      </c>
      <c r="I27" s="32"/>
      <c r="J27" s="40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40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40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40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25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449.0</v>
      </c>
      <c r="I35" s="32"/>
      <c r="J35" s="44"/>
      <c r="K35" s="44"/>
      <c r="L35" s="101" t="s">
        <v>506</v>
      </c>
      <c r="M35" s="32"/>
      <c r="N35" s="65" t="s">
        <v>507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469.0</v>
      </c>
      <c r="I36" s="32"/>
      <c r="J36" s="44"/>
      <c r="K36" s="44"/>
      <c r="L36" s="101" t="s">
        <v>506</v>
      </c>
      <c r="M36" s="32"/>
      <c r="N36" s="2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464.0</v>
      </c>
      <c r="I37" s="32"/>
      <c r="J37" s="44"/>
      <c r="K37" s="44"/>
      <c r="L37" s="101" t="s">
        <v>506</v>
      </c>
      <c r="M37" s="32"/>
      <c r="N37" s="2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499.0</v>
      </c>
      <c r="I38" s="32"/>
      <c r="J38" s="44"/>
      <c r="K38" s="44"/>
      <c r="L38" s="101" t="s">
        <v>506</v>
      </c>
      <c r="M38" s="32"/>
      <c r="N38" s="2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519.0</v>
      </c>
      <c r="I39" s="32"/>
      <c r="J39" s="44"/>
      <c r="K39" s="44"/>
      <c r="L39" s="101" t="s">
        <v>506</v>
      </c>
      <c r="M39" s="32"/>
      <c r="N39" s="2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359.0</v>
      </c>
      <c r="I40" s="32"/>
      <c r="J40" s="44"/>
      <c r="K40" s="44"/>
      <c r="L40" s="101"/>
      <c r="M40" s="32"/>
      <c r="N40" s="2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379.0</v>
      </c>
      <c r="I41" s="32"/>
      <c r="J41" s="44"/>
      <c r="K41" s="44"/>
      <c r="L41" s="101"/>
      <c r="M41" s="32"/>
      <c r="N41" s="2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409.0</v>
      </c>
      <c r="I42" s="32"/>
      <c r="J42" s="44"/>
      <c r="K42" s="44"/>
      <c r="L42" s="101"/>
      <c r="M42" s="32"/>
      <c r="N42" s="2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95" t="s">
        <v>466</v>
      </c>
      <c r="D43" s="96" t="s">
        <v>467</v>
      </c>
      <c r="E43" s="15" t="s">
        <v>468</v>
      </c>
      <c r="F43" s="35"/>
      <c r="G43" s="47"/>
      <c r="H43" s="31">
        <v>429.0</v>
      </c>
      <c r="I43" s="32"/>
      <c r="J43" s="44"/>
      <c r="K43" s="44"/>
      <c r="L43" s="101"/>
      <c r="M43" s="32"/>
      <c r="N43" s="2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369.0</v>
      </c>
      <c r="I44" s="32"/>
      <c r="J44" s="44"/>
      <c r="K44" s="44"/>
      <c r="L44" s="101" t="s">
        <v>508</v>
      </c>
      <c r="M44" s="32"/>
      <c r="N44" s="2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8">
        <v>379.0</v>
      </c>
      <c r="H45" s="31">
        <v>389.0</v>
      </c>
      <c r="I45" s="32"/>
      <c r="J45" s="44"/>
      <c r="K45" s="44"/>
      <c r="L45" s="101" t="s">
        <v>508</v>
      </c>
      <c r="M45" s="32"/>
      <c r="N45" s="3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25" t="s">
        <v>17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128</v>
      </c>
      <c r="D47" s="49" t="s">
        <v>129</v>
      </c>
      <c r="E47" s="32" t="s">
        <v>130</v>
      </c>
      <c r="F47" s="50">
        <f t="shared" ref="F47:F56" si="6">H47</f>
        <v>59.95</v>
      </c>
      <c r="G47" s="51">
        <f t="shared" ref="G47:G56" si="7">H47</f>
        <v>59.95</v>
      </c>
      <c r="H47" s="52">
        <v>59.95</v>
      </c>
      <c r="I47" s="32"/>
      <c r="J47" s="44"/>
      <c r="K47" s="44"/>
      <c r="L47" s="44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131</v>
      </c>
      <c r="D48" s="15" t="s">
        <v>132</v>
      </c>
      <c r="E48" s="32" t="s">
        <v>133</v>
      </c>
      <c r="F48" s="50">
        <f t="shared" si="6"/>
        <v>59.95</v>
      </c>
      <c r="G48" s="51">
        <f t="shared" si="7"/>
        <v>59.95</v>
      </c>
      <c r="H48" s="52">
        <v>59.95</v>
      </c>
      <c r="I48" s="32"/>
      <c r="J48" s="44"/>
      <c r="K48" s="44"/>
      <c r="L48" s="44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134</v>
      </c>
      <c r="D49" s="15" t="s">
        <v>135</v>
      </c>
      <c r="E49" s="32" t="s">
        <v>136</v>
      </c>
      <c r="F49" s="50">
        <f t="shared" si="6"/>
        <v>33.95</v>
      </c>
      <c r="G49" s="51">
        <f t="shared" si="7"/>
        <v>33.95</v>
      </c>
      <c r="H49" s="52">
        <v>33.95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137</v>
      </c>
      <c r="D50" s="15" t="s">
        <v>138</v>
      </c>
      <c r="E50" s="32" t="s">
        <v>139</v>
      </c>
      <c r="F50" s="50">
        <f t="shared" si="6"/>
        <v>42.95</v>
      </c>
      <c r="G50" s="51">
        <f t="shared" si="7"/>
        <v>42.95</v>
      </c>
      <c r="H50" s="52">
        <v>42.95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140</v>
      </c>
      <c r="D51" s="15" t="s">
        <v>141</v>
      </c>
      <c r="E51" s="32" t="s">
        <v>142</v>
      </c>
      <c r="F51" s="50">
        <f t="shared" si="6"/>
        <v>79.95</v>
      </c>
      <c r="G51" s="51">
        <f t="shared" si="7"/>
        <v>79.95</v>
      </c>
      <c r="H51" s="52">
        <v>79.95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143</v>
      </c>
      <c r="D52" s="15" t="s">
        <v>144</v>
      </c>
      <c r="E52" s="15" t="s">
        <v>145</v>
      </c>
      <c r="F52" s="50">
        <f t="shared" si="6"/>
        <v>42.95</v>
      </c>
      <c r="G52" s="51">
        <f t="shared" si="7"/>
        <v>42.95</v>
      </c>
      <c r="H52" s="52">
        <v>42.95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146</v>
      </c>
      <c r="D53" s="15" t="s">
        <v>147</v>
      </c>
      <c r="E53" s="15" t="s">
        <v>148</v>
      </c>
      <c r="F53" s="50">
        <f t="shared" si="6"/>
        <v>59.95</v>
      </c>
      <c r="G53" s="51">
        <f t="shared" si="7"/>
        <v>59.95</v>
      </c>
      <c r="H53" s="52">
        <v>59.95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149</v>
      </c>
      <c r="D54" s="15" t="s">
        <v>150</v>
      </c>
      <c r="E54" s="15" t="s">
        <v>151</v>
      </c>
      <c r="F54" s="50">
        <f t="shared" si="6"/>
        <v>33.95</v>
      </c>
      <c r="G54" s="51">
        <f t="shared" si="7"/>
        <v>33.95</v>
      </c>
      <c r="H54" s="52">
        <v>33.95</v>
      </c>
      <c r="I54" s="32"/>
      <c r="J54" s="32"/>
      <c r="K54" s="32"/>
      <c r="L54" s="32"/>
      <c r="M54" s="32"/>
      <c r="N54" s="32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152</v>
      </c>
      <c r="D55" s="53" t="s">
        <v>153</v>
      </c>
      <c r="E55" s="15" t="s">
        <v>154</v>
      </c>
      <c r="F55" s="50">
        <f t="shared" si="6"/>
        <v>80</v>
      </c>
      <c r="G55" s="51">
        <f t="shared" si="7"/>
        <v>80</v>
      </c>
      <c r="H55" s="54">
        <v>80.0</v>
      </c>
      <c r="I55" s="32"/>
      <c r="J55" s="32"/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38"/>
      <c r="C56" s="28" t="s">
        <v>155</v>
      </c>
      <c r="D56" s="53" t="s">
        <v>156</v>
      </c>
      <c r="E56" s="15" t="s">
        <v>157</v>
      </c>
      <c r="F56" s="50">
        <f t="shared" si="6"/>
        <v>29.95</v>
      </c>
      <c r="G56" s="51">
        <f t="shared" si="7"/>
        <v>29.95</v>
      </c>
      <c r="H56" s="52">
        <v>29.95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0" t="s">
        <v>158</v>
      </c>
      <c r="C57" s="21" t="s">
        <v>17</v>
      </c>
      <c r="D57" s="22" t="s">
        <v>17</v>
      </c>
      <c r="E57" s="23" t="s">
        <v>159</v>
      </c>
      <c r="F57" s="24" t="s">
        <v>17</v>
      </c>
      <c r="G57" s="24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25" t="s">
        <v>17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55" t="s">
        <v>160</v>
      </c>
      <c r="D58" s="15" t="s">
        <v>161</v>
      </c>
      <c r="E58" s="15" t="s">
        <v>162</v>
      </c>
      <c r="F58" s="50">
        <f t="shared" ref="F58:F60" si="8">H58*80%</f>
        <v>208</v>
      </c>
      <c r="G58" s="56">
        <v>260.0</v>
      </c>
      <c r="H58" s="52">
        <v>260.0</v>
      </c>
      <c r="I58" s="32"/>
      <c r="J58" s="32"/>
      <c r="K58" s="32"/>
      <c r="L58" s="32"/>
      <c r="M58" s="32"/>
      <c r="N58" s="32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164</v>
      </c>
      <c r="D59" s="15" t="s">
        <v>165</v>
      </c>
      <c r="E59" s="15" t="s">
        <v>166</v>
      </c>
      <c r="F59" s="50">
        <f t="shared" si="8"/>
        <v>208</v>
      </c>
      <c r="G59" s="56">
        <v>260.0</v>
      </c>
      <c r="H59" s="52">
        <v>260.0</v>
      </c>
      <c r="I59" s="32"/>
      <c r="J59" s="32"/>
      <c r="K59" s="32"/>
      <c r="L59" s="32"/>
      <c r="M59" s="32"/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167</v>
      </c>
      <c r="D60" s="15" t="s">
        <v>168</v>
      </c>
      <c r="E60" s="15" t="s">
        <v>169</v>
      </c>
      <c r="F60" s="50">
        <f t="shared" si="8"/>
        <v>208</v>
      </c>
      <c r="G60" s="56">
        <v>260.0</v>
      </c>
      <c r="H60" s="52">
        <v>260.0</v>
      </c>
      <c r="I60" s="32"/>
      <c r="J60" s="32"/>
      <c r="K60" s="32"/>
      <c r="L60" s="32"/>
      <c r="M60" s="32"/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21" t="s">
        <v>17</v>
      </c>
      <c r="D61" s="22" t="s">
        <v>17</v>
      </c>
      <c r="E61" s="23" t="s">
        <v>170</v>
      </c>
      <c r="F61" s="24" t="s">
        <v>17</v>
      </c>
      <c r="G61" s="24" t="s">
        <v>17</v>
      </c>
      <c r="H61" s="25" t="s">
        <v>17</v>
      </c>
      <c r="I61" s="25" t="s">
        <v>17</v>
      </c>
      <c r="J61" s="25" t="s">
        <v>17</v>
      </c>
      <c r="K61" s="25" t="s">
        <v>17</v>
      </c>
      <c r="L61" s="25" t="s">
        <v>17</v>
      </c>
      <c r="M61" s="25" t="s">
        <v>17</v>
      </c>
      <c r="N61" s="25" t="s">
        <v>17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171</v>
      </c>
      <c r="D62" s="15" t="s">
        <v>172</v>
      </c>
      <c r="E62" s="15" t="s">
        <v>173</v>
      </c>
      <c r="F62" s="50">
        <f t="shared" ref="F62:F68" si="9">H62*70%</f>
        <v>51.1</v>
      </c>
      <c r="G62" s="56">
        <v>73.0</v>
      </c>
      <c r="H62" s="52">
        <v>73.0</v>
      </c>
      <c r="I62" s="32"/>
      <c r="J62" s="32"/>
      <c r="K62" s="32"/>
      <c r="L62" s="32"/>
      <c r="M62" s="32"/>
      <c r="N62" s="32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176</v>
      </c>
      <c r="D63" s="15" t="s">
        <v>177</v>
      </c>
      <c r="E63" s="15" t="s">
        <v>178</v>
      </c>
      <c r="F63" s="50">
        <f t="shared" si="9"/>
        <v>51.1</v>
      </c>
      <c r="G63" s="56">
        <v>73.0</v>
      </c>
      <c r="H63" s="52">
        <v>73.0</v>
      </c>
      <c r="I63" s="32"/>
      <c r="J63" s="32"/>
      <c r="K63" s="32"/>
      <c r="L63" s="32"/>
      <c r="M63" s="32"/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179</v>
      </c>
      <c r="D64" s="15" t="s">
        <v>180</v>
      </c>
      <c r="E64" s="15" t="s">
        <v>181</v>
      </c>
      <c r="F64" s="50">
        <f t="shared" si="9"/>
        <v>57.365</v>
      </c>
      <c r="G64" s="56">
        <v>81.95</v>
      </c>
      <c r="H64" s="52">
        <v>81.95</v>
      </c>
      <c r="I64" s="32"/>
      <c r="J64" s="32"/>
      <c r="K64" s="32"/>
      <c r="L64" s="32"/>
      <c r="M64" s="32"/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182</v>
      </c>
      <c r="D65" s="15" t="s">
        <v>183</v>
      </c>
      <c r="E65" s="15" t="s">
        <v>184</v>
      </c>
      <c r="F65" s="50">
        <f t="shared" si="9"/>
        <v>60.865</v>
      </c>
      <c r="G65" s="56">
        <v>86.95</v>
      </c>
      <c r="H65" s="52">
        <v>86.95</v>
      </c>
      <c r="I65" s="32"/>
      <c r="J65" s="32"/>
      <c r="K65" s="32"/>
      <c r="L65" s="32"/>
      <c r="M65" s="32"/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185</v>
      </c>
      <c r="D66" s="15" t="s">
        <v>186</v>
      </c>
      <c r="E66" s="15" t="s">
        <v>187</v>
      </c>
      <c r="F66" s="50">
        <f t="shared" si="9"/>
        <v>67.165</v>
      </c>
      <c r="G66" s="56">
        <v>95.95</v>
      </c>
      <c r="H66" s="52">
        <v>95.95</v>
      </c>
      <c r="I66" s="32"/>
      <c r="J66" s="32"/>
      <c r="K66" s="32"/>
      <c r="L66" s="32"/>
      <c r="M66" s="32"/>
      <c r="N66" s="32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188</v>
      </c>
      <c r="D67" s="15" t="s">
        <v>189</v>
      </c>
      <c r="E67" s="15" t="s">
        <v>190</v>
      </c>
      <c r="F67" s="50">
        <f t="shared" si="9"/>
        <v>74.865</v>
      </c>
      <c r="G67" s="56">
        <v>106.95</v>
      </c>
      <c r="H67" s="52">
        <v>106.95</v>
      </c>
      <c r="I67" s="32"/>
      <c r="J67" s="32"/>
      <c r="K67" s="32"/>
      <c r="L67" s="32"/>
      <c r="M67" s="32"/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39" t="s">
        <v>191</v>
      </c>
      <c r="D68" s="15" t="s">
        <v>192</v>
      </c>
      <c r="E68" s="15" t="s">
        <v>193</v>
      </c>
      <c r="F68" s="50">
        <f t="shared" si="9"/>
        <v>74.865</v>
      </c>
      <c r="G68" s="56">
        <v>106.95</v>
      </c>
      <c r="H68" s="52">
        <v>106.95</v>
      </c>
      <c r="I68" s="32"/>
      <c r="J68" s="32"/>
      <c r="K68" s="32"/>
      <c r="L68" s="32"/>
      <c r="M68" s="32"/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21" t="s">
        <v>17</v>
      </c>
      <c r="D69" s="22" t="s">
        <v>17</v>
      </c>
      <c r="E69" s="23" t="s">
        <v>194</v>
      </c>
      <c r="F69" s="24" t="s">
        <v>17</v>
      </c>
      <c r="G69" s="24" t="s">
        <v>17</v>
      </c>
      <c r="H69" s="25" t="s">
        <v>17</v>
      </c>
      <c r="I69" s="25" t="s">
        <v>17</v>
      </c>
      <c r="J69" s="25" t="s">
        <v>17</v>
      </c>
      <c r="K69" s="25" t="s">
        <v>17</v>
      </c>
      <c r="L69" s="25" t="s">
        <v>17</v>
      </c>
      <c r="M69" s="25" t="s">
        <v>17</v>
      </c>
      <c r="N69" s="25" t="s">
        <v>17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195</v>
      </c>
      <c r="D70" s="15" t="s">
        <v>196</v>
      </c>
      <c r="E70" s="15" t="s">
        <v>197</v>
      </c>
      <c r="F70" s="50">
        <f t="shared" ref="F70:F78" si="10">H70*70%</f>
        <v>18.2</v>
      </c>
      <c r="G70" s="56">
        <v>26.0</v>
      </c>
      <c r="H70" s="54">
        <v>26.0</v>
      </c>
      <c r="I70" s="32"/>
      <c r="J70" s="32"/>
      <c r="K70" s="32"/>
      <c r="L70" s="32"/>
      <c r="M70" s="32"/>
      <c r="N70" s="32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198</v>
      </c>
      <c r="D71" s="15" t="s">
        <v>199</v>
      </c>
      <c r="E71" s="15" t="s">
        <v>200</v>
      </c>
      <c r="F71" s="50">
        <f t="shared" si="10"/>
        <v>18.2</v>
      </c>
      <c r="G71" s="56">
        <v>26.0</v>
      </c>
      <c r="H71" s="54">
        <v>26.0</v>
      </c>
      <c r="I71" s="32"/>
      <c r="J71" s="32"/>
      <c r="K71" s="32"/>
      <c r="L71" s="32"/>
      <c r="M71" s="32"/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201</v>
      </c>
      <c r="D72" s="15" t="s">
        <v>202</v>
      </c>
      <c r="E72" s="15" t="s">
        <v>203</v>
      </c>
      <c r="F72" s="50">
        <f t="shared" si="10"/>
        <v>21</v>
      </c>
      <c r="G72" s="56">
        <v>30.0</v>
      </c>
      <c r="H72" s="54">
        <v>30.0</v>
      </c>
      <c r="I72" s="32"/>
      <c r="J72" s="32"/>
      <c r="K72" s="32"/>
      <c r="L72" s="32"/>
      <c r="M72" s="32"/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204</v>
      </c>
      <c r="D73" s="15" t="s">
        <v>205</v>
      </c>
      <c r="E73" s="15" t="s">
        <v>206</v>
      </c>
      <c r="F73" s="50">
        <f t="shared" si="10"/>
        <v>12.6</v>
      </c>
      <c r="G73" s="56">
        <v>18.0</v>
      </c>
      <c r="H73" s="52">
        <v>18.0</v>
      </c>
      <c r="I73" s="32"/>
      <c r="J73" s="32"/>
      <c r="K73" s="32"/>
      <c r="L73" s="32"/>
      <c r="M73" s="32"/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207</v>
      </c>
      <c r="D74" s="15" t="s">
        <v>208</v>
      </c>
      <c r="E74" s="15" t="s">
        <v>209</v>
      </c>
      <c r="F74" s="50">
        <f t="shared" si="10"/>
        <v>15.4</v>
      </c>
      <c r="G74" s="56">
        <v>22.0</v>
      </c>
      <c r="H74" s="54">
        <v>22.0</v>
      </c>
      <c r="I74" s="32"/>
      <c r="J74" s="32"/>
      <c r="K74" s="32"/>
      <c r="L74" s="32"/>
      <c r="M74" s="32"/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210</v>
      </c>
      <c r="D75" s="15" t="s">
        <v>211</v>
      </c>
      <c r="E75" s="15" t="s">
        <v>212</v>
      </c>
      <c r="F75" s="50">
        <f t="shared" si="10"/>
        <v>11.2</v>
      </c>
      <c r="G75" s="56">
        <v>16.0</v>
      </c>
      <c r="H75" s="52">
        <v>16.0</v>
      </c>
      <c r="I75" s="32"/>
      <c r="J75" s="32"/>
      <c r="K75" s="32"/>
      <c r="L75" s="32"/>
      <c r="M75" s="32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213</v>
      </c>
      <c r="D76" s="15" t="s">
        <v>214</v>
      </c>
      <c r="E76" s="15" t="s">
        <v>215</v>
      </c>
      <c r="F76" s="50">
        <f t="shared" si="10"/>
        <v>11.2</v>
      </c>
      <c r="G76" s="56">
        <v>16.0</v>
      </c>
      <c r="H76" s="52">
        <v>16.0</v>
      </c>
      <c r="I76" s="32"/>
      <c r="J76" s="32"/>
      <c r="K76" s="32"/>
      <c r="L76" s="32"/>
      <c r="M76" s="32"/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216</v>
      </c>
      <c r="D77" s="15" t="s">
        <v>217</v>
      </c>
      <c r="E77" s="15" t="s">
        <v>218</v>
      </c>
      <c r="F77" s="50">
        <f t="shared" si="10"/>
        <v>14.7</v>
      </c>
      <c r="G77" s="56">
        <v>21.0</v>
      </c>
      <c r="H77" s="54">
        <v>21.0</v>
      </c>
      <c r="I77" s="32"/>
      <c r="J77" s="32"/>
      <c r="K77" s="32"/>
      <c r="L77" s="32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38"/>
      <c r="C78" s="55" t="s">
        <v>219</v>
      </c>
      <c r="D78" s="49" t="s">
        <v>220</v>
      </c>
      <c r="E78" s="15" t="s">
        <v>221</v>
      </c>
      <c r="F78" s="50">
        <f t="shared" si="10"/>
        <v>15.4</v>
      </c>
      <c r="G78" s="56">
        <v>22.0</v>
      </c>
      <c r="H78" s="54">
        <v>22.0</v>
      </c>
      <c r="I78" s="32"/>
      <c r="J78" s="32"/>
      <c r="K78" s="32"/>
      <c r="L78" s="32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0" t="s">
        <v>222</v>
      </c>
      <c r="C79" s="21" t="s">
        <v>17</v>
      </c>
      <c r="D79" s="22" t="s">
        <v>17</v>
      </c>
      <c r="E79" s="23" t="s">
        <v>223</v>
      </c>
      <c r="F79" s="24" t="s">
        <v>17</v>
      </c>
      <c r="G79" s="24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  <c r="N79" s="25" t="s">
        <v>17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224</v>
      </c>
      <c r="D80" s="15" t="s">
        <v>225</v>
      </c>
      <c r="E80" s="15" t="s">
        <v>226</v>
      </c>
      <c r="F80" s="58">
        <v>45.49</v>
      </c>
      <c r="G80" s="56">
        <v>69.95</v>
      </c>
      <c r="H80" s="52">
        <v>69.95</v>
      </c>
      <c r="I80" s="32"/>
      <c r="J80" s="32"/>
      <c r="K80" s="32"/>
      <c r="L80" s="32"/>
      <c r="M80" s="32"/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227</v>
      </c>
      <c r="D81" s="15" t="s">
        <v>228</v>
      </c>
      <c r="E81" s="15" t="s">
        <v>229</v>
      </c>
      <c r="F81" s="58">
        <v>58.84</v>
      </c>
      <c r="G81" s="56">
        <v>79.95</v>
      </c>
      <c r="H81" s="52">
        <v>79.95</v>
      </c>
      <c r="I81" s="32"/>
      <c r="J81" s="32"/>
      <c r="K81" s="32"/>
      <c r="L81" s="32"/>
      <c r="M81" s="32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230</v>
      </c>
      <c r="D82" s="15" t="s">
        <v>231</v>
      </c>
      <c r="E82" s="15" t="s">
        <v>232</v>
      </c>
      <c r="F82" s="58">
        <v>92.41</v>
      </c>
      <c r="G82" s="56">
        <v>114.95</v>
      </c>
      <c r="H82" s="54">
        <v>119.0</v>
      </c>
      <c r="I82" s="32"/>
      <c r="J82" s="32"/>
      <c r="K82" s="32"/>
      <c r="L82" s="32"/>
      <c r="M82" s="32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233</v>
      </c>
      <c r="D83" s="15" t="s">
        <v>234</v>
      </c>
      <c r="E83" s="15" t="s">
        <v>235</v>
      </c>
      <c r="F83" s="58">
        <v>17.99</v>
      </c>
      <c r="G83" s="56">
        <v>24.95</v>
      </c>
      <c r="H83" s="52">
        <v>24.95</v>
      </c>
      <c r="I83" s="32"/>
      <c r="J83" s="32"/>
      <c r="K83" s="32"/>
      <c r="L83" s="32"/>
      <c r="M83" s="32"/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236</v>
      </c>
      <c r="D84" s="15" t="s">
        <v>237</v>
      </c>
      <c r="E84" s="15" t="s">
        <v>238</v>
      </c>
      <c r="F84" s="58">
        <v>27.99</v>
      </c>
      <c r="G84" s="59">
        <v>32.95</v>
      </c>
      <c r="H84" s="52">
        <v>32.95</v>
      </c>
      <c r="I84" s="32"/>
      <c r="J84" s="32"/>
      <c r="K84" s="32"/>
      <c r="L84" s="32"/>
      <c r="M84" s="32"/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239</v>
      </c>
      <c r="D85" s="15" t="s">
        <v>240</v>
      </c>
      <c r="E85" s="15" t="s">
        <v>241</v>
      </c>
      <c r="F85" s="58">
        <v>19.95</v>
      </c>
      <c r="G85" s="59">
        <v>19.95</v>
      </c>
      <c r="H85" s="52">
        <v>19.95</v>
      </c>
      <c r="I85" s="32"/>
      <c r="J85" s="32"/>
      <c r="K85" s="32"/>
      <c r="L85" s="32"/>
      <c r="M85" s="32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242</v>
      </c>
      <c r="D86" s="15" t="s">
        <v>243</v>
      </c>
      <c r="E86" s="15" t="s">
        <v>244</v>
      </c>
      <c r="F86" s="58">
        <v>33.71</v>
      </c>
      <c r="G86" s="59">
        <v>44.95</v>
      </c>
      <c r="H86" s="52">
        <v>44.95</v>
      </c>
      <c r="I86" s="32"/>
      <c r="J86" s="32"/>
      <c r="K86" s="32"/>
      <c r="L86" s="32"/>
      <c r="M86" s="32"/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245</v>
      </c>
      <c r="D87" s="15" t="s">
        <v>246</v>
      </c>
      <c r="E87" s="15" t="s">
        <v>247</v>
      </c>
      <c r="F87" s="58">
        <v>33.71</v>
      </c>
      <c r="G87" s="59">
        <v>44.95</v>
      </c>
      <c r="H87" s="52">
        <v>44.95</v>
      </c>
      <c r="I87" s="32"/>
      <c r="J87" s="32"/>
      <c r="K87" s="32"/>
      <c r="L87" s="32"/>
      <c r="M87" s="32"/>
      <c r="N87" s="32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248</v>
      </c>
      <c r="D88" s="15" t="s">
        <v>249</v>
      </c>
      <c r="E88" s="15" t="s">
        <v>250</v>
      </c>
      <c r="F88" s="58">
        <v>104.99</v>
      </c>
      <c r="G88" s="59">
        <v>129.95</v>
      </c>
      <c r="H88" s="52">
        <v>129.95</v>
      </c>
      <c r="I88" s="32"/>
      <c r="J88" s="32"/>
      <c r="K88" s="32"/>
      <c r="L88" s="32"/>
      <c r="M88" s="32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251</v>
      </c>
      <c r="D89" s="15" t="s">
        <v>252</v>
      </c>
      <c r="E89" s="15" t="s">
        <v>253</v>
      </c>
      <c r="F89" s="58">
        <v>21.24</v>
      </c>
      <c r="G89" s="59">
        <v>24.95</v>
      </c>
      <c r="H89" s="52">
        <v>24.95</v>
      </c>
      <c r="I89" s="32"/>
      <c r="J89" s="32"/>
      <c r="K89" s="32"/>
      <c r="L89" s="32"/>
      <c r="M89" s="32"/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21" t="s">
        <v>17</v>
      </c>
      <c r="D90" s="22" t="s">
        <v>17</v>
      </c>
      <c r="E90" s="23" t="s">
        <v>254</v>
      </c>
      <c r="F90" s="24" t="s">
        <v>17</v>
      </c>
      <c r="G90" s="24" t="s">
        <v>17</v>
      </c>
      <c r="H90" s="25" t="s">
        <v>17</v>
      </c>
      <c r="I90" s="25" t="s">
        <v>17</v>
      </c>
      <c r="J90" s="25" t="s">
        <v>17</v>
      </c>
      <c r="K90" s="25" t="s">
        <v>17</v>
      </c>
      <c r="L90" s="25" t="s">
        <v>17</v>
      </c>
      <c r="M90" s="25" t="s">
        <v>17</v>
      </c>
      <c r="N90" s="25" t="s">
        <v>17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255</v>
      </c>
      <c r="D91" s="15" t="s">
        <v>256</v>
      </c>
      <c r="E91" s="15" t="s">
        <v>257</v>
      </c>
      <c r="F91" s="58">
        <v>84.4</v>
      </c>
      <c r="G91" s="59">
        <v>99.95</v>
      </c>
      <c r="H91" s="52">
        <v>99.95</v>
      </c>
      <c r="I91" s="32"/>
      <c r="J91" s="32"/>
      <c r="K91" s="32"/>
      <c r="L91" s="32"/>
      <c r="M91" s="32"/>
      <c r="N91" s="32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258</v>
      </c>
      <c r="D92" s="15" t="s">
        <v>259</v>
      </c>
      <c r="E92" s="15" t="s">
        <v>260</v>
      </c>
      <c r="F92" s="58">
        <v>126.82</v>
      </c>
      <c r="G92" s="59">
        <v>163.95</v>
      </c>
      <c r="H92" s="52">
        <v>163.95</v>
      </c>
      <c r="I92" s="32"/>
      <c r="J92" s="32"/>
      <c r="K92" s="32"/>
      <c r="L92" s="32"/>
      <c r="M92" s="32"/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261</v>
      </c>
      <c r="D93" s="15" t="s">
        <v>262</v>
      </c>
      <c r="E93" s="15" t="s">
        <v>263</v>
      </c>
      <c r="F93" s="58">
        <v>24.95</v>
      </c>
      <c r="G93" s="59">
        <v>24.95</v>
      </c>
      <c r="H93" s="52">
        <v>24.95</v>
      </c>
      <c r="I93" s="32"/>
      <c r="J93" s="32"/>
      <c r="K93" s="32"/>
      <c r="L93" s="32"/>
      <c r="M93" s="32"/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21" t="s">
        <v>17</v>
      </c>
      <c r="D94" s="22" t="s">
        <v>17</v>
      </c>
      <c r="E94" s="23" t="s">
        <v>264</v>
      </c>
      <c r="F94" s="24" t="s">
        <v>17</v>
      </c>
      <c r="G94" s="24" t="s">
        <v>17</v>
      </c>
      <c r="H94" s="25" t="s">
        <v>17</v>
      </c>
      <c r="I94" s="25" t="s">
        <v>17</v>
      </c>
      <c r="J94" s="25" t="s">
        <v>17</v>
      </c>
      <c r="K94" s="25" t="s">
        <v>17</v>
      </c>
      <c r="L94" s="25" t="s">
        <v>17</v>
      </c>
      <c r="M94" s="25" t="s">
        <v>17</v>
      </c>
      <c r="N94" s="25" t="s">
        <v>17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265</v>
      </c>
      <c r="D95" s="15" t="s">
        <v>266</v>
      </c>
      <c r="E95" s="15" t="s">
        <v>267</v>
      </c>
      <c r="F95" s="58">
        <v>104.97</v>
      </c>
      <c r="G95" s="56">
        <v>199.95</v>
      </c>
      <c r="H95" s="52">
        <v>149.95</v>
      </c>
      <c r="I95" s="32"/>
      <c r="J95" s="32"/>
      <c r="K95" s="32"/>
      <c r="L95" s="32"/>
      <c r="M95" s="32"/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268</v>
      </c>
      <c r="D96" s="15" t="s">
        <v>269</v>
      </c>
      <c r="E96" s="15" t="s">
        <v>270</v>
      </c>
      <c r="F96" s="58">
        <v>136.5</v>
      </c>
      <c r="G96" s="56">
        <v>244.95</v>
      </c>
      <c r="H96" s="54">
        <v>195.0</v>
      </c>
      <c r="I96" s="32"/>
      <c r="J96" s="32"/>
      <c r="K96" s="32"/>
      <c r="L96" s="32"/>
      <c r="M96" s="32"/>
      <c r="N96" s="32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271</v>
      </c>
      <c r="D97" s="15" t="s">
        <v>272</v>
      </c>
      <c r="E97" s="15" t="s">
        <v>273</v>
      </c>
      <c r="F97" s="58">
        <v>19.95</v>
      </c>
      <c r="G97" s="56">
        <v>49.95</v>
      </c>
      <c r="H97" s="52">
        <v>29.95</v>
      </c>
      <c r="I97" s="32"/>
      <c r="J97" s="32"/>
      <c r="K97" s="32"/>
      <c r="L97" s="32"/>
      <c r="M97" s="32"/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274</v>
      </c>
      <c r="D98" s="15" t="s">
        <v>275</v>
      </c>
      <c r="E98" s="15" t="s">
        <v>276</v>
      </c>
      <c r="F98" s="58">
        <v>19.95</v>
      </c>
      <c r="G98" s="56">
        <v>29.95</v>
      </c>
      <c r="H98" s="52">
        <v>29.95</v>
      </c>
      <c r="I98" s="32"/>
      <c r="J98" s="32"/>
      <c r="K98" s="32"/>
      <c r="L98" s="32"/>
      <c r="M98" s="32"/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277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278</v>
      </c>
      <c r="D100" s="15" t="s">
        <v>279</v>
      </c>
      <c r="E100" s="15" t="s">
        <v>280</v>
      </c>
      <c r="F100" s="58">
        <v>52.61</v>
      </c>
      <c r="G100" s="59">
        <v>79.95</v>
      </c>
      <c r="H100" s="52">
        <v>79.95</v>
      </c>
      <c r="I100" s="32"/>
      <c r="J100" s="32"/>
      <c r="K100" s="32"/>
      <c r="L100" s="32"/>
      <c r="M100" s="32"/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281</v>
      </c>
      <c r="D101" s="15" t="s">
        <v>282</v>
      </c>
      <c r="E101" s="15" t="s">
        <v>283</v>
      </c>
      <c r="F101" s="58">
        <v>64.5</v>
      </c>
      <c r="G101" s="59">
        <v>129.0</v>
      </c>
      <c r="H101" s="52">
        <v>129.0</v>
      </c>
      <c r="I101" s="32"/>
      <c r="J101" s="32"/>
      <c r="K101" s="32"/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21" t="s">
        <v>17</v>
      </c>
      <c r="D102" s="22" t="s">
        <v>17</v>
      </c>
      <c r="E102" s="23" t="s">
        <v>284</v>
      </c>
      <c r="F102" s="24" t="s">
        <v>17</v>
      </c>
      <c r="G102" s="24" t="s">
        <v>17</v>
      </c>
      <c r="H102" s="25" t="s">
        <v>17</v>
      </c>
      <c r="I102" s="25" t="s">
        <v>17</v>
      </c>
      <c r="J102" s="25" t="s">
        <v>17</v>
      </c>
      <c r="K102" s="25" t="s">
        <v>17</v>
      </c>
      <c r="L102" s="25" t="s">
        <v>17</v>
      </c>
      <c r="M102" s="25" t="s">
        <v>17</v>
      </c>
      <c r="N102" s="25" t="s">
        <v>17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285</v>
      </c>
      <c r="D103" s="60" t="s">
        <v>286</v>
      </c>
      <c r="E103" s="15" t="s">
        <v>287</v>
      </c>
      <c r="F103" s="58">
        <v>34.68</v>
      </c>
      <c r="G103" s="59">
        <v>39.95</v>
      </c>
      <c r="H103" s="52">
        <v>39.95</v>
      </c>
      <c r="I103" s="57" t="s">
        <v>476</v>
      </c>
      <c r="J103" s="57" t="s">
        <v>476</v>
      </c>
      <c r="K103" s="32"/>
      <c r="L103" s="32"/>
      <c r="M103" s="32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288</v>
      </c>
      <c r="D104" s="60" t="s">
        <v>289</v>
      </c>
      <c r="E104" s="15" t="s">
        <v>290</v>
      </c>
      <c r="F104" s="58">
        <v>34.68</v>
      </c>
      <c r="G104" s="59">
        <v>39.95</v>
      </c>
      <c r="H104" s="52">
        <v>39.95</v>
      </c>
      <c r="I104" s="57" t="s">
        <v>476</v>
      </c>
      <c r="J104" s="57" t="s">
        <v>476</v>
      </c>
      <c r="K104" s="32"/>
      <c r="L104" s="32"/>
      <c r="M104" s="32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291</v>
      </c>
      <c r="D105" s="60" t="s">
        <v>292</v>
      </c>
      <c r="E105" s="15" t="s">
        <v>293</v>
      </c>
      <c r="F105" s="58">
        <v>34.68</v>
      </c>
      <c r="G105" s="59">
        <v>39.95</v>
      </c>
      <c r="H105" s="52">
        <v>39.95</v>
      </c>
      <c r="I105" s="57" t="s">
        <v>476</v>
      </c>
      <c r="J105" s="57" t="s">
        <v>476</v>
      </c>
      <c r="K105" s="32"/>
      <c r="L105" s="32"/>
      <c r="M105" s="32"/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294</v>
      </c>
      <c r="D106" s="61" t="s">
        <v>295</v>
      </c>
      <c r="E106" s="15" t="s">
        <v>296</v>
      </c>
      <c r="F106" s="58">
        <v>34.68</v>
      </c>
      <c r="G106" s="59">
        <v>39.95</v>
      </c>
      <c r="H106" s="52">
        <v>39.95</v>
      </c>
      <c r="I106" s="57" t="s">
        <v>476</v>
      </c>
      <c r="J106" s="57" t="s">
        <v>476</v>
      </c>
      <c r="K106" s="32"/>
      <c r="L106" s="32"/>
      <c r="M106" s="32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297</v>
      </c>
      <c r="D107" s="60" t="s">
        <v>298</v>
      </c>
      <c r="E107" s="15" t="s">
        <v>299</v>
      </c>
      <c r="F107" s="58">
        <v>34.68</v>
      </c>
      <c r="G107" s="59">
        <v>39.95</v>
      </c>
      <c r="H107" s="52">
        <v>39.95</v>
      </c>
      <c r="I107" s="57" t="s">
        <v>476</v>
      </c>
      <c r="J107" s="57" t="s">
        <v>476</v>
      </c>
      <c r="K107" s="32"/>
      <c r="L107" s="32"/>
      <c r="M107" s="32"/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300</v>
      </c>
      <c r="D108" s="60" t="s">
        <v>301</v>
      </c>
      <c r="E108" s="15" t="s">
        <v>302</v>
      </c>
      <c r="F108" s="58">
        <v>34.68</v>
      </c>
      <c r="G108" s="59">
        <v>39.95</v>
      </c>
      <c r="H108" s="52">
        <v>39.95</v>
      </c>
      <c r="I108" s="57" t="s">
        <v>476</v>
      </c>
      <c r="J108" s="57" t="s">
        <v>476</v>
      </c>
      <c r="K108" s="32"/>
      <c r="L108" s="32"/>
      <c r="M108" s="32"/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303</v>
      </c>
      <c r="D109" s="60" t="s">
        <v>304</v>
      </c>
      <c r="E109" s="15" t="s">
        <v>305</v>
      </c>
      <c r="F109" s="58">
        <v>34.68</v>
      </c>
      <c r="G109" s="59">
        <v>39.95</v>
      </c>
      <c r="H109" s="52">
        <v>39.95</v>
      </c>
      <c r="I109" s="57" t="s">
        <v>476</v>
      </c>
      <c r="J109" s="57" t="s">
        <v>476</v>
      </c>
      <c r="K109" s="32"/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306</v>
      </c>
      <c r="D110" s="62" t="s">
        <v>307</v>
      </c>
      <c r="E110" s="15" t="s">
        <v>308</v>
      </c>
      <c r="F110" s="58">
        <v>34.68</v>
      </c>
      <c r="G110" s="59">
        <v>39.95</v>
      </c>
      <c r="H110" s="52">
        <v>39.95</v>
      </c>
      <c r="I110" s="57" t="s">
        <v>476</v>
      </c>
      <c r="J110" s="57" t="s">
        <v>476</v>
      </c>
      <c r="K110" s="32"/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309</v>
      </c>
      <c r="D111" s="60" t="s">
        <v>310</v>
      </c>
      <c r="E111" s="15" t="s">
        <v>311</v>
      </c>
      <c r="F111" s="58">
        <v>34.68</v>
      </c>
      <c r="G111" s="59">
        <v>39.95</v>
      </c>
      <c r="H111" s="52">
        <v>39.95</v>
      </c>
      <c r="I111" s="57" t="s">
        <v>476</v>
      </c>
      <c r="J111" s="57" t="s">
        <v>476</v>
      </c>
      <c r="K111" s="32"/>
      <c r="L111" s="32"/>
      <c r="M111" s="32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312</v>
      </c>
      <c r="D112" s="60" t="s">
        <v>313</v>
      </c>
      <c r="E112" s="15" t="s">
        <v>314</v>
      </c>
      <c r="F112" s="58">
        <v>34.68</v>
      </c>
      <c r="G112" s="59">
        <v>39.95</v>
      </c>
      <c r="H112" s="52">
        <v>39.95</v>
      </c>
      <c r="I112" s="57" t="s">
        <v>476</v>
      </c>
      <c r="J112" s="57" t="s">
        <v>476</v>
      </c>
      <c r="K112" s="32"/>
      <c r="L112" s="32"/>
      <c r="M112" s="32"/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315</v>
      </c>
      <c r="D113" s="60" t="s">
        <v>316</v>
      </c>
      <c r="E113" s="15" t="s">
        <v>317</v>
      </c>
      <c r="F113" s="58">
        <v>34.68</v>
      </c>
      <c r="G113" s="59">
        <v>39.95</v>
      </c>
      <c r="H113" s="52">
        <v>39.95</v>
      </c>
      <c r="I113" s="57" t="s">
        <v>476</v>
      </c>
      <c r="J113" s="57" t="s">
        <v>476</v>
      </c>
      <c r="K113" s="32"/>
      <c r="L113" s="32"/>
      <c r="M113" s="32"/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21" t="s">
        <v>17</v>
      </c>
      <c r="D114" s="22" t="s">
        <v>17</v>
      </c>
      <c r="E114" s="23" t="s">
        <v>331</v>
      </c>
      <c r="F114" s="24" t="s">
        <v>17</v>
      </c>
      <c r="G114" s="24" t="s">
        <v>17</v>
      </c>
      <c r="H114" s="25" t="s">
        <v>17</v>
      </c>
      <c r="I114" s="25" t="s">
        <v>17</v>
      </c>
      <c r="J114" s="25" t="s">
        <v>17</v>
      </c>
      <c r="K114" s="25" t="s">
        <v>17</v>
      </c>
      <c r="L114" s="25" t="s">
        <v>17</v>
      </c>
      <c r="M114" s="25" t="s">
        <v>17</v>
      </c>
      <c r="N114" s="25" t="s">
        <v>17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332</v>
      </c>
      <c r="D115" s="15" t="s">
        <v>333</v>
      </c>
      <c r="E115" s="15" t="s">
        <v>334</v>
      </c>
      <c r="F115" s="58">
        <v>41.97</v>
      </c>
      <c r="G115" s="56">
        <v>79.95</v>
      </c>
      <c r="H115" s="52">
        <v>59.95</v>
      </c>
      <c r="I115" s="32"/>
      <c r="J115" s="32"/>
      <c r="K115" s="32"/>
      <c r="L115" s="32"/>
      <c r="M115" s="32"/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335</v>
      </c>
      <c r="D116" s="15" t="s">
        <v>336</v>
      </c>
      <c r="E116" s="15" t="s">
        <v>337</v>
      </c>
      <c r="F116" s="58">
        <v>41.97</v>
      </c>
      <c r="G116" s="56">
        <v>79.95</v>
      </c>
      <c r="H116" s="52">
        <v>59.95</v>
      </c>
      <c r="I116" s="32"/>
      <c r="J116" s="32"/>
      <c r="K116" s="32"/>
      <c r="L116" s="32"/>
      <c r="M116" s="32"/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338</v>
      </c>
      <c r="D117" s="15" t="s">
        <v>339</v>
      </c>
      <c r="E117" s="15" t="s">
        <v>340</v>
      </c>
      <c r="F117" s="58">
        <v>41.97</v>
      </c>
      <c r="G117" s="56">
        <v>79.95</v>
      </c>
      <c r="H117" s="52">
        <v>59.95</v>
      </c>
      <c r="I117" s="32"/>
      <c r="J117" s="32"/>
      <c r="K117" s="32"/>
      <c r="L117" s="32"/>
      <c r="M117" s="32"/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341</v>
      </c>
      <c r="D118" s="15" t="s">
        <v>342</v>
      </c>
      <c r="E118" s="15" t="s">
        <v>340</v>
      </c>
      <c r="F118" s="58">
        <v>41.97</v>
      </c>
      <c r="G118" s="56">
        <v>79.95</v>
      </c>
      <c r="H118" s="52">
        <v>59.95</v>
      </c>
      <c r="I118" s="32"/>
      <c r="J118" s="32"/>
      <c r="K118" s="32"/>
      <c r="L118" s="32"/>
      <c r="M118" s="32"/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343</v>
      </c>
      <c r="D119" s="15" t="s">
        <v>344</v>
      </c>
      <c r="E119" s="15" t="s">
        <v>345</v>
      </c>
      <c r="F119" s="58">
        <v>41.97</v>
      </c>
      <c r="G119" s="56">
        <v>79.95</v>
      </c>
      <c r="H119" s="52">
        <v>59.95</v>
      </c>
      <c r="I119" s="32"/>
      <c r="J119" s="32"/>
      <c r="K119" s="32"/>
      <c r="L119" s="32"/>
      <c r="M119" s="32"/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346</v>
      </c>
      <c r="D120" s="15" t="s">
        <v>347</v>
      </c>
      <c r="E120" s="15" t="s">
        <v>340</v>
      </c>
      <c r="F120" s="58">
        <v>41.97</v>
      </c>
      <c r="G120" s="56">
        <v>79.95</v>
      </c>
      <c r="H120" s="52">
        <v>59.95</v>
      </c>
      <c r="I120" s="32"/>
      <c r="J120" s="32"/>
      <c r="K120" s="32"/>
      <c r="L120" s="32"/>
      <c r="M120" s="32"/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348</v>
      </c>
      <c r="D121" s="15" t="s">
        <v>349</v>
      </c>
      <c r="E121" s="15" t="s">
        <v>340</v>
      </c>
      <c r="F121" s="58">
        <v>41.97</v>
      </c>
      <c r="G121" s="56">
        <v>79.95</v>
      </c>
      <c r="H121" s="52">
        <v>59.95</v>
      </c>
      <c r="I121" s="32"/>
      <c r="J121" s="32"/>
      <c r="K121" s="32"/>
      <c r="L121" s="32"/>
      <c r="M121" s="32"/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350</v>
      </c>
      <c r="D122" s="15" t="s">
        <v>351</v>
      </c>
      <c r="E122" s="15" t="s">
        <v>352</v>
      </c>
      <c r="F122" s="58">
        <v>41.97</v>
      </c>
      <c r="G122" s="56">
        <v>79.95</v>
      </c>
      <c r="H122" s="52">
        <v>59.95</v>
      </c>
      <c r="I122" s="32"/>
      <c r="J122" s="32"/>
      <c r="K122" s="32"/>
      <c r="L122" s="32"/>
      <c r="M122" s="32"/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38"/>
      <c r="C123" s="64" t="s">
        <v>353</v>
      </c>
      <c r="D123" s="65" t="s">
        <v>354</v>
      </c>
      <c r="E123" s="65" t="s">
        <v>355</v>
      </c>
      <c r="F123" s="58">
        <v>41.97</v>
      </c>
      <c r="G123" s="56">
        <v>79.95</v>
      </c>
      <c r="H123" s="52">
        <v>59.95</v>
      </c>
      <c r="I123" s="32"/>
      <c r="J123" s="32"/>
      <c r="K123" s="32"/>
      <c r="L123" s="32"/>
      <c r="M123" s="32"/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0" t="s">
        <v>356</v>
      </c>
      <c r="C124" s="66" t="s">
        <v>17</v>
      </c>
      <c r="D124" s="67" t="s">
        <v>17</v>
      </c>
      <c r="E124" s="23" t="s">
        <v>357</v>
      </c>
      <c r="F124" s="68" t="s">
        <v>17</v>
      </c>
      <c r="G124" s="68" t="s">
        <v>17</v>
      </c>
      <c r="H124" s="25" t="s">
        <v>17</v>
      </c>
      <c r="I124" s="25" t="s">
        <v>17</v>
      </c>
      <c r="J124" s="25" t="s">
        <v>17</v>
      </c>
      <c r="K124" s="25" t="s">
        <v>17</v>
      </c>
      <c r="L124" s="25" t="s">
        <v>17</v>
      </c>
      <c r="M124" s="25" t="s">
        <v>17</v>
      </c>
      <c r="N124" s="25" t="s">
        <v>17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69" t="s">
        <v>358</v>
      </c>
      <c r="D125" s="70" t="s">
        <v>359</v>
      </c>
      <c r="E125" s="70" t="s">
        <v>360</v>
      </c>
      <c r="F125" s="71">
        <v>35.95</v>
      </c>
      <c r="G125" s="72">
        <v>69.95</v>
      </c>
      <c r="H125" s="52">
        <v>54.95</v>
      </c>
      <c r="I125" s="32"/>
      <c r="J125" s="32"/>
      <c r="K125" s="32"/>
      <c r="L125" s="32"/>
      <c r="M125" s="32"/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66" t="s">
        <v>17</v>
      </c>
      <c r="D126" s="67" t="s">
        <v>17</v>
      </c>
      <c r="E126" s="23" t="s">
        <v>361</v>
      </c>
      <c r="F126" s="68" t="s">
        <v>17</v>
      </c>
      <c r="G126" s="68" t="s">
        <v>17</v>
      </c>
      <c r="H126" s="25" t="s">
        <v>17</v>
      </c>
      <c r="I126" s="25" t="s">
        <v>17</v>
      </c>
      <c r="J126" s="25" t="s">
        <v>17</v>
      </c>
      <c r="K126" s="25" t="s">
        <v>17</v>
      </c>
      <c r="L126" s="25" t="s">
        <v>17</v>
      </c>
      <c r="M126" s="25" t="s">
        <v>17</v>
      </c>
      <c r="N126" s="25" t="s">
        <v>17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73" t="s">
        <v>362</v>
      </c>
      <c r="D127" s="70" t="s">
        <v>363</v>
      </c>
      <c r="E127" s="70" t="s">
        <v>364</v>
      </c>
      <c r="F127" s="71">
        <v>35.95</v>
      </c>
      <c r="G127" s="72">
        <v>59.95</v>
      </c>
      <c r="H127" s="52">
        <v>59.95</v>
      </c>
      <c r="I127" s="32"/>
      <c r="J127" s="32"/>
      <c r="K127" s="32"/>
      <c r="L127" s="32"/>
      <c r="M127" s="32"/>
      <c r="N127" s="32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73" t="s">
        <v>365</v>
      </c>
      <c r="D128" s="70" t="s">
        <v>366</v>
      </c>
      <c r="E128" s="70" t="s">
        <v>367</v>
      </c>
      <c r="F128" s="71">
        <v>71.9</v>
      </c>
      <c r="G128" s="72">
        <v>79.9</v>
      </c>
      <c r="H128" s="52">
        <v>97.12</v>
      </c>
      <c r="I128" s="32"/>
      <c r="J128" s="32"/>
      <c r="K128" s="32"/>
      <c r="L128" s="32"/>
      <c r="M128" s="32"/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73" t="s">
        <v>368</v>
      </c>
      <c r="D129" s="70" t="s">
        <v>369</v>
      </c>
      <c r="E129" s="70" t="s">
        <v>370</v>
      </c>
      <c r="F129" s="71">
        <v>45.95</v>
      </c>
      <c r="G129" s="72">
        <v>69.95</v>
      </c>
      <c r="H129" s="52">
        <v>69.95</v>
      </c>
      <c r="I129" s="32"/>
      <c r="J129" s="32"/>
      <c r="K129" s="32"/>
      <c r="L129" s="32"/>
      <c r="M129" s="32"/>
      <c r="N129" s="32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73" t="s">
        <v>371</v>
      </c>
      <c r="D130" s="70" t="s">
        <v>372</v>
      </c>
      <c r="E130" s="70" t="s">
        <v>373</v>
      </c>
      <c r="F130" s="71">
        <v>91.9</v>
      </c>
      <c r="G130" s="72">
        <v>99.9</v>
      </c>
      <c r="H130" s="52">
        <v>107.03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6" t="s">
        <v>17</v>
      </c>
      <c r="D131" s="67" t="s">
        <v>17</v>
      </c>
      <c r="E131" s="23" t="s">
        <v>374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25" t="s">
        <v>17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4" t="s">
        <v>375</v>
      </c>
      <c r="D132" s="70" t="s">
        <v>376</v>
      </c>
      <c r="E132" s="70" t="s">
        <v>374</v>
      </c>
      <c r="F132" s="71">
        <v>35.95</v>
      </c>
      <c r="G132" s="72">
        <v>36.0</v>
      </c>
      <c r="H132" s="54">
        <v>36.0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69" t="s">
        <v>377</v>
      </c>
      <c r="D133" s="70" t="s">
        <v>378</v>
      </c>
      <c r="E133" s="70" t="s">
        <v>379</v>
      </c>
      <c r="F133" s="71">
        <v>45.95</v>
      </c>
      <c r="G133" s="72">
        <v>58.65</v>
      </c>
      <c r="H133" s="52">
        <v>58.65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6" t="s">
        <v>17</v>
      </c>
      <c r="D134" s="67" t="s">
        <v>17</v>
      </c>
      <c r="E134" s="23" t="s">
        <v>380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4" t="s">
        <v>381</v>
      </c>
      <c r="D135" s="70" t="s">
        <v>382</v>
      </c>
      <c r="E135" s="70" t="s">
        <v>380</v>
      </c>
      <c r="F135" s="71">
        <v>35.95</v>
      </c>
      <c r="G135" s="72">
        <v>59.95</v>
      </c>
      <c r="H135" s="54">
        <v>55.0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4" t="s">
        <v>383</v>
      </c>
      <c r="D136" s="70" t="s">
        <v>384</v>
      </c>
      <c r="E136" s="70" t="s">
        <v>385</v>
      </c>
      <c r="F136" s="71">
        <v>45.95</v>
      </c>
      <c r="G136" s="72">
        <v>69.95</v>
      </c>
      <c r="H136" s="54">
        <v>69.95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66" t="s">
        <v>17</v>
      </c>
      <c r="D137" s="67" t="s">
        <v>17</v>
      </c>
      <c r="E137" s="23" t="s">
        <v>386</v>
      </c>
      <c r="F137" s="68" t="s">
        <v>17</v>
      </c>
      <c r="G137" s="68" t="s">
        <v>17</v>
      </c>
      <c r="H137" s="25" t="s">
        <v>17</v>
      </c>
      <c r="I137" s="66" t="s">
        <v>17</v>
      </c>
      <c r="J137" s="67" t="s">
        <v>17</v>
      </c>
      <c r="K137" s="67" t="s">
        <v>17</v>
      </c>
      <c r="L137" s="68" t="s">
        <v>17</v>
      </c>
      <c r="M137" s="68" t="s">
        <v>17</v>
      </c>
      <c r="N137" s="25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387</v>
      </c>
      <c r="D138" s="70" t="s">
        <v>388</v>
      </c>
      <c r="E138" s="70" t="s">
        <v>389</v>
      </c>
      <c r="F138" s="71">
        <v>19.99</v>
      </c>
      <c r="G138" s="72">
        <v>24.99</v>
      </c>
      <c r="H138" s="52">
        <v>34.95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390</v>
      </c>
      <c r="D139" s="70" t="s">
        <v>391</v>
      </c>
      <c r="E139" s="70" t="s">
        <v>392</v>
      </c>
      <c r="F139" s="71">
        <v>39.95</v>
      </c>
      <c r="G139" s="72">
        <v>49.95</v>
      </c>
      <c r="H139" s="52">
        <v>59.99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393</v>
      </c>
      <c r="D140" s="70" t="s">
        <v>394</v>
      </c>
      <c r="E140" s="70" t="s">
        <v>395</v>
      </c>
      <c r="F140" s="71">
        <v>79.9</v>
      </c>
      <c r="G140" s="72">
        <v>99.9</v>
      </c>
      <c r="H140" s="52">
        <v>124.95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3" t="s">
        <v>396</v>
      </c>
      <c r="D141" s="70" t="s">
        <v>397</v>
      </c>
      <c r="E141" s="70" t="s">
        <v>398</v>
      </c>
      <c r="F141" s="71">
        <v>49.95</v>
      </c>
      <c r="G141" s="72">
        <v>59.95</v>
      </c>
      <c r="H141" s="52">
        <v>69.95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6" t="s">
        <v>17</v>
      </c>
      <c r="D142" s="67" t="s">
        <v>17</v>
      </c>
      <c r="E142" s="23" t="s">
        <v>399</v>
      </c>
      <c r="F142" s="68" t="s">
        <v>17</v>
      </c>
      <c r="G142" s="68" t="s">
        <v>17</v>
      </c>
      <c r="H142" s="25" t="s">
        <v>17</v>
      </c>
      <c r="I142" s="66" t="s">
        <v>17</v>
      </c>
      <c r="J142" s="67" t="s">
        <v>17</v>
      </c>
      <c r="K142" s="67" t="s">
        <v>17</v>
      </c>
      <c r="L142" s="68" t="s">
        <v>17</v>
      </c>
      <c r="M142" s="68" t="s">
        <v>17</v>
      </c>
      <c r="N142" s="25" t="s">
        <v>17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3" t="s">
        <v>400</v>
      </c>
      <c r="D143" s="70" t="s">
        <v>401</v>
      </c>
      <c r="E143" s="70" t="s">
        <v>399</v>
      </c>
      <c r="F143" s="71">
        <v>29.95</v>
      </c>
      <c r="G143" s="72">
        <v>39.95</v>
      </c>
      <c r="H143" s="52">
        <v>29.95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66" t="s">
        <v>17</v>
      </c>
      <c r="D144" s="67" t="s">
        <v>17</v>
      </c>
      <c r="E144" s="23" t="s">
        <v>402</v>
      </c>
      <c r="F144" s="68" t="s">
        <v>17</v>
      </c>
      <c r="G144" s="68" t="s">
        <v>17</v>
      </c>
      <c r="H144" s="25" t="s">
        <v>17</v>
      </c>
      <c r="I144" s="66" t="s">
        <v>17</v>
      </c>
      <c r="J144" s="67" t="s">
        <v>17</v>
      </c>
      <c r="K144" s="67" t="s">
        <v>17</v>
      </c>
      <c r="L144" s="68" t="s">
        <v>17</v>
      </c>
      <c r="M144" s="68" t="s">
        <v>17</v>
      </c>
      <c r="N144" s="25" t="s">
        <v>17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69" t="s">
        <v>403</v>
      </c>
      <c r="D145" s="70" t="s">
        <v>404</v>
      </c>
      <c r="E145" s="70" t="s">
        <v>405</v>
      </c>
      <c r="F145" s="71">
        <v>69.95</v>
      </c>
      <c r="G145" s="72">
        <v>69.95</v>
      </c>
      <c r="H145" s="52">
        <v>69.95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66" t="s">
        <v>17</v>
      </c>
      <c r="D146" s="67" t="s">
        <v>17</v>
      </c>
      <c r="E146" s="23" t="s">
        <v>406</v>
      </c>
      <c r="F146" s="68" t="s">
        <v>17</v>
      </c>
      <c r="G146" s="68" t="s">
        <v>17</v>
      </c>
      <c r="H146" s="25" t="s">
        <v>17</v>
      </c>
      <c r="I146" s="66" t="s">
        <v>17</v>
      </c>
      <c r="J146" s="67" t="s">
        <v>17</v>
      </c>
      <c r="K146" s="67" t="s">
        <v>17</v>
      </c>
      <c r="L146" s="68" t="s">
        <v>17</v>
      </c>
      <c r="M146" s="68" t="s">
        <v>17</v>
      </c>
      <c r="N146" s="25" t="s">
        <v>17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3" t="s">
        <v>407</v>
      </c>
      <c r="D147" s="70" t="s">
        <v>408</v>
      </c>
      <c r="E147" s="70" t="s">
        <v>409</v>
      </c>
      <c r="F147" s="71">
        <v>79.9</v>
      </c>
      <c r="G147" s="72">
        <v>79.9</v>
      </c>
      <c r="H147" s="52">
        <v>109.9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4" t="s">
        <v>410</v>
      </c>
      <c r="D148" s="70" t="s">
        <v>411</v>
      </c>
      <c r="E148" s="70" t="s">
        <v>412</v>
      </c>
      <c r="F148" s="71">
        <v>39.95</v>
      </c>
      <c r="G148" s="72">
        <v>49.95</v>
      </c>
      <c r="H148" s="52">
        <v>59.95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5" t="s">
        <v>413</v>
      </c>
      <c r="D149" s="70" t="s">
        <v>414</v>
      </c>
      <c r="E149" s="70" t="s">
        <v>415</v>
      </c>
      <c r="F149" s="71">
        <v>99.9</v>
      </c>
      <c r="G149" s="72">
        <v>99.9</v>
      </c>
      <c r="H149" s="52">
        <v>129.95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38"/>
      <c r="C150" s="39" t="s">
        <v>416</v>
      </c>
      <c r="D150" s="15" t="s">
        <v>417</v>
      </c>
      <c r="E150" s="15" t="s">
        <v>418</v>
      </c>
      <c r="F150" s="58">
        <v>49.95</v>
      </c>
      <c r="G150" s="56">
        <v>59.95</v>
      </c>
      <c r="H150" s="52">
        <v>69.95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</sheetData>
  <mergeCells count="9">
    <mergeCell ref="B79:B123"/>
    <mergeCell ref="B124:B150"/>
    <mergeCell ref="A1:N2"/>
    <mergeCell ref="A3:H3"/>
    <mergeCell ref="A5:A10"/>
    <mergeCell ref="B5:B33"/>
    <mergeCell ref="B34:B56"/>
    <mergeCell ref="N35:N45"/>
    <mergeCell ref="B57:B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11.5"/>
    <col customWidth="1" min="10" max="10" width="12.25"/>
    <col customWidth="1" min="14" max="14" width="30.13"/>
  </cols>
  <sheetData>
    <row r="1">
      <c r="A1" s="102" t="s">
        <v>509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/>
      <c r="J3" s="85" t="s">
        <v>510</v>
      </c>
      <c r="K3" s="103" t="s">
        <v>511</v>
      </c>
      <c r="L3" s="15"/>
      <c r="M3" s="15"/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512</v>
      </c>
      <c r="J4" s="15" t="s">
        <v>513</v>
      </c>
      <c r="K4" s="15" t="s">
        <v>514</v>
      </c>
      <c r="L4" s="15" t="s">
        <v>515</v>
      </c>
      <c r="M4" s="15" t="s">
        <v>516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">
        <v>517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399.0</v>
      </c>
      <c r="I6" s="32"/>
      <c r="J6" s="32"/>
      <c r="K6" s="32"/>
      <c r="L6" s="57" t="s">
        <v>518</v>
      </c>
      <c r="M6" s="32"/>
      <c r="N6" s="32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389.0</v>
      </c>
      <c r="I7" s="32"/>
      <c r="J7" s="32"/>
      <c r="K7" s="32"/>
      <c r="L7" s="57" t="s">
        <v>518</v>
      </c>
      <c r="M7" s="32"/>
      <c r="N7" s="32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439.0</v>
      </c>
      <c r="I8" s="32"/>
      <c r="J8" s="15"/>
      <c r="K8" s="15"/>
      <c r="L8" s="57" t="s">
        <v>518</v>
      </c>
      <c r="M8" s="32"/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32"/>
      <c r="J9" s="15"/>
      <c r="K9" s="15"/>
      <c r="L9" s="15"/>
      <c r="M9" s="32"/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519.0</v>
      </c>
      <c r="I10" s="32"/>
      <c r="J10" s="15"/>
      <c r="K10" s="15"/>
      <c r="L10" s="57" t="s">
        <v>519</v>
      </c>
      <c r="M10" s="57" t="s">
        <v>520</v>
      </c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569.0</v>
      </c>
      <c r="I11" s="32"/>
      <c r="J11" s="15"/>
      <c r="K11" s="15"/>
      <c r="L11" s="57" t="s">
        <v>519</v>
      </c>
      <c r="M11" s="57" t="s">
        <v>520</v>
      </c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57" t="s">
        <v>429</v>
      </c>
      <c r="J12" s="57" t="s">
        <v>521</v>
      </c>
      <c r="K12" s="57" t="s">
        <v>429</v>
      </c>
      <c r="L12" s="57" t="s">
        <v>522</v>
      </c>
      <c r="M12" s="57" t="s">
        <v>429</v>
      </c>
      <c r="N12" s="3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57" t="s">
        <v>429</v>
      </c>
      <c r="J13" s="57" t="s">
        <v>523</v>
      </c>
      <c r="K13" s="57" t="s">
        <v>429</v>
      </c>
      <c r="L13" s="57" t="s">
        <v>522</v>
      </c>
      <c r="M13" s="57" t="s">
        <v>429</v>
      </c>
      <c r="N13" s="32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25" t="s">
        <v>17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89.95</v>
      </c>
      <c r="I15" s="32"/>
      <c r="J15" s="15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124.95</v>
      </c>
      <c r="I16" s="32"/>
      <c r="J16" s="15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54.95</v>
      </c>
      <c r="I17" s="32"/>
      <c r="J17" s="15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24.95</v>
      </c>
      <c r="I18" s="32"/>
      <c r="J18" s="15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54.95</v>
      </c>
      <c r="I19" s="32"/>
      <c r="J19" s="15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15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69.9</v>
      </c>
      <c r="I21" s="32"/>
      <c r="J21" s="15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24.95</v>
      </c>
      <c r="I22" s="32"/>
      <c r="J22" s="15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69.95</v>
      </c>
      <c r="I23" s="32"/>
      <c r="J23" s="15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15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134.92</v>
      </c>
      <c r="I25" s="32"/>
      <c r="J25" s="15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44.95</v>
      </c>
      <c r="I26" s="32"/>
      <c r="J26" s="15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134.95</v>
      </c>
      <c r="I27" s="32"/>
      <c r="J27" s="15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15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15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15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15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15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15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25" t="s">
        <v>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449.0</v>
      </c>
      <c r="I35" s="32"/>
      <c r="J35" s="32"/>
      <c r="K35" s="97" t="s">
        <v>506</v>
      </c>
      <c r="L35" s="97" t="s">
        <v>506</v>
      </c>
      <c r="M35" s="77"/>
      <c r="N35" s="104" t="s">
        <v>524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469.0</v>
      </c>
      <c r="I36" s="32"/>
      <c r="J36" s="32"/>
      <c r="K36" s="97" t="s">
        <v>506</v>
      </c>
      <c r="L36" s="97" t="s">
        <v>506</v>
      </c>
      <c r="M36" s="77"/>
      <c r="N36" s="2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464.0</v>
      </c>
      <c r="I37" s="32"/>
      <c r="J37" s="32"/>
      <c r="K37" s="97" t="s">
        <v>506</v>
      </c>
      <c r="L37" s="97" t="s">
        <v>506</v>
      </c>
      <c r="M37" s="77"/>
      <c r="N37" s="2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499.0</v>
      </c>
      <c r="I38" s="32"/>
      <c r="J38" s="32"/>
      <c r="K38" s="97" t="s">
        <v>506</v>
      </c>
      <c r="L38" s="97" t="s">
        <v>506</v>
      </c>
      <c r="M38" s="77"/>
      <c r="N38" s="2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519.0</v>
      </c>
      <c r="I39" s="32"/>
      <c r="J39" s="32"/>
      <c r="K39" s="97" t="s">
        <v>506</v>
      </c>
      <c r="L39" s="97" t="s">
        <v>506</v>
      </c>
      <c r="M39" s="77"/>
      <c r="N39" s="2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359.0</v>
      </c>
      <c r="I40" s="32"/>
      <c r="J40" s="32"/>
      <c r="K40" s="101"/>
      <c r="L40" s="101"/>
      <c r="M40" s="77"/>
      <c r="N40" s="2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379.0</v>
      </c>
      <c r="I41" s="32"/>
      <c r="J41" s="32"/>
      <c r="K41" s="101"/>
      <c r="L41" s="101"/>
      <c r="M41" s="77"/>
      <c r="N41" s="2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409.0</v>
      </c>
      <c r="I42" s="32"/>
      <c r="J42" s="32"/>
      <c r="K42" s="101"/>
      <c r="L42" s="101"/>
      <c r="M42" s="77"/>
      <c r="N42" s="2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95" t="s">
        <v>466</v>
      </c>
      <c r="D43" s="96" t="s">
        <v>467</v>
      </c>
      <c r="E43" s="15" t="s">
        <v>468</v>
      </c>
      <c r="F43" s="35"/>
      <c r="G43" s="47"/>
      <c r="H43" s="31">
        <v>429.0</v>
      </c>
      <c r="I43" s="32"/>
      <c r="J43" s="32"/>
      <c r="K43" s="101"/>
      <c r="L43" s="101"/>
      <c r="M43" s="77"/>
      <c r="N43" s="2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369.0</v>
      </c>
      <c r="I44" s="32"/>
      <c r="J44" s="32"/>
      <c r="K44" s="97" t="s">
        <v>508</v>
      </c>
      <c r="L44" s="97" t="s">
        <v>508</v>
      </c>
      <c r="M44" s="77"/>
      <c r="N44" s="2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7">
        <v>379.0</v>
      </c>
      <c r="H45" s="31">
        <v>389.0</v>
      </c>
      <c r="I45" s="32"/>
      <c r="J45" s="32"/>
      <c r="K45" s="97" t="s">
        <v>508</v>
      </c>
      <c r="L45" s="97" t="s">
        <v>508</v>
      </c>
      <c r="M45" s="77"/>
      <c r="N45" s="3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25" t="s">
        <v>17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105"/>
      <c r="D47" s="106"/>
      <c r="E47" s="15" t="s">
        <v>525</v>
      </c>
      <c r="F47" s="107"/>
      <c r="G47" s="107"/>
      <c r="H47" s="108"/>
      <c r="I47" s="108"/>
      <c r="J47" s="108"/>
      <c r="K47" s="109"/>
      <c r="L47" s="106" t="s">
        <v>526</v>
      </c>
      <c r="M47" s="106" t="s">
        <v>526</v>
      </c>
      <c r="N47" s="108" t="s">
        <v>527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128</v>
      </c>
      <c r="D48" s="49" t="s">
        <v>129</v>
      </c>
      <c r="E48" s="32" t="s">
        <v>130</v>
      </c>
      <c r="F48" s="50">
        <f t="shared" ref="F48:F57" si="6">H48</f>
        <v>59.95</v>
      </c>
      <c r="G48" s="51">
        <f t="shared" ref="G48:G57" si="7">H48</f>
        <v>59.95</v>
      </c>
      <c r="H48" s="52">
        <v>59.95</v>
      </c>
      <c r="I48" s="32"/>
      <c r="J48" s="32"/>
      <c r="K48" s="44"/>
      <c r="L48" s="44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131</v>
      </c>
      <c r="D49" s="15" t="s">
        <v>132</v>
      </c>
      <c r="E49" s="32" t="s">
        <v>133</v>
      </c>
      <c r="F49" s="50">
        <f t="shared" si="6"/>
        <v>59.95</v>
      </c>
      <c r="G49" s="51">
        <f t="shared" si="7"/>
        <v>59.95</v>
      </c>
      <c r="H49" s="52">
        <v>59.95</v>
      </c>
      <c r="I49" s="32"/>
      <c r="J49" s="32"/>
      <c r="K49" s="44"/>
      <c r="L49" s="44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134</v>
      </c>
      <c r="D50" s="15" t="s">
        <v>135</v>
      </c>
      <c r="E50" s="32" t="s">
        <v>136</v>
      </c>
      <c r="F50" s="50">
        <f t="shared" si="6"/>
        <v>33.95</v>
      </c>
      <c r="G50" s="51">
        <f t="shared" si="7"/>
        <v>33.95</v>
      </c>
      <c r="H50" s="52">
        <v>33.95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137</v>
      </c>
      <c r="D51" s="15" t="s">
        <v>138</v>
      </c>
      <c r="E51" s="32" t="s">
        <v>139</v>
      </c>
      <c r="F51" s="50">
        <f t="shared" si="6"/>
        <v>42.95</v>
      </c>
      <c r="G51" s="51">
        <f t="shared" si="7"/>
        <v>42.95</v>
      </c>
      <c r="H51" s="52">
        <v>42.95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140</v>
      </c>
      <c r="D52" s="15" t="s">
        <v>141</v>
      </c>
      <c r="E52" s="32" t="s">
        <v>142</v>
      </c>
      <c r="F52" s="50">
        <f t="shared" si="6"/>
        <v>79.95</v>
      </c>
      <c r="G52" s="51">
        <f t="shared" si="7"/>
        <v>79.95</v>
      </c>
      <c r="H52" s="52">
        <v>79.95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143</v>
      </c>
      <c r="D53" s="15" t="s">
        <v>144</v>
      </c>
      <c r="E53" s="15" t="s">
        <v>145</v>
      </c>
      <c r="F53" s="50">
        <f t="shared" si="6"/>
        <v>42.95</v>
      </c>
      <c r="G53" s="51">
        <f t="shared" si="7"/>
        <v>42.95</v>
      </c>
      <c r="H53" s="52">
        <v>42.95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146</v>
      </c>
      <c r="D54" s="15" t="s">
        <v>147</v>
      </c>
      <c r="E54" s="15" t="s">
        <v>148</v>
      </c>
      <c r="F54" s="50">
        <f t="shared" si="6"/>
        <v>59.95</v>
      </c>
      <c r="G54" s="51">
        <f t="shared" si="7"/>
        <v>59.95</v>
      </c>
      <c r="H54" s="52">
        <v>59.95</v>
      </c>
      <c r="I54" s="32"/>
      <c r="J54" s="32"/>
      <c r="K54" s="32"/>
      <c r="L54" s="32"/>
      <c r="M54" s="32"/>
      <c r="N54" s="32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149</v>
      </c>
      <c r="D55" s="15" t="s">
        <v>150</v>
      </c>
      <c r="E55" s="15" t="s">
        <v>151</v>
      </c>
      <c r="F55" s="50">
        <f t="shared" si="6"/>
        <v>33.95</v>
      </c>
      <c r="G55" s="51">
        <f t="shared" si="7"/>
        <v>33.95</v>
      </c>
      <c r="H55" s="52">
        <v>33.95</v>
      </c>
      <c r="I55" s="32"/>
      <c r="J55" s="32"/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43" t="s">
        <v>152</v>
      </c>
      <c r="D56" s="53" t="s">
        <v>153</v>
      </c>
      <c r="E56" s="15" t="s">
        <v>154</v>
      </c>
      <c r="F56" s="50">
        <f t="shared" si="6"/>
        <v>80</v>
      </c>
      <c r="G56" s="51">
        <f t="shared" si="7"/>
        <v>80</v>
      </c>
      <c r="H56" s="54">
        <v>80.0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38"/>
      <c r="C57" s="28" t="s">
        <v>155</v>
      </c>
      <c r="D57" s="53" t="s">
        <v>156</v>
      </c>
      <c r="E57" s="15" t="s">
        <v>157</v>
      </c>
      <c r="F57" s="50">
        <f t="shared" si="6"/>
        <v>29.95</v>
      </c>
      <c r="G57" s="51">
        <f t="shared" si="7"/>
        <v>29.95</v>
      </c>
      <c r="H57" s="52">
        <v>29.95</v>
      </c>
      <c r="I57" s="32"/>
      <c r="J57" s="32"/>
      <c r="K57" s="32"/>
      <c r="L57" s="32"/>
      <c r="M57" s="32"/>
      <c r="N57" s="32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0" t="s">
        <v>158</v>
      </c>
      <c r="C58" s="21" t="s">
        <v>17</v>
      </c>
      <c r="D58" s="22" t="s">
        <v>17</v>
      </c>
      <c r="E58" s="23" t="s">
        <v>159</v>
      </c>
      <c r="F58" s="24" t="s">
        <v>17</v>
      </c>
      <c r="G58" s="24" t="s">
        <v>17</v>
      </c>
      <c r="H58" s="25" t="s">
        <v>17</v>
      </c>
      <c r="I58" s="25" t="s">
        <v>17</v>
      </c>
      <c r="J58" s="25" t="s">
        <v>17</v>
      </c>
      <c r="K58" s="25" t="s">
        <v>17</v>
      </c>
      <c r="L58" s="25" t="s">
        <v>17</v>
      </c>
      <c r="M58" s="25" t="s">
        <v>17</v>
      </c>
      <c r="N58" s="25" t="s">
        <v>17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160</v>
      </c>
      <c r="D59" s="15" t="s">
        <v>161</v>
      </c>
      <c r="E59" s="15" t="s">
        <v>162</v>
      </c>
      <c r="F59" s="50">
        <f t="shared" ref="F59:F61" si="8">H59*80%</f>
        <v>208</v>
      </c>
      <c r="G59" s="56">
        <v>260.0</v>
      </c>
      <c r="H59" s="52">
        <v>260.0</v>
      </c>
      <c r="I59" s="32"/>
      <c r="J59" s="32"/>
      <c r="K59" s="32"/>
      <c r="L59" s="57"/>
      <c r="M59" s="32"/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164</v>
      </c>
      <c r="D60" s="15" t="s">
        <v>165</v>
      </c>
      <c r="E60" s="15" t="s">
        <v>166</v>
      </c>
      <c r="F60" s="50">
        <f t="shared" si="8"/>
        <v>208</v>
      </c>
      <c r="G60" s="56">
        <v>260.0</v>
      </c>
      <c r="H60" s="52">
        <v>260.0</v>
      </c>
      <c r="I60" s="32"/>
      <c r="J60" s="32"/>
      <c r="K60" s="32"/>
      <c r="L60" s="57"/>
      <c r="M60" s="32"/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167</v>
      </c>
      <c r="D61" s="15" t="s">
        <v>168</v>
      </c>
      <c r="E61" s="15" t="s">
        <v>169</v>
      </c>
      <c r="F61" s="50">
        <f t="shared" si="8"/>
        <v>208</v>
      </c>
      <c r="G61" s="56">
        <v>260.0</v>
      </c>
      <c r="H61" s="52">
        <v>260.0</v>
      </c>
      <c r="I61" s="32"/>
      <c r="J61" s="32"/>
      <c r="K61" s="32"/>
      <c r="L61" s="57"/>
      <c r="M61" s="32"/>
      <c r="N61" s="32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21" t="s">
        <v>17</v>
      </c>
      <c r="D62" s="22" t="s">
        <v>17</v>
      </c>
      <c r="E62" s="23" t="s">
        <v>170</v>
      </c>
      <c r="F62" s="24" t="s">
        <v>17</v>
      </c>
      <c r="G62" s="24" t="s">
        <v>17</v>
      </c>
      <c r="H62" s="25" t="s">
        <v>17</v>
      </c>
      <c r="I62" s="25" t="s">
        <v>17</v>
      </c>
      <c r="J62" s="25" t="s">
        <v>17</v>
      </c>
      <c r="K62" s="25" t="s">
        <v>17</v>
      </c>
      <c r="L62" s="25" t="s">
        <v>17</v>
      </c>
      <c r="M62" s="25" t="s">
        <v>17</v>
      </c>
      <c r="N62" s="25" t="s">
        <v>17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171</v>
      </c>
      <c r="D63" s="15" t="s">
        <v>172</v>
      </c>
      <c r="E63" s="15" t="s">
        <v>173</v>
      </c>
      <c r="F63" s="50">
        <f t="shared" ref="F63:F69" si="9">H63*70%</f>
        <v>51.1</v>
      </c>
      <c r="G63" s="56">
        <v>73.0</v>
      </c>
      <c r="H63" s="52">
        <v>73.0</v>
      </c>
      <c r="I63" s="32"/>
      <c r="J63" s="32"/>
      <c r="K63" s="32"/>
      <c r="L63" s="57"/>
      <c r="M63" s="32"/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176</v>
      </c>
      <c r="D64" s="15" t="s">
        <v>177</v>
      </c>
      <c r="E64" s="15" t="s">
        <v>178</v>
      </c>
      <c r="F64" s="50">
        <f t="shared" si="9"/>
        <v>51.1</v>
      </c>
      <c r="G64" s="56">
        <v>73.0</v>
      </c>
      <c r="H64" s="52">
        <v>73.0</v>
      </c>
      <c r="I64" s="32"/>
      <c r="J64" s="32"/>
      <c r="K64" s="32"/>
      <c r="L64" s="57"/>
      <c r="M64" s="32"/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179</v>
      </c>
      <c r="D65" s="15" t="s">
        <v>180</v>
      </c>
      <c r="E65" s="15" t="s">
        <v>181</v>
      </c>
      <c r="F65" s="50">
        <f t="shared" si="9"/>
        <v>57.365</v>
      </c>
      <c r="G65" s="56">
        <v>81.95</v>
      </c>
      <c r="H65" s="52">
        <v>81.95</v>
      </c>
      <c r="I65" s="32"/>
      <c r="J65" s="32"/>
      <c r="K65" s="32"/>
      <c r="L65" s="57"/>
      <c r="M65" s="32"/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182</v>
      </c>
      <c r="D66" s="15" t="s">
        <v>183</v>
      </c>
      <c r="E66" s="15" t="s">
        <v>184</v>
      </c>
      <c r="F66" s="50">
        <f t="shared" si="9"/>
        <v>60.865</v>
      </c>
      <c r="G66" s="56">
        <v>86.95</v>
      </c>
      <c r="H66" s="52">
        <v>86.95</v>
      </c>
      <c r="I66" s="32"/>
      <c r="J66" s="32"/>
      <c r="K66" s="32"/>
      <c r="L66" s="57"/>
      <c r="M66" s="32"/>
      <c r="N66" s="32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185</v>
      </c>
      <c r="D67" s="15" t="s">
        <v>186</v>
      </c>
      <c r="E67" s="15" t="s">
        <v>187</v>
      </c>
      <c r="F67" s="50">
        <f t="shared" si="9"/>
        <v>67.165</v>
      </c>
      <c r="G67" s="56">
        <v>95.95</v>
      </c>
      <c r="H67" s="52">
        <v>95.95</v>
      </c>
      <c r="I67" s="32"/>
      <c r="J67" s="32"/>
      <c r="K67" s="32"/>
      <c r="L67" s="57"/>
      <c r="M67" s="32"/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55" t="s">
        <v>188</v>
      </c>
      <c r="D68" s="15" t="s">
        <v>189</v>
      </c>
      <c r="E68" s="15" t="s">
        <v>190</v>
      </c>
      <c r="F68" s="50">
        <f t="shared" si="9"/>
        <v>74.865</v>
      </c>
      <c r="G68" s="56">
        <v>106.95</v>
      </c>
      <c r="H68" s="52">
        <v>106.95</v>
      </c>
      <c r="I68" s="32"/>
      <c r="J68" s="32"/>
      <c r="K68" s="32"/>
      <c r="L68" s="57"/>
      <c r="M68" s="32"/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39" t="s">
        <v>191</v>
      </c>
      <c r="D69" s="15" t="s">
        <v>192</v>
      </c>
      <c r="E69" s="15" t="s">
        <v>193</v>
      </c>
      <c r="F69" s="50">
        <f t="shared" si="9"/>
        <v>74.865</v>
      </c>
      <c r="G69" s="56">
        <v>106.95</v>
      </c>
      <c r="H69" s="52">
        <v>106.95</v>
      </c>
      <c r="I69" s="32"/>
      <c r="J69" s="32"/>
      <c r="K69" s="32"/>
      <c r="L69" s="57"/>
      <c r="M69" s="32"/>
      <c r="N69" s="32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21" t="s">
        <v>17</v>
      </c>
      <c r="D70" s="22" t="s">
        <v>17</v>
      </c>
      <c r="E70" s="23" t="s">
        <v>194</v>
      </c>
      <c r="F70" s="24" t="s">
        <v>17</v>
      </c>
      <c r="G70" s="24" t="s">
        <v>17</v>
      </c>
      <c r="H70" s="25" t="s">
        <v>17</v>
      </c>
      <c r="I70" s="25" t="s">
        <v>17</v>
      </c>
      <c r="J70" s="25" t="s">
        <v>17</v>
      </c>
      <c r="K70" s="25" t="s">
        <v>17</v>
      </c>
      <c r="L70" s="25" t="s">
        <v>17</v>
      </c>
      <c r="M70" s="25" t="s">
        <v>17</v>
      </c>
      <c r="N70" s="25" t="s">
        <v>17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195</v>
      </c>
      <c r="D71" s="15" t="s">
        <v>196</v>
      </c>
      <c r="E71" s="15" t="s">
        <v>197</v>
      </c>
      <c r="F71" s="50">
        <f t="shared" ref="F71:F79" si="10">H71*70%</f>
        <v>18.2</v>
      </c>
      <c r="G71" s="56">
        <v>26.0</v>
      </c>
      <c r="H71" s="54">
        <v>26.0</v>
      </c>
      <c r="I71" s="32"/>
      <c r="J71" s="32"/>
      <c r="K71" s="32"/>
      <c r="L71" s="57"/>
      <c r="M71" s="32"/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198</v>
      </c>
      <c r="D72" s="15" t="s">
        <v>199</v>
      </c>
      <c r="E72" s="15" t="s">
        <v>200</v>
      </c>
      <c r="F72" s="50">
        <f t="shared" si="10"/>
        <v>18.2</v>
      </c>
      <c r="G72" s="56">
        <v>26.0</v>
      </c>
      <c r="H72" s="54">
        <v>26.0</v>
      </c>
      <c r="I72" s="32"/>
      <c r="J72" s="32"/>
      <c r="K72" s="32"/>
      <c r="L72" s="57"/>
      <c r="M72" s="32"/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201</v>
      </c>
      <c r="D73" s="15" t="s">
        <v>202</v>
      </c>
      <c r="E73" s="15" t="s">
        <v>203</v>
      </c>
      <c r="F73" s="50">
        <f t="shared" si="10"/>
        <v>21</v>
      </c>
      <c r="G73" s="56">
        <v>30.0</v>
      </c>
      <c r="H73" s="54">
        <v>30.0</v>
      </c>
      <c r="I73" s="32"/>
      <c r="J73" s="32"/>
      <c r="K73" s="32"/>
      <c r="L73" s="57"/>
      <c r="M73" s="32"/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204</v>
      </c>
      <c r="D74" s="15" t="s">
        <v>205</v>
      </c>
      <c r="E74" s="15" t="s">
        <v>206</v>
      </c>
      <c r="F74" s="50">
        <f t="shared" si="10"/>
        <v>12.6</v>
      </c>
      <c r="G74" s="56">
        <v>18.0</v>
      </c>
      <c r="H74" s="52">
        <v>18.0</v>
      </c>
      <c r="I74" s="32"/>
      <c r="J74" s="32"/>
      <c r="K74" s="32"/>
      <c r="L74" s="57"/>
      <c r="M74" s="32"/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207</v>
      </c>
      <c r="D75" s="15" t="s">
        <v>208</v>
      </c>
      <c r="E75" s="15" t="s">
        <v>209</v>
      </c>
      <c r="F75" s="50">
        <f t="shared" si="10"/>
        <v>15.4</v>
      </c>
      <c r="G75" s="56">
        <v>22.0</v>
      </c>
      <c r="H75" s="54">
        <v>22.0</v>
      </c>
      <c r="I75" s="32"/>
      <c r="J75" s="32"/>
      <c r="K75" s="32"/>
      <c r="L75" s="57"/>
      <c r="M75" s="32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210</v>
      </c>
      <c r="D76" s="15" t="s">
        <v>211</v>
      </c>
      <c r="E76" s="15" t="s">
        <v>212</v>
      </c>
      <c r="F76" s="50">
        <f t="shared" si="10"/>
        <v>11.2</v>
      </c>
      <c r="G76" s="56">
        <v>16.0</v>
      </c>
      <c r="H76" s="52">
        <v>16.0</v>
      </c>
      <c r="I76" s="32"/>
      <c r="J76" s="32"/>
      <c r="K76" s="32"/>
      <c r="L76" s="57"/>
      <c r="M76" s="32"/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213</v>
      </c>
      <c r="D77" s="15" t="s">
        <v>214</v>
      </c>
      <c r="E77" s="15" t="s">
        <v>215</v>
      </c>
      <c r="F77" s="50">
        <f t="shared" si="10"/>
        <v>11.2</v>
      </c>
      <c r="G77" s="56">
        <v>16.0</v>
      </c>
      <c r="H77" s="52">
        <v>16.0</v>
      </c>
      <c r="I77" s="32"/>
      <c r="J77" s="32"/>
      <c r="K77" s="32"/>
      <c r="L77" s="57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55" t="s">
        <v>216</v>
      </c>
      <c r="D78" s="15" t="s">
        <v>217</v>
      </c>
      <c r="E78" s="15" t="s">
        <v>218</v>
      </c>
      <c r="F78" s="50">
        <f t="shared" si="10"/>
        <v>14.7</v>
      </c>
      <c r="G78" s="56">
        <v>21.0</v>
      </c>
      <c r="H78" s="54">
        <v>21.0</v>
      </c>
      <c r="I78" s="32"/>
      <c r="J78" s="32"/>
      <c r="K78" s="32"/>
      <c r="L78" s="57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38"/>
      <c r="C79" s="55" t="s">
        <v>219</v>
      </c>
      <c r="D79" s="49" t="s">
        <v>220</v>
      </c>
      <c r="E79" s="15" t="s">
        <v>221</v>
      </c>
      <c r="F79" s="50">
        <f t="shared" si="10"/>
        <v>15.4</v>
      </c>
      <c r="G79" s="56">
        <v>22.0</v>
      </c>
      <c r="H79" s="54">
        <v>22.0</v>
      </c>
      <c r="I79" s="32"/>
      <c r="J79" s="32"/>
      <c r="K79" s="32"/>
      <c r="L79" s="57"/>
      <c r="M79" s="32"/>
      <c r="N79" s="32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0" t="s">
        <v>222</v>
      </c>
      <c r="C80" s="21" t="s">
        <v>17</v>
      </c>
      <c r="D80" s="22" t="s">
        <v>17</v>
      </c>
      <c r="E80" s="23" t="s">
        <v>223</v>
      </c>
      <c r="F80" s="24" t="s">
        <v>17</v>
      </c>
      <c r="G80" s="24" t="s">
        <v>17</v>
      </c>
      <c r="H80" s="25" t="s">
        <v>17</v>
      </c>
      <c r="I80" s="25" t="s">
        <v>17</v>
      </c>
      <c r="J80" s="25" t="s">
        <v>17</v>
      </c>
      <c r="K80" s="25" t="s">
        <v>17</v>
      </c>
      <c r="L80" s="25" t="s">
        <v>17</v>
      </c>
      <c r="M80" s="25" t="s">
        <v>17</v>
      </c>
      <c r="N80" s="25" t="s">
        <v>17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224</v>
      </c>
      <c r="D81" s="15" t="s">
        <v>225</v>
      </c>
      <c r="E81" s="15" t="s">
        <v>226</v>
      </c>
      <c r="F81" s="58">
        <v>45.49</v>
      </c>
      <c r="G81" s="56">
        <v>69.95</v>
      </c>
      <c r="H81" s="52">
        <v>69.95</v>
      </c>
      <c r="I81" s="32"/>
      <c r="J81" s="32"/>
      <c r="K81" s="32"/>
      <c r="L81" s="57" t="s">
        <v>528</v>
      </c>
      <c r="M81" s="57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227</v>
      </c>
      <c r="D82" s="15" t="s">
        <v>228</v>
      </c>
      <c r="E82" s="15" t="s">
        <v>229</v>
      </c>
      <c r="F82" s="58">
        <v>58.84</v>
      </c>
      <c r="G82" s="56">
        <v>79.95</v>
      </c>
      <c r="H82" s="52">
        <v>79.95</v>
      </c>
      <c r="I82" s="32"/>
      <c r="J82" s="32"/>
      <c r="K82" s="32"/>
      <c r="L82" s="57" t="s">
        <v>529</v>
      </c>
      <c r="M82" s="57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230</v>
      </c>
      <c r="D83" s="15" t="s">
        <v>231</v>
      </c>
      <c r="E83" s="15" t="s">
        <v>232</v>
      </c>
      <c r="F83" s="58">
        <v>92.41</v>
      </c>
      <c r="G83" s="56">
        <v>114.95</v>
      </c>
      <c r="H83" s="54">
        <v>119.0</v>
      </c>
      <c r="I83" s="32"/>
      <c r="J83" s="32"/>
      <c r="K83" s="32"/>
      <c r="L83" s="57" t="s">
        <v>529</v>
      </c>
      <c r="M83" s="57"/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233</v>
      </c>
      <c r="D84" s="15" t="s">
        <v>234</v>
      </c>
      <c r="E84" s="15" t="s">
        <v>235</v>
      </c>
      <c r="F84" s="58">
        <v>17.99</v>
      </c>
      <c r="G84" s="56">
        <v>24.95</v>
      </c>
      <c r="H84" s="52">
        <v>24.95</v>
      </c>
      <c r="I84" s="32"/>
      <c r="J84" s="32"/>
      <c r="K84" s="32"/>
      <c r="L84" s="57" t="s">
        <v>529</v>
      </c>
      <c r="M84" s="57"/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236</v>
      </c>
      <c r="D85" s="15" t="s">
        <v>237</v>
      </c>
      <c r="E85" s="15" t="s">
        <v>238</v>
      </c>
      <c r="F85" s="58">
        <v>27.99</v>
      </c>
      <c r="G85" s="59">
        <v>32.95</v>
      </c>
      <c r="H85" s="52">
        <v>32.95</v>
      </c>
      <c r="I85" s="32"/>
      <c r="J85" s="32"/>
      <c r="K85" s="32"/>
      <c r="L85" s="57" t="s">
        <v>529</v>
      </c>
      <c r="M85" s="57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239</v>
      </c>
      <c r="D86" s="15" t="s">
        <v>240</v>
      </c>
      <c r="E86" s="15" t="s">
        <v>241</v>
      </c>
      <c r="F86" s="58">
        <v>19.95</v>
      </c>
      <c r="G86" s="59">
        <v>19.95</v>
      </c>
      <c r="H86" s="52">
        <v>19.95</v>
      </c>
      <c r="I86" s="32"/>
      <c r="J86" s="32"/>
      <c r="K86" s="32"/>
      <c r="L86" s="57" t="s">
        <v>529</v>
      </c>
      <c r="M86" s="57"/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242</v>
      </c>
      <c r="D87" s="15" t="s">
        <v>243</v>
      </c>
      <c r="E87" s="15" t="s">
        <v>244</v>
      </c>
      <c r="F87" s="58">
        <v>33.71</v>
      </c>
      <c r="G87" s="59">
        <v>44.95</v>
      </c>
      <c r="H87" s="52">
        <v>44.95</v>
      </c>
      <c r="I87" s="32"/>
      <c r="J87" s="32"/>
      <c r="K87" s="32"/>
      <c r="L87" s="57" t="s">
        <v>528</v>
      </c>
      <c r="M87" s="57"/>
      <c r="N87" s="32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245</v>
      </c>
      <c r="D88" s="15" t="s">
        <v>246</v>
      </c>
      <c r="E88" s="15" t="s">
        <v>247</v>
      </c>
      <c r="F88" s="58">
        <v>33.71</v>
      </c>
      <c r="G88" s="59">
        <v>44.95</v>
      </c>
      <c r="H88" s="52">
        <v>44.95</v>
      </c>
      <c r="I88" s="32"/>
      <c r="J88" s="32"/>
      <c r="K88" s="32"/>
      <c r="L88" s="57" t="s">
        <v>528</v>
      </c>
      <c r="M88" s="57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248</v>
      </c>
      <c r="D89" s="15" t="s">
        <v>249</v>
      </c>
      <c r="E89" s="15" t="s">
        <v>250</v>
      </c>
      <c r="F89" s="58">
        <v>104.99</v>
      </c>
      <c r="G89" s="59">
        <v>129.95</v>
      </c>
      <c r="H89" s="52">
        <v>129.95</v>
      </c>
      <c r="I89" s="32"/>
      <c r="J89" s="32"/>
      <c r="K89" s="32"/>
      <c r="L89" s="57" t="s">
        <v>529</v>
      </c>
      <c r="M89" s="57"/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251</v>
      </c>
      <c r="D90" s="15" t="s">
        <v>252</v>
      </c>
      <c r="E90" s="15" t="s">
        <v>253</v>
      </c>
      <c r="F90" s="58">
        <v>21.24</v>
      </c>
      <c r="G90" s="59">
        <v>24.95</v>
      </c>
      <c r="H90" s="52">
        <v>24.95</v>
      </c>
      <c r="I90" s="32"/>
      <c r="J90" s="32"/>
      <c r="K90" s="32"/>
      <c r="L90" s="57" t="s">
        <v>529</v>
      </c>
      <c r="M90" s="57"/>
      <c r="N90" s="32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21" t="s">
        <v>17</v>
      </c>
      <c r="D91" s="22" t="s">
        <v>17</v>
      </c>
      <c r="E91" s="23" t="s">
        <v>254</v>
      </c>
      <c r="F91" s="24" t="s">
        <v>17</v>
      </c>
      <c r="G91" s="24" t="s">
        <v>17</v>
      </c>
      <c r="H91" s="25" t="s">
        <v>17</v>
      </c>
      <c r="I91" s="25" t="s">
        <v>17</v>
      </c>
      <c r="J91" s="25" t="s">
        <v>17</v>
      </c>
      <c r="K91" s="25" t="s">
        <v>17</v>
      </c>
      <c r="L91" s="25" t="s">
        <v>17</v>
      </c>
      <c r="M91" s="25" t="s">
        <v>17</v>
      </c>
      <c r="N91" s="25" t="s">
        <v>17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255</v>
      </c>
      <c r="D92" s="15" t="s">
        <v>256</v>
      </c>
      <c r="E92" s="15" t="s">
        <v>257</v>
      </c>
      <c r="F92" s="58">
        <v>84.4</v>
      </c>
      <c r="G92" s="59">
        <v>99.95</v>
      </c>
      <c r="H92" s="52">
        <v>99.95</v>
      </c>
      <c r="I92" s="32"/>
      <c r="J92" s="32"/>
      <c r="K92" s="32"/>
      <c r="L92" s="57" t="s">
        <v>528</v>
      </c>
      <c r="M92" s="32"/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258</v>
      </c>
      <c r="D93" s="15" t="s">
        <v>259</v>
      </c>
      <c r="E93" s="15" t="s">
        <v>260</v>
      </c>
      <c r="F93" s="58">
        <v>126.82</v>
      </c>
      <c r="G93" s="59">
        <v>163.95</v>
      </c>
      <c r="H93" s="52">
        <v>163.95</v>
      </c>
      <c r="I93" s="32"/>
      <c r="J93" s="32"/>
      <c r="K93" s="32"/>
      <c r="L93" s="15" t="s">
        <v>530</v>
      </c>
      <c r="M93" s="32"/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261</v>
      </c>
      <c r="D94" s="15" t="s">
        <v>262</v>
      </c>
      <c r="E94" s="15" t="s">
        <v>263</v>
      </c>
      <c r="F94" s="58">
        <v>24.95</v>
      </c>
      <c r="G94" s="59">
        <v>24.95</v>
      </c>
      <c r="H94" s="52">
        <v>24.95</v>
      </c>
      <c r="I94" s="32"/>
      <c r="J94" s="32"/>
      <c r="K94" s="32"/>
      <c r="L94" s="57" t="s">
        <v>528</v>
      </c>
      <c r="M94" s="32"/>
      <c r="N94" s="32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21" t="s">
        <v>17</v>
      </c>
      <c r="D95" s="22" t="s">
        <v>17</v>
      </c>
      <c r="E95" s="23" t="s">
        <v>264</v>
      </c>
      <c r="F95" s="24" t="s">
        <v>17</v>
      </c>
      <c r="G95" s="24" t="s">
        <v>17</v>
      </c>
      <c r="H95" s="25" t="s">
        <v>17</v>
      </c>
      <c r="I95" s="25" t="s">
        <v>17</v>
      </c>
      <c r="J95" s="25" t="s">
        <v>17</v>
      </c>
      <c r="K95" s="25" t="s">
        <v>17</v>
      </c>
      <c r="L95" s="25" t="s">
        <v>17</v>
      </c>
      <c r="M95" s="25" t="s">
        <v>17</v>
      </c>
      <c r="N95" s="25" t="s">
        <v>17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265</v>
      </c>
      <c r="D96" s="15" t="s">
        <v>266</v>
      </c>
      <c r="E96" s="15" t="s">
        <v>267</v>
      </c>
      <c r="F96" s="58">
        <v>104.97</v>
      </c>
      <c r="G96" s="56">
        <v>199.95</v>
      </c>
      <c r="H96" s="52">
        <v>149.95</v>
      </c>
      <c r="I96" s="32"/>
      <c r="J96" s="32"/>
      <c r="K96" s="32"/>
      <c r="L96" s="57" t="s">
        <v>529</v>
      </c>
      <c r="M96" s="32"/>
      <c r="N96" s="32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268</v>
      </c>
      <c r="D97" s="15" t="s">
        <v>269</v>
      </c>
      <c r="E97" s="15" t="s">
        <v>270</v>
      </c>
      <c r="F97" s="58">
        <v>136.5</v>
      </c>
      <c r="G97" s="56">
        <v>244.95</v>
      </c>
      <c r="H97" s="54">
        <v>195.0</v>
      </c>
      <c r="I97" s="32"/>
      <c r="J97" s="32"/>
      <c r="K97" s="32"/>
      <c r="L97" s="57" t="s">
        <v>529</v>
      </c>
      <c r="M97" s="32"/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271</v>
      </c>
      <c r="D98" s="15" t="s">
        <v>272</v>
      </c>
      <c r="E98" s="15" t="s">
        <v>273</v>
      </c>
      <c r="F98" s="58">
        <v>19.95</v>
      </c>
      <c r="G98" s="56">
        <v>49.95</v>
      </c>
      <c r="H98" s="52">
        <v>29.95</v>
      </c>
      <c r="I98" s="32"/>
      <c r="J98" s="32"/>
      <c r="K98" s="32"/>
      <c r="L98" s="57" t="s">
        <v>529</v>
      </c>
      <c r="M98" s="32"/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39" t="s">
        <v>274</v>
      </c>
      <c r="D99" s="15" t="s">
        <v>275</v>
      </c>
      <c r="E99" s="15" t="s">
        <v>276</v>
      </c>
      <c r="F99" s="58">
        <v>19.95</v>
      </c>
      <c r="G99" s="56">
        <v>29.95</v>
      </c>
      <c r="H99" s="52">
        <v>29.95</v>
      </c>
      <c r="I99" s="32"/>
      <c r="J99" s="32"/>
      <c r="K99" s="32"/>
      <c r="L99" s="57" t="s">
        <v>529</v>
      </c>
      <c r="M99" s="32"/>
      <c r="N99" s="32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21" t="s">
        <v>17</v>
      </c>
      <c r="D100" s="22" t="s">
        <v>17</v>
      </c>
      <c r="E100" s="23" t="s">
        <v>277</v>
      </c>
      <c r="F100" s="24" t="s">
        <v>17</v>
      </c>
      <c r="G100" s="24" t="s">
        <v>17</v>
      </c>
      <c r="H100" s="25" t="s">
        <v>17</v>
      </c>
      <c r="I100" s="25" t="s">
        <v>17</v>
      </c>
      <c r="J100" s="25" t="s">
        <v>17</v>
      </c>
      <c r="K100" s="25" t="s">
        <v>17</v>
      </c>
      <c r="L100" s="25" t="s">
        <v>17</v>
      </c>
      <c r="M100" s="25" t="s">
        <v>17</v>
      </c>
      <c r="N100" s="25" t="s">
        <v>17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278</v>
      </c>
      <c r="D101" s="15" t="s">
        <v>279</v>
      </c>
      <c r="E101" s="15" t="s">
        <v>280</v>
      </c>
      <c r="F101" s="58">
        <v>52.61</v>
      </c>
      <c r="G101" s="59">
        <v>79.95</v>
      </c>
      <c r="H101" s="52">
        <v>79.95</v>
      </c>
      <c r="I101" s="32"/>
      <c r="J101" s="32"/>
      <c r="K101" s="32"/>
      <c r="L101" s="15" t="s">
        <v>530</v>
      </c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281</v>
      </c>
      <c r="D102" s="15" t="s">
        <v>282</v>
      </c>
      <c r="E102" s="15" t="s">
        <v>283</v>
      </c>
      <c r="F102" s="58">
        <v>64.5</v>
      </c>
      <c r="G102" s="59">
        <v>129.0</v>
      </c>
      <c r="H102" s="52">
        <v>129.0</v>
      </c>
      <c r="I102" s="32"/>
      <c r="J102" s="32"/>
      <c r="K102" s="32"/>
      <c r="L102" s="15" t="s">
        <v>530</v>
      </c>
      <c r="M102" s="32"/>
      <c r="N102" s="32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21" t="s">
        <v>17</v>
      </c>
      <c r="D103" s="22" t="s">
        <v>17</v>
      </c>
      <c r="E103" s="23" t="s">
        <v>284</v>
      </c>
      <c r="F103" s="24" t="s">
        <v>17</v>
      </c>
      <c r="G103" s="24" t="s">
        <v>17</v>
      </c>
      <c r="H103" s="25" t="s">
        <v>17</v>
      </c>
      <c r="I103" s="25" t="s">
        <v>17</v>
      </c>
      <c r="J103" s="25" t="s">
        <v>17</v>
      </c>
      <c r="K103" s="25" t="s">
        <v>17</v>
      </c>
      <c r="L103" s="25" t="s">
        <v>17</v>
      </c>
      <c r="M103" s="25" t="s">
        <v>17</v>
      </c>
      <c r="N103" s="25" t="s">
        <v>17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285</v>
      </c>
      <c r="D104" s="60" t="s">
        <v>286</v>
      </c>
      <c r="E104" s="15" t="s">
        <v>287</v>
      </c>
      <c r="F104" s="58">
        <v>34.68</v>
      </c>
      <c r="G104" s="59">
        <v>44.95</v>
      </c>
      <c r="H104" s="52">
        <v>44.95</v>
      </c>
      <c r="I104" s="32"/>
      <c r="J104" s="32"/>
      <c r="K104" s="32"/>
      <c r="L104" s="57" t="s">
        <v>531</v>
      </c>
      <c r="M104" s="57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288</v>
      </c>
      <c r="D105" s="60" t="s">
        <v>289</v>
      </c>
      <c r="E105" s="15" t="s">
        <v>290</v>
      </c>
      <c r="F105" s="58">
        <v>34.68</v>
      </c>
      <c r="G105" s="59">
        <v>44.95</v>
      </c>
      <c r="H105" s="52">
        <v>44.95</v>
      </c>
      <c r="I105" s="32"/>
      <c r="J105" s="32"/>
      <c r="K105" s="32"/>
      <c r="L105" s="57" t="s">
        <v>531</v>
      </c>
      <c r="M105" s="57"/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291</v>
      </c>
      <c r="D106" s="60" t="s">
        <v>292</v>
      </c>
      <c r="E106" s="15" t="s">
        <v>293</v>
      </c>
      <c r="F106" s="58">
        <v>34.68</v>
      </c>
      <c r="G106" s="59">
        <v>44.95</v>
      </c>
      <c r="H106" s="52">
        <v>44.95</v>
      </c>
      <c r="I106" s="32"/>
      <c r="J106" s="32"/>
      <c r="K106" s="32"/>
      <c r="L106" s="57" t="s">
        <v>531</v>
      </c>
      <c r="M106" s="57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294</v>
      </c>
      <c r="D107" s="61" t="s">
        <v>295</v>
      </c>
      <c r="E107" s="15" t="s">
        <v>296</v>
      </c>
      <c r="F107" s="58">
        <v>34.68</v>
      </c>
      <c r="G107" s="59">
        <v>44.95</v>
      </c>
      <c r="H107" s="52">
        <v>44.95</v>
      </c>
      <c r="I107" s="32"/>
      <c r="J107" s="32"/>
      <c r="K107" s="32"/>
      <c r="L107" s="57" t="s">
        <v>531</v>
      </c>
      <c r="M107" s="57"/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297</v>
      </c>
      <c r="D108" s="60" t="s">
        <v>298</v>
      </c>
      <c r="E108" s="15" t="s">
        <v>299</v>
      </c>
      <c r="F108" s="58">
        <v>34.68</v>
      </c>
      <c r="G108" s="59">
        <v>44.95</v>
      </c>
      <c r="H108" s="52">
        <v>44.95</v>
      </c>
      <c r="I108" s="32"/>
      <c r="J108" s="32"/>
      <c r="K108" s="32"/>
      <c r="L108" s="57" t="s">
        <v>531</v>
      </c>
      <c r="M108" s="57"/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300</v>
      </c>
      <c r="D109" s="60" t="s">
        <v>301</v>
      </c>
      <c r="E109" s="15" t="s">
        <v>302</v>
      </c>
      <c r="F109" s="58">
        <v>34.68</v>
      </c>
      <c r="G109" s="59">
        <v>44.95</v>
      </c>
      <c r="H109" s="52">
        <v>44.95</v>
      </c>
      <c r="I109" s="32"/>
      <c r="J109" s="32"/>
      <c r="K109" s="32"/>
      <c r="L109" s="57" t="s">
        <v>531</v>
      </c>
      <c r="M109" s="57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303</v>
      </c>
      <c r="D110" s="60" t="s">
        <v>304</v>
      </c>
      <c r="E110" s="15" t="s">
        <v>305</v>
      </c>
      <c r="F110" s="58">
        <v>34.68</v>
      </c>
      <c r="G110" s="59">
        <v>44.95</v>
      </c>
      <c r="H110" s="52">
        <v>44.95</v>
      </c>
      <c r="I110" s="32"/>
      <c r="J110" s="32"/>
      <c r="K110" s="32"/>
      <c r="L110" s="57" t="s">
        <v>531</v>
      </c>
      <c r="M110" s="57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306</v>
      </c>
      <c r="D111" s="62" t="s">
        <v>307</v>
      </c>
      <c r="E111" s="15" t="s">
        <v>308</v>
      </c>
      <c r="F111" s="58">
        <v>34.68</v>
      </c>
      <c r="G111" s="59">
        <v>44.95</v>
      </c>
      <c r="H111" s="52">
        <v>44.95</v>
      </c>
      <c r="I111" s="32"/>
      <c r="J111" s="32"/>
      <c r="K111" s="32"/>
      <c r="L111" s="57" t="s">
        <v>531</v>
      </c>
      <c r="M111" s="57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309</v>
      </c>
      <c r="D112" s="60" t="s">
        <v>310</v>
      </c>
      <c r="E112" s="15" t="s">
        <v>311</v>
      </c>
      <c r="F112" s="58">
        <v>34.68</v>
      </c>
      <c r="G112" s="59">
        <v>44.95</v>
      </c>
      <c r="H112" s="52">
        <v>44.95</v>
      </c>
      <c r="I112" s="32"/>
      <c r="J112" s="32"/>
      <c r="K112" s="32"/>
      <c r="L112" s="57" t="s">
        <v>531</v>
      </c>
      <c r="M112" s="57"/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312</v>
      </c>
      <c r="D113" s="60" t="s">
        <v>313</v>
      </c>
      <c r="E113" s="15" t="s">
        <v>314</v>
      </c>
      <c r="F113" s="58">
        <v>34.68</v>
      </c>
      <c r="G113" s="59">
        <v>44.95</v>
      </c>
      <c r="H113" s="52">
        <v>44.95</v>
      </c>
      <c r="I113" s="32"/>
      <c r="J113" s="32"/>
      <c r="K113" s="32"/>
      <c r="L113" s="57" t="s">
        <v>531</v>
      </c>
      <c r="M113" s="57"/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315</v>
      </c>
      <c r="D114" s="60" t="s">
        <v>316</v>
      </c>
      <c r="E114" s="15" t="s">
        <v>317</v>
      </c>
      <c r="F114" s="58">
        <v>34.68</v>
      </c>
      <c r="G114" s="59">
        <v>44.95</v>
      </c>
      <c r="H114" s="52">
        <v>44.95</v>
      </c>
      <c r="I114" s="32"/>
      <c r="J114" s="32"/>
      <c r="K114" s="32"/>
      <c r="L114" s="57" t="s">
        <v>531</v>
      </c>
      <c r="M114" s="57"/>
      <c r="N114" s="32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21" t="s">
        <v>17</v>
      </c>
      <c r="D115" s="22" t="s">
        <v>17</v>
      </c>
      <c r="E115" s="23" t="s">
        <v>331</v>
      </c>
      <c r="F115" s="24" t="s">
        <v>17</v>
      </c>
      <c r="G115" s="24" t="s">
        <v>17</v>
      </c>
      <c r="H115" s="25" t="s">
        <v>17</v>
      </c>
      <c r="I115" s="25" t="s">
        <v>17</v>
      </c>
      <c r="J115" s="25" t="s">
        <v>17</v>
      </c>
      <c r="K115" s="25" t="s">
        <v>17</v>
      </c>
      <c r="L115" s="25" t="s">
        <v>17</v>
      </c>
      <c r="M115" s="25" t="s">
        <v>17</v>
      </c>
      <c r="N115" s="25" t="s">
        <v>17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332</v>
      </c>
      <c r="D116" s="15" t="s">
        <v>333</v>
      </c>
      <c r="E116" s="15" t="s">
        <v>334</v>
      </c>
      <c r="F116" s="58">
        <v>41.97</v>
      </c>
      <c r="G116" s="56">
        <v>79.95</v>
      </c>
      <c r="H116" s="52">
        <v>59.95</v>
      </c>
      <c r="I116" s="57" t="s">
        <v>532</v>
      </c>
      <c r="J116" s="57" t="s">
        <v>532</v>
      </c>
      <c r="K116" s="57" t="s">
        <v>532</v>
      </c>
      <c r="L116" s="57" t="s">
        <v>532</v>
      </c>
      <c r="M116" s="57" t="s">
        <v>532</v>
      </c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335</v>
      </c>
      <c r="D117" s="15" t="s">
        <v>336</v>
      </c>
      <c r="E117" s="15" t="s">
        <v>337</v>
      </c>
      <c r="F117" s="58">
        <v>41.97</v>
      </c>
      <c r="G117" s="56">
        <v>79.95</v>
      </c>
      <c r="H117" s="52">
        <v>59.95</v>
      </c>
      <c r="I117" s="57" t="s">
        <v>532</v>
      </c>
      <c r="J117" s="57" t="s">
        <v>532</v>
      </c>
      <c r="K117" s="57" t="s">
        <v>532</v>
      </c>
      <c r="L117" s="57" t="s">
        <v>532</v>
      </c>
      <c r="M117" s="57" t="s">
        <v>532</v>
      </c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338</v>
      </c>
      <c r="D118" s="15" t="s">
        <v>339</v>
      </c>
      <c r="E118" s="15" t="s">
        <v>340</v>
      </c>
      <c r="F118" s="58">
        <v>41.97</v>
      </c>
      <c r="G118" s="56">
        <v>79.95</v>
      </c>
      <c r="H118" s="52">
        <v>59.95</v>
      </c>
      <c r="I118" s="57" t="s">
        <v>532</v>
      </c>
      <c r="J118" s="57" t="s">
        <v>532</v>
      </c>
      <c r="K118" s="57" t="s">
        <v>532</v>
      </c>
      <c r="L118" s="57" t="s">
        <v>532</v>
      </c>
      <c r="M118" s="57" t="s">
        <v>532</v>
      </c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341</v>
      </c>
      <c r="D119" s="15" t="s">
        <v>342</v>
      </c>
      <c r="E119" s="15" t="s">
        <v>340</v>
      </c>
      <c r="F119" s="58">
        <v>41.97</v>
      </c>
      <c r="G119" s="56">
        <v>79.95</v>
      </c>
      <c r="H119" s="52">
        <v>59.95</v>
      </c>
      <c r="I119" s="57" t="s">
        <v>532</v>
      </c>
      <c r="J119" s="57" t="s">
        <v>532</v>
      </c>
      <c r="K119" s="57" t="s">
        <v>532</v>
      </c>
      <c r="L119" s="57" t="s">
        <v>532</v>
      </c>
      <c r="M119" s="57" t="s">
        <v>532</v>
      </c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343</v>
      </c>
      <c r="D120" s="15" t="s">
        <v>344</v>
      </c>
      <c r="E120" s="15" t="s">
        <v>345</v>
      </c>
      <c r="F120" s="58">
        <v>41.97</v>
      </c>
      <c r="G120" s="56">
        <v>79.95</v>
      </c>
      <c r="H120" s="52">
        <v>59.95</v>
      </c>
      <c r="I120" s="57" t="s">
        <v>532</v>
      </c>
      <c r="J120" s="57" t="s">
        <v>532</v>
      </c>
      <c r="K120" s="57" t="s">
        <v>532</v>
      </c>
      <c r="L120" s="57" t="s">
        <v>532</v>
      </c>
      <c r="M120" s="57" t="s">
        <v>532</v>
      </c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346</v>
      </c>
      <c r="D121" s="15" t="s">
        <v>347</v>
      </c>
      <c r="E121" s="15" t="s">
        <v>340</v>
      </c>
      <c r="F121" s="58">
        <v>41.97</v>
      </c>
      <c r="G121" s="56">
        <v>79.95</v>
      </c>
      <c r="H121" s="52">
        <v>59.95</v>
      </c>
      <c r="I121" s="57" t="s">
        <v>532</v>
      </c>
      <c r="J121" s="57" t="s">
        <v>532</v>
      </c>
      <c r="K121" s="57" t="s">
        <v>532</v>
      </c>
      <c r="L121" s="57" t="s">
        <v>532</v>
      </c>
      <c r="M121" s="57" t="s">
        <v>532</v>
      </c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348</v>
      </c>
      <c r="D122" s="15" t="s">
        <v>349</v>
      </c>
      <c r="E122" s="15" t="s">
        <v>340</v>
      </c>
      <c r="F122" s="58">
        <v>41.97</v>
      </c>
      <c r="G122" s="56">
        <v>79.95</v>
      </c>
      <c r="H122" s="52">
        <v>59.95</v>
      </c>
      <c r="I122" s="57" t="s">
        <v>532</v>
      </c>
      <c r="J122" s="57" t="s">
        <v>532</v>
      </c>
      <c r="K122" s="57" t="s">
        <v>532</v>
      </c>
      <c r="L122" s="57" t="s">
        <v>532</v>
      </c>
      <c r="M122" s="57" t="s">
        <v>532</v>
      </c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39" t="s">
        <v>350</v>
      </c>
      <c r="D123" s="15" t="s">
        <v>351</v>
      </c>
      <c r="E123" s="15" t="s">
        <v>352</v>
      </c>
      <c r="F123" s="58">
        <v>41.97</v>
      </c>
      <c r="G123" s="56">
        <v>79.95</v>
      </c>
      <c r="H123" s="52">
        <v>59.95</v>
      </c>
      <c r="I123" s="57" t="s">
        <v>532</v>
      </c>
      <c r="J123" s="57" t="s">
        <v>532</v>
      </c>
      <c r="K123" s="57" t="s">
        <v>532</v>
      </c>
      <c r="L123" s="57" t="s">
        <v>532</v>
      </c>
      <c r="M123" s="57" t="s">
        <v>532</v>
      </c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38"/>
      <c r="C124" s="64" t="s">
        <v>353</v>
      </c>
      <c r="D124" s="65" t="s">
        <v>354</v>
      </c>
      <c r="E124" s="65" t="s">
        <v>355</v>
      </c>
      <c r="F124" s="58">
        <v>41.97</v>
      </c>
      <c r="G124" s="56">
        <v>79.95</v>
      </c>
      <c r="H124" s="52">
        <v>59.95</v>
      </c>
      <c r="I124" s="57" t="s">
        <v>532</v>
      </c>
      <c r="J124" s="57" t="s">
        <v>532</v>
      </c>
      <c r="K124" s="57" t="s">
        <v>532</v>
      </c>
      <c r="L124" s="57" t="s">
        <v>532</v>
      </c>
      <c r="M124" s="57" t="s">
        <v>532</v>
      </c>
      <c r="N124" s="32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10"/>
      <c r="C125" s="111"/>
      <c r="D125" s="112"/>
      <c r="E125" s="113" t="s">
        <v>533</v>
      </c>
      <c r="F125" s="68"/>
      <c r="G125" s="68"/>
      <c r="H125" s="25"/>
      <c r="I125" s="25"/>
      <c r="J125" s="25"/>
      <c r="K125" s="25"/>
      <c r="L125" s="25"/>
      <c r="M125" s="25"/>
      <c r="N125" s="25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10"/>
      <c r="C126" s="114" t="s">
        <v>534</v>
      </c>
      <c r="D126" s="115" t="s">
        <v>535</v>
      </c>
      <c r="E126" s="116" t="s">
        <v>536</v>
      </c>
      <c r="F126" s="117">
        <f t="shared" ref="F126:F128" si="11">G126-( 0.15*G126)</f>
        <v>254.9575</v>
      </c>
      <c r="G126" s="117">
        <v>299.95</v>
      </c>
      <c r="H126" s="117">
        <v>299.95</v>
      </c>
      <c r="I126" s="118"/>
      <c r="J126" s="118"/>
      <c r="K126" s="118"/>
      <c r="L126" s="119" t="s">
        <v>537</v>
      </c>
      <c r="M126" s="118"/>
      <c r="N126" s="1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10"/>
      <c r="C127" s="114"/>
      <c r="D127" s="115" t="s">
        <v>538</v>
      </c>
      <c r="E127" s="116" t="s">
        <v>539</v>
      </c>
      <c r="F127" s="117">
        <f t="shared" si="11"/>
        <v>127.4575</v>
      </c>
      <c r="G127" s="117">
        <v>149.95</v>
      </c>
      <c r="H127" s="117">
        <v>149.95</v>
      </c>
      <c r="I127" s="118"/>
      <c r="J127" s="118"/>
      <c r="K127" s="118"/>
      <c r="L127" s="119" t="s">
        <v>537</v>
      </c>
      <c r="M127" s="118"/>
      <c r="N127" s="1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10"/>
      <c r="C128" s="114" t="s">
        <v>540</v>
      </c>
      <c r="D128" s="115" t="s">
        <v>541</v>
      </c>
      <c r="E128" s="116" t="s">
        <v>542</v>
      </c>
      <c r="F128" s="117">
        <f t="shared" si="11"/>
        <v>328.0575</v>
      </c>
      <c r="G128" s="117">
        <v>385.95</v>
      </c>
      <c r="H128" s="117">
        <v>385.95</v>
      </c>
      <c r="I128" s="118"/>
      <c r="J128" s="118"/>
      <c r="K128" s="118"/>
      <c r="L128" s="119" t="s">
        <v>537</v>
      </c>
      <c r="M128" s="118"/>
      <c r="N128" s="1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0" t="s">
        <v>356</v>
      </c>
      <c r="C129" s="66" t="s">
        <v>17</v>
      </c>
      <c r="D129" s="67" t="s">
        <v>17</v>
      </c>
      <c r="E129" s="23" t="s">
        <v>357</v>
      </c>
      <c r="F129" s="68" t="s">
        <v>17</v>
      </c>
      <c r="G129" s="68" t="s">
        <v>17</v>
      </c>
      <c r="H129" s="25" t="s">
        <v>17</v>
      </c>
      <c r="I129" s="25" t="s">
        <v>17</v>
      </c>
      <c r="J129" s="25" t="s">
        <v>17</v>
      </c>
      <c r="K129" s="25" t="s">
        <v>17</v>
      </c>
      <c r="L129" s="25" t="s">
        <v>17</v>
      </c>
      <c r="M129" s="25" t="s">
        <v>17</v>
      </c>
      <c r="N129" s="25" t="s">
        <v>17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69" t="s">
        <v>358</v>
      </c>
      <c r="D130" s="70" t="s">
        <v>359</v>
      </c>
      <c r="E130" s="70" t="s">
        <v>360</v>
      </c>
      <c r="F130" s="71">
        <v>35.95</v>
      </c>
      <c r="G130" s="72">
        <v>69.95</v>
      </c>
      <c r="H130" s="52">
        <v>54.95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6" t="s">
        <v>17</v>
      </c>
      <c r="D131" s="67" t="s">
        <v>17</v>
      </c>
      <c r="E131" s="23" t="s">
        <v>361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25" t="s">
        <v>17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3" t="s">
        <v>362</v>
      </c>
      <c r="D132" s="70" t="s">
        <v>363</v>
      </c>
      <c r="E132" s="70" t="s">
        <v>364</v>
      </c>
      <c r="F132" s="71">
        <v>35.95</v>
      </c>
      <c r="G132" s="72">
        <v>59.95</v>
      </c>
      <c r="H132" s="52">
        <v>59.95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73" t="s">
        <v>365</v>
      </c>
      <c r="D133" s="70" t="s">
        <v>366</v>
      </c>
      <c r="E133" s="70" t="s">
        <v>367</v>
      </c>
      <c r="F133" s="71">
        <v>71.9</v>
      </c>
      <c r="G133" s="72">
        <v>79.9</v>
      </c>
      <c r="H133" s="52">
        <v>97.12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73" t="s">
        <v>368</v>
      </c>
      <c r="D134" s="70" t="s">
        <v>369</v>
      </c>
      <c r="E134" s="70" t="s">
        <v>370</v>
      </c>
      <c r="F134" s="71">
        <v>45.95</v>
      </c>
      <c r="G134" s="72">
        <v>69.95</v>
      </c>
      <c r="H134" s="52">
        <v>69.95</v>
      </c>
      <c r="I134" s="32"/>
      <c r="J134" s="32"/>
      <c r="K134" s="32"/>
      <c r="L134" s="32"/>
      <c r="M134" s="32"/>
      <c r="N134" s="32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3" t="s">
        <v>371</v>
      </c>
      <c r="D135" s="70" t="s">
        <v>372</v>
      </c>
      <c r="E135" s="70" t="s">
        <v>373</v>
      </c>
      <c r="F135" s="71">
        <v>91.9</v>
      </c>
      <c r="G135" s="72">
        <v>99.9</v>
      </c>
      <c r="H135" s="52">
        <v>107.03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66" t="s">
        <v>17</v>
      </c>
      <c r="D136" s="67" t="s">
        <v>17</v>
      </c>
      <c r="E136" s="23" t="s">
        <v>374</v>
      </c>
      <c r="F136" s="68" t="s">
        <v>17</v>
      </c>
      <c r="G136" s="68" t="s">
        <v>17</v>
      </c>
      <c r="H136" s="25" t="s">
        <v>17</v>
      </c>
      <c r="I136" s="25" t="s">
        <v>17</v>
      </c>
      <c r="J136" s="25" t="s">
        <v>17</v>
      </c>
      <c r="K136" s="25" t="s">
        <v>17</v>
      </c>
      <c r="L136" s="25" t="s">
        <v>17</v>
      </c>
      <c r="M136" s="25" t="s">
        <v>17</v>
      </c>
      <c r="N136" s="25" t="s">
        <v>17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74" t="s">
        <v>375</v>
      </c>
      <c r="D137" s="70" t="s">
        <v>376</v>
      </c>
      <c r="E137" s="70" t="s">
        <v>374</v>
      </c>
      <c r="F137" s="71">
        <v>35.95</v>
      </c>
      <c r="G137" s="72">
        <v>36.0</v>
      </c>
      <c r="H137" s="54">
        <v>36.0</v>
      </c>
      <c r="I137" s="32"/>
      <c r="J137" s="32"/>
      <c r="K137" s="32"/>
      <c r="L137" s="32"/>
      <c r="M137" s="32"/>
      <c r="N137" s="32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69" t="s">
        <v>377</v>
      </c>
      <c r="D138" s="70" t="s">
        <v>378</v>
      </c>
      <c r="E138" s="70" t="s">
        <v>379</v>
      </c>
      <c r="F138" s="71">
        <v>45.95</v>
      </c>
      <c r="G138" s="72">
        <v>58.65</v>
      </c>
      <c r="H138" s="52">
        <v>58.65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66" t="s">
        <v>17</v>
      </c>
      <c r="D139" s="67" t="s">
        <v>17</v>
      </c>
      <c r="E139" s="23" t="s">
        <v>380</v>
      </c>
      <c r="F139" s="68" t="s">
        <v>17</v>
      </c>
      <c r="G139" s="68" t="s">
        <v>17</v>
      </c>
      <c r="H139" s="25" t="s">
        <v>17</v>
      </c>
      <c r="I139" s="25" t="s">
        <v>17</v>
      </c>
      <c r="J139" s="25" t="s">
        <v>17</v>
      </c>
      <c r="K139" s="25" t="s">
        <v>17</v>
      </c>
      <c r="L139" s="25" t="s">
        <v>17</v>
      </c>
      <c r="M139" s="25" t="s">
        <v>17</v>
      </c>
      <c r="N139" s="25" t="s">
        <v>17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4" t="s">
        <v>381</v>
      </c>
      <c r="D140" s="70" t="s">
        <v>382</v>
      </c>
      <c r="E140" s="70" t="s">
        <v>380</v>
      </c>
      <c r="F140" s="71">
        <v>35.95</v>
      </c>
      <c r="G140" s="72">
        <v>59.95</v>
      </c>
      <c r="H140" s="54">
        <v>55.0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4" t="s">
        <v>383</v>
      </c>
      <c r="D141" s="70" t="s">
        <v>384</v>
      </c>
      <c r="E141" s="70" t="s">
        <v>385</v>
      </c>
      <c r="F141" s="71">
        <v>45.95</v>
      </c>
      <c r="G141" s="72">
        <v>69.95</v>
      </c>
      <c r="H141" s="54">
        <v>69.95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6" t="s">
        <v>17</v>
      </c>
      <c r="D142" s="67" t="s">
        <v>17</v>
      </c>
      <c r="E142" s="23" t="s">
        <v>386</v>
      </c>
      <c r="F142" s="68" t="s">
        <v>17</v>
      </c>
      <c r="G142" s="68" t="s">
        <v>17</v>
      </c>
      <c r="H142" s="25" t="s">
        <v>17</v>
      </c>
      <c r="I142" s="66" t="s">
        <v>17</v>
      </c>
      <c r="J142" s="67" t="s">
        <v>17</v>
      </c>
      <c r="K142" s="67" t="s">
        <v>17</v>
      </c>
      <c r="L142" s="68" t="s">
        <v>17</v>
      </c>
      <c r="M142" s="68" t="s">
        <v>17</v>
      </c>
      <c r="N142" s="25" t="s">
        <v>17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3" t="s">
        <v>387</v>
      </c>
      <c r="D143" s="70" t="s">
        <v>388</v>
      </c>
      <c r="E143" s="70" t="s">
        <v>389</v>
      </c>
      <c r="F143" s="71">
        <v>19.99</v>
      </c>
      <c r="G143" s="72">
        <v>24.99</v>
      </c>
      <c r="H143" s="52">
        <v>34.95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73" t="s">
        <v>390</v>
      </c>
      <c r="D144" s="70" t="s">
        <v>391</v>
      </c>
      <c r="E144" s="70" t="s">
        <v>392</v>
      </c>
      <c r="F144" s="71">
        <v>39.95</v>
      </c>
      <c r="G144" s="72">
        <v>49.95</v>
      </c>
      <c r="H144" s="52">
        <v>59.99</v>
      </c>
      <c r="I144" s="32"/>
      <c r="J144" s="32"/>
      <c r="K144" s="32"/>
      <c r="L144" s="32"/>
      <c r="M144" s="32"/>
      <c r="N144" s="32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73" t="s">
        <v>393</v>
      </c>
      <c r="D145" s="70" t="s">
        <v>394</v>
      </c>
      <c r="E145" s="70" t="s">
        <v>395</v>
      </c>
      <c r="F145" s="71">
        <v>79.9</v>
      </c>
      <c r="G145" s="72">
        <v>99.9</v>
      </c>
      <c r="H145" s="52">
        <v>124.95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3" t="s">
        <v>396</v>
      </c>
      <c r="D146" s="70" t="s">
        <v>397</v>
      </c>
      <c r="E146" s="70" t="s">
        <v>398</v>
      </c>
      <c r="F146" s="71">
        <v>49.95</v>
      </c>
      <c r="G146" s="72">
        <v>59.95</v>
      </c>
      <c r="H146" s="52">
        <v>69.95</v>
      </c>
      <c r="I146" s="32"/>
      <c r="J146" s="32"/>
      <c r="K146" s="32"/>
      <c r="L146" s="32"/>
      <c r="M146" s="32"/>
      <c r="N146" s="32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66" t="s">
        <v>17</v>
      </c>
      <c r="D147" s="67" t="s">
        <v>17</v>
      </c>
      <c r="E147" s="23" t="s">
        <v>399</v>
      </c>
      <c r="F147" s="68" t="s">
        <v>17</v>
      </c>
      <c r="G147" s="68" t="s">
        <v>17</v>
      </c>
      <c r="H147" s="25" t="s">
        <v>17</v>
      </c>
      <c r="I147" s="66" t="s">
        <v>17</v>
      </c>
      <c r="J147" s="67" t="s">
        <v>17</v>
      </c>
      <c r="K147" s="67" t="s">
        <v>17</v>
      </c>
      <c r="L147" s="68" t="s">
        <v>17</v>
      </c>
      <c r="M147" s="68" t="s">
        <v>17</v>
      </c>
      <c r="N147" s="25" t="s">
        <v>17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3" t="s">
        <v>400</v>
      </c>
      <c r="D148" s="70" t="s">
        <v>401</v>
      </c>
      <c r="E148" s="70" t="s">
        <v>399</v>
      </c>
      <c r="F148" s="71">
        <v>29.95</v>
      </c>
      <c r="G148" s="72">
        <v>39.95</v>
      </c>
      <c r="H148" s="52">
        <v>29.95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66" t="s">
        <v>17</v>
      </c>
      <c r="D149" s="67" t="s">
        <v>17</v>
      </c>
      <c r="E149" s="23" t="s">
        <v>402</v>
      </c>
      <c r="F149" s="68" t="s">
        <v>17</v>
      </c>
      <c r="G149" s="68" t="s">
        <v>17</v>
      </c>
      <c r="H149" s="25" t="s">
        <v>17</v>
      </c>
      <c r="I149" s="66" t="s">
        <v>17</v>
      </c>
      <c r="J149" s="67" t="s">
        <v>17</v>
      </c>
      <c r="K149" s="67" t="s">
        <v>17</v>
      </c>
      <c r="L149" s="68" t="s">
        <v>17</v>
      </c>
      <c r="M149" s="68" t="s">
        <v>17</v>
      </c>
      <c r="N149" s="25" t="s">
        <v>17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7"/>
      <c r="C150" s="69" t="s">
        <v>403</v>
      </c>
      <c r="D150" s="70" t="s">
        <v>404</v>
      </c>
      <c r="E150" s="70" t="s">
        <v>405</v>
      </c>
      <c r="F150" s="71">
        <v>69.95</v>
      </c>
      <c r="G150" s="72">
        <v>69.95</v>
      </c>
      <c r="H150" s="52">
        <v>69.95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7"/>
      <c r="C151" s="66" t="s">
        <v>17</v>
      </c>
      <c r="D151" s="67" t="s">
        <v>17</v>
      </c>
      <c r="E151" s="23" t="s">
        <v>406</v>
      </c>
      <c r="F151" s="68" t="s">
        <v>17</v>
      </c>
      <c r="G151" s="68" t="s">
        <v>17</v>
      </c>
      <c r="H151" s="25" t="s">
        <v>17</v>
      </c>
      <c r="I151" s="66" t="s">
        <v>17</v>
      </c>
      <c r="J151" s="67" t="s">
        <v>17</v>
      </c>
      <c r="K151" s="67" t="s">
        <v>17</v>
      </c>
      <c r="L151" s="68" t="s">
        <v>17</v>
      </c>
      <c r="M151" s="68" t="s">
        <v>17</v>
      </c>
      <c r="N151" s="25" t="s">
        <v>17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7"/>
      <c r="C152" s="73" t="s">
        <v>407</v>
      </c>
      <c r="D152" s="70" t="s">
        <v>408</v>
      </c>
      <c r="E152" s="70" t="s">
        <v>409</v>
      </c>
      <c r="F152" s="71">
        <v>79.9</v>
      </c>
      <c r="G152" s="72">
        <v>79.9</v>
      </c>
      <c r="H152" s="52">
        <v>109.9</v>
      </c>
      <c r="I152" s="32"/>
      <c r="J152" s="32"/>
      <c r="K152" s="32"/>
      <c r="L152" s="32"/>
      <c r="M152" s="32"/>
      <c r="N152" s="32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7"/>
      <c r="C153" s="74" t="s">
        <v>410</v>
      </c>
      <c r="D153" s="70" t="s">
        <v>411</v>
      </c>
      <c r="E153" s="70" t="s">
        <v>412</v>
      </c>
      <c r="F153" s="71">
        <v>39.95</v>
      </c>
      <c r="G153" s="72">
        <v>49.95</v>
      </c>
      <c r="H153" s="52">
        <v>59.95</v>
      </c>
      <c r="I153" s="32"/>
      <c r="J153" s="32"/>
      <c r="K153" s="32"/>
      <c r="L153" s="32"/>
      <c r="M153" s="32"/>
      <c r="N153" s="32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7"/>
      <c r="C154" s="75" t="s">
        <v>413</v>
      </c>
      <c r="D154" s="70" t="s">
        <v>414</v>
      </c>
      <c r="E154" s="70" t="s">
        <v>415</v>
      </c>
      <c r="F154" s="71">
        <v>99.9</v>
      </c>
      <c r="G154" s="72">
        <v>99.9</v>
      </c>
      <c r="H154" s="52">
        <v>129.95</v>
      </c>
      <c r="I154" s="32"/>
      <c r="J154" s="32"/>
      <c r="K154" s="32"/>
      <c r="L154" s="32"/>
      <c r="M154" s="32"/>
      <c r="N154" s="32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38"/>
      <c r="C155" s="39" t="s">
        <v>416</v>
      </c>
      <c r="D155" s="15" t="s">
        <v>417</v>
      </c>
      <c r="E155" s="15" t="s">
        <v>418</v>
      </c>
      <c r="F155" s="58">
        <v>49.95</v>
      </c>
      <c r="G155" s="56">
        <v>59.95</v>
      </c>
      <c r="H155" s="52">
        <v>69.95</v>
      </c>
      <c r="I155" s="32"/>
      <c r="J155" s="32"/>
      <c r="K155" s="32"/>
      <c r="L155" s="32"/>
      <c r="M155" s="32"/>
      <c r="N155" s="32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J156" s="18"/>
    </row>
    <row r="157">
      <c r="J157" s="18"/>
    </row>
    <row r="158">
      <c r="J158" s="18"/>
    </row>
    <row r="159">
      <c r="J159" s="18"/>
    </row>
    <row r="160">
      <c r="J160" s="18"/>
    </row>
    <row r="161">
      <c r="J161" s="18"/>
    </row>
    <row r="162">
      <c r="J162" s="18"/>
    </row>
    <row r="163">
      <c r="J163" s="18"/>
    </row>
    <row r="164">
      <c r="J164" s="18"/>
    </row>
    <row r="165">
      <c r="J165" s="18"/>
    </row>
    <row r="166">
      <c r="J166" s="18"/>
    </row>
    <row r="167">
      <c r="J167" s="18"/>
    </row>
    <row r="168">
      <c r="J168" s="18"/>
    </row>
    <row r="169">
      <c r="J169" s="18"/>
    </row>
    <row r="170">
      <c r="J170" s="18"/>
    </row>
    <row r="171">
      <c r="J171" s="18"/>
    </row>
    <row r="172">
      <c r="J172" s="18"/>
    </row>
    <row r="173">
      <c r="J173" s="18"/>
    </row>
    <row r="174">
      <c r="J174" s="18"/>
    </row>
    <row r="175">
      <c r="J175" s="18"/>
    </row>
    <row r="176">
      <c r="J176" s="18"/>
    </row>
    <row r="177">
      <c r="J177" s="18"/>
    </row>
    <row r="178">
      <c r="J178" s="18"/>
    </row>
    <row r="179">
      <c r="J179" s="18"/>
    </row>
    <row r="180">
      <c r="J180" s="18"/>
    </row>
    <row r="181">
      <c r="J181" s="18"/>
    </row>
    <row r="182">
      <c r="J182" s="18"/>
    </row>
    <row r="183">
      <c r="J183" s="18"/>
    </row>
    <row r="184">
      <c r="J184" s="18"/>
    </row>
    <row r="185">
      <c r="J185" s="18"/>
    </row>
    <row r="186">
      <c r="J186" s="18"/>
    </row>
    <row r="187">
      <c r="J187" s="18"/>
    </row>
    <row r="188">
      <c r="J188" s="18"/>
    </row>
    <row r="189">
      <c r="J189" s="18"/>
    </row>
    <row r="190">
      <c r="J190" s="18"/>
    </row>
    <row r="191">
      <c r="J191" s="18"/>
    </row>
    <row r="192">
      <c r="J192" s="18"/>
    </row>
    <row r="193">
      <c r="J193" s="18"/>
    </row>
    <row r="194">
      <c r="J194" s="18"/>
    </row>
    <row r="195">
      <c r="J195" s="18"/>
    </row>
    <row r="196">
      <c r="J196" s="18"/>
    </row>
    <row r="197">
      <c r="J197" s="18"/>
    </row>
    <row r="198">
      <c r="J198" s="18"/>
    </row>
    <row r="199">
      <c r="J199" s="18"/>
    </row>
    <row r="200">
      <c r="J200" s="18"/>
    </row>
    <row r="201">
      <c r="J201" s="18"/>
    </row>
    <row r="202">
      <c r="J202" s="18"/>
    </row>
    <row r="203">
      <c r="J203" s="18"/>
    </row>
    <row r="204">
      <c r="J204" s="18"/>
    </row>
    <row r="205">
      <c r="J205" s="18"/>
    </row>
    <row r="206">
      <c r="J206" s="18"/>
    </row>
    <row r="207">
      <c r="J207" s="18"/>
    </row>
    <row r="208">
      <c r="J208" s="18"/>
    </row>
    <row r="209">
      <c r="J209" s="18"/>
    </row>
    <row r="210">
      <c r="J210" s="18"/>
    </row>
    <row r="211">
      <c r="J211" s="18"/>
    </row>
    <row r="212">
      <c r="J212" s="18"/>
    </row>
    <row r="213">
      <c r="J213" s="18"/>
    </row>
    <row r="214">
      <c r="J214" s="18"/>
    </row>
    <row r="215">
      <c r="J215" s="18"/>
    </row>
    <row r="216">
      <c r="J216" s="18"/>
    </row>
    <row r="217">
      <c r="J217" s="18"/>
    </row>
    <row r="218">
      <c r="J218" s="18"/>
    </row>
    <row r="219">
      <c r="J219" s="18"/>
    </row>
    <row r="220">
      <c r="J220" s="18"/>
    </row>
    <row r="221">
      <c r="J221" s="18"/>
    </row>
    <row r="222">
      <c r="J222" s="18"/>
    </row>
    <row r="223">
      <c r="J223" s="18"/>
    </row>
    <row r="224">
      <c r="J224" s="18"/>
    </row>
    <row r="225">
      <c r="J225" s="18"/>
    </row>
    <row r="226">
      <c r="J226" s="18"/>
    </row>
    <row r="227">
      <c r="J227" s="18"/>
    </row>
    <row r="228">
      <c r="J228" s="18"/>
    </row>
    <row r="229">
      <c r="J229" s="18"/>
    </row>
    <row r="230">
      <c r="J230" s="18"/>
    </row>
    <row r="231">
      <c r="J231" s="18"/>
    </row>
    <row r="232">
      <c r="J232" s="18"/>
    </row>
    <row r="233">
      <c r="J233" s="18"/>
    </row>
    <row r="234">
      <c r="J234" s="18"/>
    </row>
    <row r="235">
      <c r="J235" s="18"/>
    </row>
    <row r="236">
      <c r="J236" s="18"/>
    </row>
    <row r="237">
      <c r="J237" s="18"/>
    </row>
    <row r="238">
      <c r="J238" s="18"/>
    </row>
    <row r="239">
      <c r="J239" s="18"/>
    </row>
    <row r="240">
      <c r="J240" s="18"/>
    </row>
    <row r="241">
      <c r="J241" s="18"/>
    </row>
    <row r="242">
      <c r="J242" s="18"/>
    </row>
    <row r="243">
      <c r="J243" s="18"/>
    </row>
    <row r="244">
      <c r="J244" s="18"/>
    </row>
    <row r="245">
      <c r="J245" s="18"/>
    </row>
    <row r="246">
      <c r="J246" s="18"/>
    </row>
    <row r="247">
      <c r="J247" s="18"/>
    </row>
    <row r="248">
      <c r="J248" s="18"/>
    </row>
    <row r="249">
      <c r="J249" s="18"/>
    </row>
    <row r="250">
      <c r="J250" s="18"/>
    </row>
    <row r="251">
      <c r="J251" s="18"/>
    </row>
    <row r="252">
      <c r="J252" s="18"/>
    </row>
    <row r="253">
      <c r="J253" s="18"/>
    </row>
    <row r="254">
      <c r="J254" s="18"/>
    </row>
    <row r="255">
      <c r="J255" s="18"/>
    </row>
    <row r="256">
      <c r="J256" s="18"/>
    </row>
    <row r="257">
      <c r="J257" s="18"/>
    </row>
    <row r="258">
      <c r="J258" s="18"/>
    </row>
    <row r="259">
      <c r="J259" s="18"/>
    </row>
    <row r="260">
      <c r="J260" s="18"/>
    </row>
    <row r="261">
      <c r="J261" s="18"/>
    </row>
    <row r="262">
      <c r="J262" s="18"/>
    </row>
    <row r="263">
      <c r="J263" s="18"/>
    </row>
    <row r="264">
      <c r="J264" s="18"/>
    </row>
    <row r="265">
      <c r="J265" s="18"/>
    </row>
    <row r="266">
      <c r="J266" s="18"/>
    </row>
    <row r="267">
      <c r="J267" s="18"/>
    </row>
    <row r="268">
      <c r="J268" s="18"/>
    </row>
    <row r="269">
      <c r="J269" s="18"/>
    </row>
    <row r="270">
      <c r="J270" s="18"/>
    </row>
    <row r="271">
      <c r="J271" s="18"/>
    </row>
    <row r="272">
      <c r="J272" s="18"/>
    </row>
    <row r="273">
      <c r="J273" s="18"/>
    </row>
    <row r="274">
      <c r="J274" s="18"/>
    </row>
    <row r="275">
      <c r="J275" s="18"/>
    </row>
    <row r="276">
      <c r="J276" s="18"/>
    </row>
    <row r="277">
      <c r="J277" s="18"/>
    </row>
    <row r="278">
      <c r="J278" s="18"/>
    </row>
    <row r="279">
      <c r="J279" s="18"/>
    </row>
    <row r="280">
      <c r="J280" s="18"/>
    </row>
    <row r="281">
      <c r="J281" s="18"/>
    </row>
    <row r="282">
      <c r="J282" s="18"/>
    </row>
    <row r="283">
      <c r="J283" s="18"/>
    </row>
    <row r="284">
      <c r="J284" s="18"/>
    </row>
    <row r="285">
      <c r="J285" s="18"/>
    </row>
    <row r="286">
      <c r="J286" s="18"/>
    </row>
    <row r="287">
      <c r="J287" s="18"/>
    </row>
    <row r="288">
      <c r="J288" s="18"/>
    </row>
    <row r="289">
      <c r="J289" s="18"/>
    </row>
    <row r="290">
      <c r="J290" s="18"/>
    </row>
    <row r="291">
      <c r="J291" s="18"/>
    </row>
    <row r="292">
      <c r="J292" s="18"/>
    </row>
    <row r="293">
      <c r="J293" s="18"/>
    </row>
    <row r="294">
      <c r="J294" s="18"/>
    </row>
    <row r="295">
      <c r="J295" s="18"/>
    </row>
    <row r="296">
      <c r="J296" s="18"/>
    </row>
    <row r="297">
      <c r="J297" s="18"/>
    </row>
    <row r="298">
      <c r="J298" s="18"/>
    </row>
    <row r="299">
      <c r="J299" s="18"/>
    </row>
    <row r="300">
      <c r="J300" s="18"/>
    </row>
    <row r="301">
      <c r="J301" s="18"/>
    </row>
    <row r="302">
      <c r="J302" s="18"/>
    </row>
    <row r="303">
      <c r="J303" s="18"/>
    </row>
    <row r="304">
      <c r="J304" s="18"/>
    </row>
    <row r="305">
      <c r="J305" s="18"/>
    </row>
    <row r="306">
      <c r="J306" s="18"/>
    </row>
    <row r="307">
      <c r="J307" s="18"/>
    </row>
    <row r="308">
      <c r="J308" s="18"/>
    </row>
    <row r="309">
      <c r="J309" s="18"/>
    </row>
    <row r="310">
      <c r="J310" s="18"/>
    </row>
    <row r="311">
      <c r="J311" s="18"/>
    </row>
    <row r="312">
      <c r="J312" s="18"/>
    </row>
    <row r="313">
      <c r="J313" s="18"/>
    </row>
    <row r="314">
      <c r="J314" s="18"/>
    </row>
    <row r="315">
      <c r="J315" s="18"/>
    </row>
    <row r="316">
      <c r="J316" s="18"/>
    </row>
    <row r="317">
      <c r="J317" s="18"/>
    </row>
    <row r="318">
      <c r="J318" s="18"/>
    </row>
    <row r="319">
      <c r="J319" s="18"/>
    </row>
    <row r="320">
      <c r="J320" s="18"/>
    </row>
    <row r="321">
      <c r="J321" s="18"/>
    </row>
    <row r="322">
      <c r="J322" s="18"/>
    </row>
    <row r="323">
      <c r="J323" s="18"/>
    </row>
    <row r="324">
      <c r="J324" s="18"/>
    </row>
    <row r="325">
      <c r="J325" s="18"/>
    </row>
    <row r="326">
      <c r="J326" s="18"/>
    </row>
    <row r="327">
      <c r="J327" s="18"/>
    </row>
    <row r="328">
      <c r="J328" s="18"/>
    </row>
    <row r="329">
      <c r="J329" s="18"/>
    </row>
    <row r="330">
      <c r="J330" s="18"/>
    </row>
    <row r="331">
      <c r="J331" s="18"/>
    </row>
    <row r="332">
      <c r="J332" s="18"/>
    </row>
    <row r="333">
      <c r="J333" s="18"/>
    </row>
    <row r="334">
      <c r="J334" s="18"/>
    </row>
    <row r="335">
      <c r="J335" s="18"/>
    </row>
    <row r="336">
      <c r="J336" s="18"/>
    </row>
    <row r="337">
      <c r="J337" s="18"/>
    </row>
    <row r="338">
      <c r="J338" s="18"/>
    </row>
    <row r="339">
      <c r="J339" s="18"/>
    </row>
    <row r="340">
      <c r="J340" s="18"/>
    </row>
    <row r="341">
      <c r="J341" s="18"/>
    </row>
    <row r="342">
      <c r="J342" s="18"/>
    </row>
    <row r="343">
      <c r="J343" s="18"/>
    </row>
    <row r="344">
      <c r="J344" s="18"/>
    </row>
    <row r="345">
      <c r="J345" s="18"/>
    </row>
    <row r="346">
      <c r="J346" s="18"/>
    </row>
    <row r="347">
      <c r="J347" s="18"/>
    </row>
    <row r="348">
      <c r="J348" s="18"/>
    </row>
    <row r="349">
      <c r="J349" s="18"/>
    </row>
    <row r="350">
      <c r="J350" s="18"/>
    </row>
    <row r="351">
      <c r="J351" s="18"/>
    </row>
    <row r="352">
      <c r="J352" s="18"/>
    </row>
    <row r="353">
      <c r="J353" s="18"/>
    </row>
    <row r="354">
      <c r="J354" s="18"/>
    </row>
    <row r="355">
      <c r="J355" s="18"/>
    </row>
    <row r="356">
      <c r="J356" s="18"/>
    </row>
    <row r="357">
      <c r="J357" s="18"/>
    </row>
    <row r="358">
      <c r="J358" s="18"/>
    </row>
    <row r="359">
      <c r="J359" s="18"/>
    </row>
    <row r="360">
      <c r="J360" s="18"/>
    </row>
    <row r="361">
      <c r="J361" s="18"/>
    </row>
    <row r="362">
      <c r="J362" s="18"/>
    </row>
    <row r="363">
      <c r="J363" s="18"/>
    </row>
    <row r="364">
      <c r="J364" s="18"/>
    </row>
    <row r="365">
      <c r="J365" s="18"/>
    </row>
    <row r="366">
      <c r="J366" s="18"/>
    </row>
    <row r="367">
      <c r="J367" s="18"/>
    </row>
    <row r="368">
      <c r="J368" s="18"/>
    </row>
    <row r="369">
      <c r="J369" s="18"/>
    </row>
    <row r="370">
      <c r="J370" s="18"/>
    </row>
    <row r="371">
      <c r="J371" s="18"/>
    </row>
    <row r="372">
      <c r="J372" s="18"/>
    </row>
    <row r="373">
      <c r="J373" s="18"/>
    </row>
    <row r="374">
      <c r="J374" s="18"/>
    </row>
    <row r="375">
      <c r="J375" s="18"/>
    </row>
    <row r="376">
      <c r="J376" s="18"/>
    </row>
    <row r="377">
      <c r="J377" s="18"/>
    </row>
    <row r="378">
      <c r="J378" s="18"/>
    </row>
    <row r="379">
      <c r="J379" s="18"/>
    </row>
    <row r="380">
      <c r="J380" s="18"/>
    </row>
    <row r="381">
      <c r="J381" s="18"/>
    </row>
    <row r="382">
      <c r="J382" s="18"/>
    </row>
    <row r="383">
      <c r="J383" s="18"/>
    </row>
    <row r="384">
      <c r="J384" s="18"/>
    </row>
    <row r="385">
      <c r="J385" s="18"/>
    </row>
    <row r="386">
      <c r="J386" s="18"/>
    </row>
    <row r="387">
      <c r="J387" s="18"/>
    </row>
    <row r="388">
      <c r="J388" s="18"/>
    </row>
    <row r="389">
      <c r="J389" s="18"/>
    </row>
    <row r="390">
      <c r="J390" s="18"/>
    </row>
    <row r="391">
      <c r="J391" s="18"/>
    </row>
    <row r="392">
      <c r="J392" s="18"/>
    </row>
    <row r="393">
      <c r="J393" s="18"/>
    </row>
    <row r="394">
      <c r="J394" s="18"/>
    </row>
    <row r="395">
      <c r="J395" s="18"/>
    </row>
    <row r="396">
      <c r="J396" s="18"/>
    </row>
    <row r="397">
      <c r="J397" s="18"/>
    </row>
    <row r="398">
      <c r="J398" s="18"/>
    </row>
    <row r="399">
      <c r="J399" s="18"/>
    </row>
    <row r="400">
      <c r="J400" s="18"/>
    </row>
    <row r="401">
      <c r="J401" s="18"/>
    </row>
    <row r="402">
      <c r="J402" s="18"/>
    </row>
    <row r="403">
      <c r="J403" s="18"/>
    </row>
    <row r="404">
      <c r="J404" s="18"/>
    </row>
    <row r="405">
      <c r="J405" s="18"/>
    </row>
    <row r="406">
      <c r="J406" s="18"/>
    </row>
    <row r="407">
      <c r="J407" s="18"/>
    </row>
    <row r="408">
      <c r="J408" s="18"/>
    </row>
    <row r="409">
      <c r="J409" s="18"/>
    </row>
    <row r="410">
      <c r="J410" s="18"/>
    </row>
    <row r="411">
      <c r="J411" s="18"/>
    </row>
    <row r="412">
      <c r="J412" s="18"/>
    </row>
    <row r="413">
      <c r="J413" s="18"/>
    </row>
    <row r="414">
      <c r="J414" s="18"/>
    </row>
    <row r="415">
      <c r="J415" s="18"/>
    </row>
    <row r="416">
      <c r="J416" s="18"/>
    </row>
    <row r="417">
      <c r="J417" s="18"/>
    </row>
    <row r="418">
      <c r="J418" s="18"/>
    </row>
    <row r="419">
      <c r="J419" s="18"/>
    </row>
    <row r="420">
      <c r="J420" s="18"/>
    </row>
    <row r="421">
      <c r="J421" s="18"/>
    </row>
    <row r="422">
      <c r="J422" s="18"/>
    </row>
    <row r="423">
      <c r="J423" s="18"/>
    </row>
    <row r="424">
      <c r="J424" s="18"/>
    </row>
    <row r="425">
      <c r="J425" s="18"/>
    </row>
    <row r="426">
      <c r="J426" s="18"/>
    </row>
    <row r="427">
      <c r="J427" s="18"/>
    </row>
    <row r="428">
      <c r="J428" s="18"/>
    </row>
    <row r="429">
      <c r="J429" s="18"/>
    </row>
    <row r="430">
      <c r="J430" s="18"/>
    </row>
    <row r="431">
      <c r="J431" s="18"/>
    </row>
    <row r="432">
      <c r="J432" s="18"/>
    </row>
    <row r="433">
      <c r="J433" s="18"/>
    </row>
    <row r="434">
      <c r="J434" s="18"/>
    </row>
    <row r="435">
      <c r="J435" s="18"/>
    </row>
    <row r="436">
      <c r="J436" s="18"/>
    </row>
    <row r="437">
      <c r="J437" s="18"/>
    </row>
    <row r="438">
      <c r="J438" s="18"/>
    </row>
    <row r="439">
      <c r="J439" s="18"/>
    </row>
    <row r="440">
      <c r="J440" s="18"/>
    </row>
    <row r="441">
      <c r="J441" s="18"/>
    </row>
    <row r="442">
      <c r="J442" s="18"/>
    </row>
    <row r="443">
      <c r="J443" s="18"/>
    </row>
    <row r="444">
      <c r="J444" s="18"/>
    </row>
    <row r="445">
      <c r="J445" s="18"/>
    </row>
    <row r="446">
      <c r="J446" s="18"/>
    </row>
    <row r="447">
      <c r="J447" s="18"/>
    </row>
    <row r="448">
      <c r="J448" s="18"/>
    </row>
    <row r="449">
      <c r="J449" s="18"/>
    </row>
    <row r="450">
      <c r="J450" s="18"/>
    </row>
    <row r="451">
      <c r="J451" s="18"/>
    </row>
    <row r="452">
      <c r="J452" s="18"/>
    </row>
    <row r="453">
      <c r="J453" s="18"/>
    </row>
    <row r="454">
      <c r="J454" s="18"/>
    </row>
    <row r="455">
      <c r="J455" s="18"/>
    </row>
    <row r="456">
      <c r="J456" s="18"/>
    </row>
    <row r="457">
      <c r="J457" s="18"/>
    </row>
    <row r="458">
      <c r="J458" s="18"/>
    </row>
    <row r="459">
      <c r="J459" s="18"/>
    </row>
    <row r="460">
      <c r="J460" s="18"/>
    </row>
    <row r="461">
      <c r="J461" s="18"/>
    </row>
    <row r="462">
      <c r="J462" s="18"/>
    </row>
    <row r="463">
      <c r="J463" s="18"/>
    </row>
    <row r="464">
      <c r="J464" s="18"/>
    </row>
    <row r="465">
      <c r="J465" s="18"/>
    </row>
    <row r="466">
      <c r="J466" s="18"/>
    </row>
    <row r="467">
      <c r="J467" s="18"/>
    </row>
    <row r="468">
      <c r="J468" s="18"/>
    </row>
    <row r="469">
      <c r="J469" s="18"/>
    </row>
    <row r="470">
      <c r="J470" s="18"/>
    </row>
    <row r="471">
      <c r="J471" s="18"/>
    </row>
    <row r="472">
      <c r="J472" s="18"/>
    </row>
    <row r="473">
      <c r="J473" s="18"/>
    </row>
    <row r="474">
      <c r="J474" s="18"/>
    </row>
    <row r="475">
      <c r="J475" s="18"/>
    </row>
    <row r="476">
      <c r="J476" s="18"/>
    </row>
    <row r="477">
      <c r="J477" s="18"/>
    </row>
    <row r="478">
      <c r="J478" s="18"/>
    </row>
    <row r="479">
      <c r="J479" s="18"/>
    </row>
    <row r="480">
      <c r="J480" s="18"/>
    </row>
    <row r="481">
      <c r="J481" s="18"/>
    </row>
    <row r="482">
      <c r="J482" s="18"/>
    </row>
    <row r="483">
      <c r="J483" s="18"/>
    </row>
    <row r="484">
      <c r="J484" s="18"/>
    </row>
    <row r="485">
      <c r="J485" s="18"/>
    </row>
    <row r="486">
      <c r="J486" s="18"/>
    </row>
    <row r="487">
      <c r="J487" s="18"/>
    </row>
    <row r="488">
      <c r="J488" s="18"/>
    </row>
    <row r="489">
      <c r="J489" s="18"/>
    </row>
    <row r="490">
      <c r="J490" s="18"/>
    </row>
    <row r="491">
      <c r="J491" s="18"/>
    </row>
    <row r="492">
      <c r="J492" s="18"/>
    </row>
    <row r="493">
      <c r="J493" s="18"/>
    </row>
    <row r="494">
      <c r="J494" s="18"/>
    </row>
    <row r="495">
      <c r="J495" s="18"/>
    </row>
    <row r="496">
      <c r="J496" s="18"/>
    </row>
    <row r="497">
      <c r="J497" s="18"/>
    </row>
    <row r="498">
      <c r="J498" s="18"/>
    </row>
    <row r="499">
      <c r="J499" s="18"/>
    </row>
    <row r="500">
      <c r="J500" s="18"/>
    </row>
    <row r="501">
      <c r="J501" s="18"/>
    </row>
    <row r="502">
      <c r="J502" s="18"/>
    </row>
    <row r="503">
      <c r="J503" s="18"/>
    </row>
    <row r="504">
      <c r="J504" s="18"/>
    </row>
    <row r="505">
      <c r="J505" s="18"/>
    </row>
    <row r="506">
      <c r="J506" s="18"/>
    </row>
    <row r="507">
      <c r="J507" s="18"/>
    </row>
    <row r="508">
      <c r="J508" s="18"/>
    </row>
    <row r="509">
      <c r="J509" s="18"/>
    </row>
    <row r="510">
      <c r="J510" s="18"/>
    </row>
    <row r="511">
      <c r="J511" s="18"/>
    </row>
    <row r="512">
      <c r="J512" s="18"/>
    </row>
    <row r="513">
      <c r="J513" s="18"/>
    </row>
    <row r="514">
      <c r="J514" s="18"/>
    </row>
    <row r="515">
      <c r="J515" s="18"/>
    </row>
    <row r="516">
      <c r="J516" s="18"/>
    </row>
    <row r="517">
      <c r="J517" s="18"/>
    </row>
    <row r="518">
      <c r="J518" s="18"/>
    </row>
    <row r="519">
      <c r="J519" s="18"/>
    </row>
    <row r="520">
      <c r="J520" s="18"/>
    </row>
    <row r="521">
      <c r="J521" s="18"/>
    </row>
    <row r="522">
      <c r="J522" s="18"/>
    </row>
    <row r="523">
      <c r="J523" s="18"/>
    </row>
    <row r="524">
      <c r="J524" s="18"/>
    </row>
    <row r="525">
      <c r="J525" s="18"/>
    </row>
    <row r="526">
      <c r="J526" s="18"/>
    </row>
    <row r="527">
      <c r="J527" s="18"/>
    </row>
    <row r="528">
      <c r="J528" s="18"/>
    </row>
    <row r="529">
      <c r="J529" s="18"/>
    </row>
    <row r="530">
      <c r="J530" s="18"/>
    </row>
    <row r="531">
      <c r="J531" s="18"/>
    </row>
    <row r="532">
      <c r="J532" s="18"/>
    </row>
    <row r="533">
      <c r="J533" s="18"/>
    </row>
    <row r="534">
      <c r="J534" s="18"/>
    </row>
    <row r="535">
      <c r="J535" s="18"/>
    </row>
    <row r="536">
      <c r="J536" s="18"/>
    </row>
    <row r="537">
      <c r="J537" s="18"/>
    </row>
    <row r="538">
      <c r="J538" s="18"/>
    </row>
    <row r="539">
      <c r="J539" s="18"/>
    </row>
    <row r="540">
      <c r="J540" s="18"/>
    </row>
    <row r="541">
      <c r="J541" s="18"/>
    </row>
    <row r="542">
      <c r="J542" s="18"/>
    </row>
    <row r="543">
      <c r="J543" s="18"/>
    </row>
    <row r="544">
      <c r="J544" s="18"/>
    </row>
    <row r="545">
      <c r="J545" s="18"/>
    </row>
    <row r="546">
      <c r="J546" s="18"/>
    </row>
    <row r="547">
      <c r="J547" s="18"/>
    </row>
    <row r="548">
      <c r="J548" s="18"/>
    </row>
    <row r="549">
      <c r="J549" s="18"/>
    </row>
    <row r="550">
      <c r="J550" s="18"/>
    </row>
    <row r="551">
      <c r="J551" s="18"/>
    </row>
    <row r="552">
      <c r="J552" s="18"/>
    </row>
    <row r="553">
      <c r="J553" s="18"/>
    </row>
    <row r="554">
      <c r="J554" s="18"/>
    </row>
    <row r="555">
      <c r="J555" s="18"/>
    </row>
    <row r="556">
      <c r="J556" s="18"/>
    </row>
    <row r="557">
      <c r="J557" s="18"/>
    </row>
    <row r="558">
      <c r="J558" s="18"/>
    </row>
    <row r="559">
      <c r="J559" s="18"/>
    </row>
    <row r="560">
      <c r="J560" s="18"/>
    </row>
    <row r="561">
      <c r="J561" s="18"/>
    </row>
    <row r="562">
      <c r="J562" s="18"/>
    </row>
    <row r="563">
      <c r="J563" s="18"/>
    </row>
    <row r="564">
      <c r="J564" s="18"/>
    </row>
    <row r="565">
      <c r="J565" s="18"/>
    </row>
    <row r="566">
      <c r="J566" s="18"/>
    </row>
    <row r="567">
      <c r="J567" s="18"/>
    </row>
    <row r="568">
      <c r="J568" s="18"/>
    </row>
    <row r="569">
      <c r="J569" s="18"/>
    </row>
    <row r="570">
      <c r="J570" s="18"/>
    </row>
    <row r="571">
      <c r="J571" s="18"/>
    </row>
    <row r="572">
      <c r="J572" s="18"/>
    </row>
    <row r="573">
      <c r="J573" s="18"/>
    </row>
    <row r="574">
      <c r="J574" s="18"/>
    </row>
    <row r="575">
      <c r="J575" s="18"/>
    </row>
    <row r="576">
      <c r="J576" s="18"/>
    </row>
    <row r="577">
      <c r="J577" s="18"/>
    </row>
    <row r="578">
      <c r="J578" s="18"/>
    </row>
    <row r="579">
      <c r="J579" s="18"/>
    </row>
    <row r="580">
      <c r="J580" s="18"/>
    </row>
    <row r="581">
      <c r="J581" s="18"/>
    </row>
    <row r="582">
      <c r="J582" s="18"/>
    </row>
    <row r="583">
      <c r="J583" s="18"/>
    </row>
    <row r="584">
      <c r="J584" s="18"/>
    </row>
    <row r="585">
      <c r="J585" s="18"/>
    </row>
    <row r="586">
      <c r="J586" s="18"/>
    </row>
    <row r="587">
      <c r="J587" s="18"/>
    </row>
    <row r="588">
      <c r="J588" s="18"/>
    </row>
    <row r="589">
      <c r="J589" s="18"/>
    </row>
    <row r="590">
      <c r="J590" s="18"/>
    </row>
    <row r="591">
      <c r="J591" s="18"/>
    </row>
    <row r="592">
      <c r="J592" s="18"/>
    </row>
    <row r="593">
      <c r="J593" s="18"/>
    </row>
    <row r="594">
      <c r="J594" s="18"/>
    </row>
    <row r="595">
      <c r="J595" s="18"/>
    </row>
    <row r="596">
      <c r="J596" s="18"/>
    </row>
    <row r="597">
      <c r="J597" s="18"/>
    </row>
    <row r="598">
      <c r="J598" s="18"/>
    </row>
    <row r="599">
      <c r="J599" s="18"/>
    </row>
    <row r="600">
      <c r="J600" s="18"/>
    </row>
    <row r="601">
      <c r="J601" s="18"/>
    </row>
    <row r="602">
      <c r="J602" s="18"/>
    </row>
    <row r="603">
      <c r="J603" s="18"/>
    </row>
    <row r="604">
      <c r="J604" s="18"/>
    </row>
    <row r="605">
      <c r="J605" s="18"/>
    </row>
    <row r="606">
      <c r="J606" s="18"/>
    </row>
    <row r="607">
      <c r="J607" s="18"/>
    </row>
    <row r="608">
      <c r="J608" s="18"/>
    </row>
    <row r="609">
      <c r="J609" s="18"/>
    </row>
    <row r="610">
      <c r="J610" s="18"/>
    </row>
    <row r="611">
      <c r="J611" s="18"/>
    </row>
    <row r="612">
      <c r="J612" s="18"/>
    </row>
    <row r="613">
      <c r="J613" s="18"/>
    </row>
    <row r="614">
      <c r="J614" s="18"/>
    </row>
    <row r="615">
      <c r="J615" s="18"/>
    </row>
    <row r="616">
      <c r="J616" s="18"/>
    </row>
    <row r="617">
      <c r="J617" s="18"/>
    </row>
    <row r="618">
      <c r="J618" s="18"/>
    </row>
    <row r="619">
      <c r="J619" s="18"/>
    </row>
    <row r="620">
      <c r="J620" s="18"/>
    </row>
    <row r="621">
      <c r="J621" s="18"/>
    </row>
    <row r="622">
      <c r="J622" s="18"/>
    </row>
    <row r="623">
      <c r="J623" s="18"/>
    </row>
    <row r="624">
      <c r="J624" s="18"/>
    </row>
    <row r="625">
      <c r="J625" s="18"/>
    </row>
    <row r="626">
      <c r="J626" s="18"/>
    </row>
    <row r="627">
      <c r="J627" s="18"/>
    </row>
    <row r="628">
      <c r="J628" s="18"/>
    </row>
    <row r="629">
      <c r="J629" s="18"/>
    </row>
    <row r="630">
      <c r="J630" s="18"/>
    </row>
    <row r="631">
      <c r="J631" s="18"/>
    </row>
    <row r="632">
      <c r="J632" s="18"/>
    </row>
    <row r="633">
      <c r="J633" s="18"/>
    </row>
    <row r="634">
      <c r="J634" s="18"/>
    </row>
    <row r="635">
      <c r="J635" s="18"/>
    </row>
    <row r="636">
      <c r="J636" s="18"/>
    </row>
    <row r="637">
      <c r="J637" s="18"/>
    </row>
    <row r="638">
      <c r="J638" s="18"/>
    </row>
    <row r="639">
      <c r="J639" s="18"/>
    </row>
    <row r="640">
      <c r="J640" s="18"/>
    </row>
    <row r="641">
      <c r="J641" s="18"/>
    </row>
    <row r="642">
      <c r="J642" s="18"/>
    </row>
    <row r="643">
      <c r="J643" s="18"/>
    </row>
    <row r="644">
      <c r="J644" s="18"/>
    </row>
    <row r="645">
      <c r="J645" s="18"/>
    </row>
    <row r="646">
      <c r="J646" s="18"/>
    </row>
    <row r="647">
      <c r="J647" s="18"/>
    </row>
    <row r="648">
      <c r="J648" s="18"/>
    </row>
    <row r="649">
      <c r="J649" s="18"/>
    </row>
    <row r="650">
      <c r="J650" s="18"/>
    </row>
    <row r="651">
      <c r="J651" s="18"/>
    </row>
    <row r="652">
      <c r="J652" s="18"/>
    </row>
    <row r="653">
      <c r="J653" s="18"/>
    </row>
    <row r="654">
      <c r="J654" s="18"/>
    </row>
    <row r="655">
      <c r="J655" s="18"/>
    </row>
    <row r="656">
      <c r="J656" s="18"/>
    </row>
    <row r="657">
      <c r="J657" s="18"/>
    </row>
    <row r="658">
      <c r="J658" s="18"/>
    </row>
    <row r="659">
      <c r="J659" s="18"/>
    </row>
    <row r="660">
      <c r="J660" s="18"/>
    </row>
    <row r="661">
      <c r="J661" s="18"/>
    </row>
    <row r="662">
      <c r="J662" s="18"/>
    </row>
    <row r="663">
      <c r="J663" s="18"/>
    </row>
    <row r="664">
      <c r="J664" s="18"/>
    </row>
    <row r="665">
      <c r="J665" s="18"/>
    </row>
    <row r="666">
      <c r="J666" s="18"/>
    </row>
    <row r="667">
      <c r="J667" s="18"/>
    </row>
    <row r="668">
      <c r="J668" s="18"/>
    </row>
    <row r="669">
      <c r="J669" s="18"/>
    </row>
    <row r="670">
      <c r="J670" s="18"/>
    </row>
    <row r="671">
      <c r="J671" s="18"/>
    </row>
    <row r="672">
      <c r="J672" s="18"/>
    </row>
    <row r="673">
      <c r="J673" s="18"/>
    </row>
    <row r="674">
      <c r="J674" s="18"/>
    </row>
    <row r="675">
      <c r="J675" s="18"/>
    </row>
    <row r="676">
      <c r="J676" s="18"/>
    </row>
    <row r="677">
      <c r="J677" s="18"/>
    </row>
    <row r="678">
      <c r="J678" s="18"/>
    </row>
    <row r="679">
      <c r="J679" s="18"/>
    </row>
    <row r="680">
      <c r="J680" s="18"/>
    </row>
    <row r="681">
      <c r="J681" s="18"/>
    </row>
    <row r="682">
      <c r="J682" s="18"/>
    </row>
    <row r="683">
      <c r="J683" s="18"/>
    </row>
    <row r="684">
      <c r="J684" s="18"/>
    </row>
    <row r="685">
      <c r="J685" s="18"/>
    </row>
    <row r="686">
      <c r="J686" s="18"/>
    </row>
    <row r="687">
      <c r="J687" s="18"/>
    </row>
    <row r="688">
      <c r="J688" s="18"/>
    </row>
    <row r="689">
      <c r="J689" s="18"/>
    </row>
    <row r="690">
      <c r="J690" s="18"/>
    </row>
    <row r="691">
      <c r="J691" s="18"/>
    </row>
    <row r="692">
      <c r="J692" s="18"/>
    </row>
    <row r="693">
      <c r="J693" s="18"/>
    </row>
    <row r="694">
      <c r="J694" s="18"/>
    </row>
    <row r="695">
      <c r="J695" s="18"/>
    </row>
    <row r="696">
      <c r="J696" s="18"/>
    </row>
    <row r="697">
      <c r="J697" s="18"/>
    </row>
    <row r="698">
      <c r="J698" s="18"/>
    </row>
    <row r="699">
      <c r="J699" s="18"/>
    </row>
    <row r="700">
      <c r="J700" s="18"/>
    </row>
    <row r="701">
      <c r="J701" s="18"/>
    </row>
    <row r="702">
      <c r="J702" s="18"/>
    </row>
    <row r="703">
      <c r="J703" s="18"/>
    </row>
    <row r="704">
      <c r="J704" s="18"/>
    </row>
    <row r="705">
      <c r="J705" s="18"/>
    </row>
    <row r="706">
      <c r="J706" s="18"/>
    </row>
    <row r="707">
      <c r="J707" s="18"/>
    </row>
    <row r="708">
      <c r="J708" s="18"/>
    </row>
    <row r="709">
      <c r="J709" s="18"/>
    </row>
    <row r="710">
      <c r="J710" s="18"/>
    </row>
    <row r="711">
      <c r="J711" s="18"/>
    </row>
    <row r="712">
      <c r="J712" s="18"/>
    </row>
    <row r="713">
      <c r="J713" s="18"/>
    </row>
    <row r="714">
      <c r="J714" s="18"/>
    </row>
    <row r="715">
      <c r="J715" s="18"/>
    </row>
    <row r="716">
      <c r="J716" s="18"/>
    </row>
    <row r="717">
      <c r="J717" s="18"/>
    </row>
    <row r="718">
      <c r="J718" s="18"/>
    </row>
    <row r="719">
      <c r="J719" s="18"/>
    </row>
    <row r="720">
      <c r="J720" s="18"/>
    </row>
    <row r="721">
      <c r="J721" s="18"/>
    </row>
    <row r="722">
      <c r="J722" s="18"/>
    </row>
    <row r="723">
      <c r="J723" s="18"/>
    </row>
    <row r="724">
      <c r="J724" s="18"/>
    </row>
    <row r="725">
      <c r="J725" s="18"/>
    </row>
    <row r="726">
      <c r="J726" s="18"/>
    </row>
    <row r="727">
      <c r="J727" s="18"/>
    </row>
    <row r="728">
      <c r="J728" s="18"/>
    </row>
    <row r="729">
      <c r="J729" s="18"/>
    </row>
    <row r="730">
      <c r="J730" s="18"/>
    </row>
    <row r="731">
      <c r="J731" s="18"/>
    </row>
    <row r="732">
      <c r="J732" s="18"/>
    </row>
    <row r="733">
      <c r="J733" s="18"/>
    </row>
    <row r="734">
      <c r="J734" s="18"/>
    </row>
    <row r="735">
      <c r="J735" s="18"/>
    </row>
    <row r="736">
      <c r="J736" s="18"/>
    </row>
    <row r="737">
      <c r="J737" s="18"/>
    </row>
    <row r="738">
      <c r="J738" s="18"/>
    </row>
    <row r="739">
      <c r="J739" s="18"/>
    </row>
    <row r="740">
      <c r="J740" s="18"/>
    </row>
    <row r="741">
      <c r="J741" s="18"/>
    </row>
    <row r="742">
      <c r="J742" s="18"/>
    </row>
    <row r="743">
      <c r="J743" s="18"/>
    </row>
    <row r="744">
      <c r="J744" s="18"/>
    </row>
    <row r="745">
      <c r="J745" s="18"/>
    </row>
    <row r="746">
      <c r="J746" s="18"/>
    </row>
    <row r="747">
      <c r="J747" s="18"/>
    </row>
    <row r="748">
      <c r="J748" s="18"/>
    </row>
    <row r="749">
      <c r="J749" s="18"/>
    </row>
    <row r="750">
      <c r="J750" s="18"/>
    </row>
    <row r="751">
      <c r="J751" s="18"/>
    </row>
    <row r="752">
      <c r="J752" s="18"/>
    </row>
    <row r="753">
      <c r="J753" s="18"/>
    </row>
    <row r="754">
      <c r="J754" s="18"/>
    </row>
    <row r="755">
      <c r="J755" s="18"/>
    </row>
    <row r="756">
      <c r="J756" s="18"/>
    </row>
    <row r="757">
      <c r="J757" s="18"/>
    </row>
    <row r="758">
      <c r="J758" s="18"/>
    </row>
    <row r="759">
      <c r="J759" s="18"/>
    </row>
    <row r="760">
      <c r="J760" s="18"/>
    </row>
    <row r="761">
      <c r="J761" s="18"/>
    </row>
    <row r="762">
      <c r="J762" s="18"/>
    </row>
    <row r="763">
      <c r="J763" s="18"/>
    </row>
    <row r="764">
      <c r="J764" s="18"/>
    </row>
    <row r="765">
      <c r="J765" s="18"/>
    </row>
    <row r="766">
      <c r="J766" s="18"/>
    </row>
    <row r="767">
      <c r="J767" s="18"/>
    </row>
    <row r="768">
      <c r="J768" s="18"/>
    </row>
    <row r="769">
      <c r="J769" s="18"/>
    </row>
    <row r="770">
      <c r="J770" s="18"/>
    </row>
    <row r="771">
      <c r="J771" s="18"/>
    </row>
    <row r="772">
      <c r="J772" s="18"/>
    </row>
    <row r="773">
      <c r="J773" s="18"/>
    </row>
    <row r="774">
      <c r="J774" s="18"/>
    </row>
    <row r="775">
      <c r="J775" s="18"/>
    </row>
    <row r="776">
      <c r="J776" s="18"/>
    </row>
    <row r="777">
      <c r="J777" s="18"/>
    </row>
    <row r="778">
      <c r="J778" s="18"/>
    </row>
    <row r="779">
      <c r="J779" s="18"/>
    </row>
    <row r="780">
      <c r="J780" s="18"/>
    </row>
    <row r="781">
      <c r="J781" s="18"/>
    </row>
    <row r="782">
      <c r="J782" s="18"/>
    </row>
    <row r="783">
      <c r="J783" s="18"/>
    </row>
    <row r="784">
      <c r="J784" s="18"/>
    </row>
    <row r="785">
      <c r="J785" s="18"/>
    </row>
    <row r="786">
      <c r="J786" s="18"/>
    </row>
    <row r="787">
      <c r="J787" s="18"/>
    </row>
    <row r="788">
      <c r="J788" s="18"/>
    </row>
    <row r="789">
      <c r="J789" s="18"/>
    </row>
    <row r="790">
      <c r="J790" s="18"/>
    </row>
    <row r="791">
      <c r="J791" s="18"/>
    </row>
    <row r="792">
      <c r="J792" s="18"/>
    </row>
    <row r="793">
      <c r="J793" s="18"/>
    </row>
    <row r="794">
      <c r="J794" s="18"/>
    </row>
    <row r="795">
      <c r="J795" s="18"/>
    </row>
    <row r="796">
      <c r="J796" s="18"/>
    </row>
    <row r="797">
      <c r="J797" s="18"/>
    </row>
    <row r="798">
      <c r="J798" s="18"/>
    </row>
    <row r="799">
      <c r="J799" s="18"/>
    </row>
    <row r="800">
      <c r="J800" s="18"/>
    </row>
    <row r="801">
      <c r="J801" s="18"/>
    </row>
    <row r="802">
      <c r="J802" s="18"/>
    </row>
    <row r="803">
      <c r="J803" s="18"/>
    </row>
    <row r="804">
      <c r="J804" s="18"/>
    </row>
    <row r="805">
      <c r="J805" s="18"/>
    </row>
    <row r="806">
      <c r="J806" s="18"/>
    </row>
    <row r="807">
      <c r="J807" s="18"/>
    </row>
    <row r="808">
      <c r="J808" s="18"/>
    </row>
    <row r="809">
      <c r="J809" s="18"/>
    </row>
    <row r="810">
      <c r="J810" s="18"/>
    </row>
    <row r="811">
      <c r="J811" s="18"/>
    </row>
    <row r="812">
      <c r="J812" s="18"/>
    </row>
    <row r="813">
      <c r="J813" s="18"/>
    </row>
    <row r="814">
      <c r="J814" s="18"/>
    </row>
    <row r="815">
      <c r="J815" s="18"/>
    </row>
    <row r="816">
      <c r="J816" s="18"/>
    </row>
    <row r="817">
      <c r="J817" s="18"/>
    </row>
    <row r="818">
      <c r="J818" s="18"/>
    </row>
    <row r="819">
      <c r="J819" s="18"/>
    </row>
    <row r="820">
      <c r="J820" s="18"/>
    </row>
    <row r="821">
      <c r="J821" s="18"/>
    </row>
    <row r="822">
      <c r="J822" s="18"/>
    </row>
    <row r="823">
      <c r="J823" s="18"/>
    </row>
    <row r="824">
      <c r="J824" s="18"/>
    </row>
    <row r="825">
      <c r="J825" s="18"/>
    </row>
    <row r="826">
      <c r="J826" s="18"/>
    </row>
    <row r="827">
      <c r="J827" s="18"/>
    </row>
    <row r="828">
      <c r="J828" s="18"/>
    </row>
    <row r="829">
      <c r="J829" s="18"/>
    </row>
    <row r="830">
      <c r="J830" s="18"/>
    </row>
    <row r="831">
      <c r="J831" s="18"/>
    </row>
    <row r="832">
      <c r="J832" s="18"/>
    </row>
    <row r="833">
      <c r="J833" s="18"/>
    </row>
    <row r="834">
      <c r="J834" s="18"/>
    </row>
    <row r="835">
      <c r="J835" s="18"/>
    </row>
    <row r="836">
      <c r="J836" s="18"/>
    </row>
    <row r="837">
      <c r="J837" s="18"/>
    </row>
    <row r="838">
      <c r="J838" s="18"/>
    </row>
    <row r="839">
      <c r="J839" s="18"/>
    </row>
    <row r="840">
      <c r="J840" s="18"/>
    </row>
    <row r="841">
      <c r="J841" s="18"/>
    </row>
    <row r="842">
      <c r="J842" s="18"/>
    </row>
    <row r="843">
      <c r="J843" s="18"/>
    </row>
    <row r="844">
      <c r="J844" s="18"/>
    </row>
    <row r="845">
      <c r="J845" s="18"/>
    </row>
    <row r="846">
      <c r="J846" s="18"/>
    </row>
    <row r="847">
      <c r="J847" s="18"/>
    </row>
    <row r="848">
      <c r="J848" s="18"/>
    </row>
    <row r="849">
      <c r="J849" s="18"/>
    </row>
    <row r="850">
      <c r="J850" s="18"/>
    </row>
    <row r="851">
      <c r="J851" s="18"/>
    </row>
    <row r="852">
      <c r="J852" s="18"/>
    </row>
    <row r="853">
      <c r="J853" s="18"/>
    </row>
    <row r="854">
      <c r="J854" s="18"/>
    </row>
    <row r="855">
      <c r="J855" s="18"/>
    </row>
    <row r="856">
      <c r="J856" s="18"/>
    </row>
    <row r="857">
      <c r="J857" s="18"/>
    </row>
    <row r="858">
      <c r="J858" s="18"/>
    </row>
    <row r="859">
      <c r="J859" s="18"/>
    </row>
    <row r="860">
      <c r="J860" s="18"/>
    </row>
    <row r="861">
      <c r="J861" s="18"/>
    </row>
    <row r="862">
      <c r="J862" s="18"/>
    </row>
    <row r="863">
      <c r="J863" s="18"/>
    </row>
    <row r="864">
      <c r="J864" s="18"/>
    </row>
    <row r="865">
      <c r="J865" s="18"/>
    </row>
    <row r="866">
      <c r="J866" s="18"/>
    </row>
    <row r="867">
      <c r="J867" s="18"/>
    </row>
    <row r="868">
      <c r="J868" s="18"/>
    </row>
    <row r="869">
      <c r="J869" s="18"/>
    </row>
    <row r="870">
      <c r="J870" s="18"/>
    </row>
    <row r="871">
      <c r="J871" s="18"/>
    </row>
    <row r="872">
      <c r="J872" s="18"/>
    </row>
    <row r="873">
      <c r="J873" s="18"/>
    </row>
    <row r="874">
      <c r="J874" s="18"/>
    </row>
    <row r="875">
      <c r="J875" s="18"/>
    </row>
    <row r="876">
      <c r="J876" s="18"/>
    </row>
    <row r="877">
      <c r="J877" s="18"/>
    </row>
    <row r="878">
      <c r="J878" s="18"/>
    </row>
    <row r="879">
      <c r="J879" s="18"/>
    </row>
    <row r="880">
      <c r="J880" s="18"/>
    </row>
    <row r="881">
      <c r="J881" s="18"/>
    </row>
    <row r="882">
      <c r="J882" s="18"/>
    </row>
    <row r="883">
      <c r="J883" s="18"/>
    </row>
    <row r="884">
      <c r="J884" s="18"/>
    </row>
    <row r="885">
      <c r="J885" s="18"/>
    </row>
    <row r="886">
      <c r="J886" s="18"/>
    </row>
    <row r="887">
      <c r="J887" s="18"/>
    </row>
    <row r="888">
      <c r="J888" s="18"/>
    </row>
    <row r="889">
      <c r="J889" s="18"/>
    </row>
    <row r="890">
      <c r="J890" s="18"/>
    </row>
    <row r="891">
      <c r="J891" s="18"/>
    </row>
    <row r="892">
      <c r="J892" s="18"/>
    </row>
    <row r="893">
      <c r="J893" s="18"/>
    </row>
    <row r="894">
      <c r="J894" s="18"/>
    </row>
    <row r="895">
      <c r="J895" s="18"/>
    </row>
    <row r="896">
      <c r="J896" s="18"/>
    </row>
    <row r="897">
      <c r="J897" s="18"/>
    </row>
    <row r="898">
      <c r="J898" s="18"/>
    </row>
    <row r="899">
      <c r="J899" s="18"/>
    </row>
    <row r="900">
      <c r="J900" s="18"/>
    </row>
    <row r="901">
      <c r="J901" s="18"/>
    </row>
    <row r="902">
      <c r="J902" s="18"/>
    </row>
    <row r="903">
      <c r="J903" s="18"/>
    </row>
    <row r="904">
      <c r="J904" s="18"/>
    </row>
    <row r="905">
      <c r="J905" s="18"/>
    </row>
    <row r="906">
      <c r="J906" s="18"/>
    </row>
    <row r="907">
      <c r="J907" s="18"/>
    </row>
    <row r="908">
      <c r="J908" s="18"/>
    </row>
    <row r="909">
      <c r="J909" s="18"/>
    </row>
    <row r="910">
      <c r="J910" s="18"/>
    </row>
    <row r="911">
      <c r="J911" s="18"/>
    </row>
    <row r="912">
      <c r="J912" s="18"/>
    </row>
    <row r="913">
      <c r="J913" s="18"/>
    </row>
    <row r="914">
      <c r="J914" s="18"/>
    </row>
    <row r="915">
      <c r="J915" s="18"/>
    </row>
    <row r="916">
      <c r="J916" s="18"/>
    </row>
    <row r="917">
      <c r="J917" s="18"/>
    </row>
    <row r="918">
      <c r="J918" s="18"/>
    </row>
    <row r="919">
      <c r="J919" s="18"/>
    </row>
    <row r="920">
      <c r="J920" s="18"/>
    </row>
    <row r="921">
      <c r="J921" s="18"/>
    </row>
    <row r="922">
      <c r="J922" s="18"/>
    </row>
    <row r="923">
      <c r="J923" s="18"/>
    </row>
    <row r="924">
      <c r="J924" s="18"/>
    </row>
    <row r="925">
      <c r="J925" s="18"/>
    </row>
    <row r="926">
      <c r="J926" s="18"/>
    </row>
    <row r="927">
      <c r="J927" s="18"/>
    </row>
    <row r="928">
      <c r="J928" s="18"/>
    </row>
    <row r="929">
      <c r="J929" s="18"/>
    </row>
    <row r="930">
      <c r="J930" s="18"/>
    </row>
    <row r="931">
      <c r="J931" s="18"/>
    </row>
    <row r="932">
      <c r="J932" s="18"/>
    </row>
    <row r="933">
      <c r="J933" s="18"/>
    </row>
    <row r="934">
      <c r="J934" s="18"/>
    </row>
    <row r="935">
      <c r="J935" s="18"/>
    </row>
    <row r="936">
      <c r="J936" s="18"/>
    </row>
    <row r="937">
      <c r="J937" s="18"/>
    </row>
    <row r="938">
      <c r="J938" s="18"/>
    </row>
    <row r="939">
      <c r="J939" s="18"/>
    </row>
    <row r="940">
      <c r="J940" s="18"/>
    </row>
    <row r="941">
      <c r="J941" s="18"/>
    </row>
    <row r="942">
      <c r="J942" s="18"/>
    </row>
    <row r="943">
      <c r="J943" s="18"/>
    </row>
    <row r="944">
      <c r="J944" s="18"/>
    </row>
    <row r="945">
      <c r="J945" s="18"/>
    </row>
    <row r="946">
      <c r="J946" s="18"/>
    </row>
    <row r="947">
      <c r="J947" s="18"/>
    </row>
    <row r="948">
      <c r="J948" s="18"/>
    </row>
    <row r="949">
      <c r="J949" s="18"/>
    </row>
    <row r="950">
      <c r="J950" s="18"/>
    </row>
    <row r="951">
      <c r="J951" s="18"/>
    </row>
    <row r="952">
      <c r="J952" s="18"/>
    </row>
    <row r="953">
      <c r="J953" s="18"/>
    </row>
    <row r="954">
      <c r="J954" s="18"/>
    </row>
    <row r="955">
      <c r="J955" s="18"/>
    </row>
    <row r="956">
      <c r="J956" s="18"/>
    </row>
    <row r="957">
      <c r="J957" s="18"/>
    </row>
    <row r="958">
      <c r="J958" s="18"/>
    </row>
    <row r="959">
      <c r="J959" s="18"/>
    </row>
    <row r="960">
      <c r="J960" s="18"/>
    </row>
    <row r="961">
      <c r="J961" s="18"/>
    </row>
    <row r="962">
      <c r="J962" s="18"/>
    </row>
    <row r="963">
      <c r="J963" s="18"/>
    </row>
    <row r="964">
      <c r="J964" s="18"/>
    </row>
    <row r="965">
      <c r="J965" s="18"/>
    </row>
    <row r="966">
      <c r="J966" s="18"/>
    </row>
    <row r="967">
      <c r="J967" s="18"/>
    </row>
    <row r="968">
      <c r="J968" s="18"/>
    </row>
    <row r="969">
      <c r="J969" s="18"/>
    </row>
    <row r="970">
      <c r="J970" s="18"/>
    </row>
    <row r="971">
      <c r="J971" s="18"/>
    </row>
    <row r="972">
      <c r="J972" s="18"/>
    </row>
    <row r="973">
      <c r="J973" s="18"/>
    </row>
    <row r="974">
      <c r="J974" s="18"/>
    </row>
    <row r="975">
      <c r="J975" s="18"/>
    </row>
    <row r="976">
      <c r="J976" s="18"/>
    </row>
    <row r="977">
      <c r="J977" s="18"/>
    </row>
    <row r="978">
      <c r="J978" s="18"/>
    </row>
    <row r="979">
      <c r="J979" s="18"/>
    </row>
    <row r="980">
      <c r="J980" s="18"/>
    </row>
    <row r="981">
      <c r="J981" s="18"/>
    </row>
    <row r="982">
      <c r="J982" s="18"/>
    </row>
    <row r="983">
      <c r="J983" s="18"/>
    </row>
    <row r="984">
      <c r="J984" s="18"/>
    </row>
    <row r="985">
      <c r="J985" s="18"/>
    </row>
    <row r="986">
      <c r="J986" s="18"/>
    </row>
    <row r="987">
      <c r="J987" s="18"/>
    </row>
    <row r="988">
      <c r="J988" s="18"/>
    </row>
    <row r="989">
      <c r="J989" s="18"/>
    </row>
    <row r="990">
      <c r="J990" s="18"/>
    </row>
    <row r="991">
      <c r="J991" s="18"/>
    </row>
    <row r="992">
      <c r="J992" s="18"/>
    </row>
    <row r="993">
      <c r="J993" s="18"/>
    </row>
    <row r="994">
      <c r="J994" s="18"/>
    </row>
    <row r="995">
      <c r="J995" s="18"/>
    </row>
    <row r="996">
      <c r="J996" s="18"/>
    </row>
    <row r="997">
      <c r="J997" s="18"/>
    </row>
    <row r="998">
      <c r="J998" s="18"/>
    </row>
    <row r="999">
      <c r="J999" s="18"/>
    </row>
    <row r="1000">
      <c r="J1000" s="18"/>
    </row>
    <row r="1001">
      <c r="J1001" s="18"/>
    </row>
    <row r="1002">
      <c r="J1002" s="18"/>
    </row>
    <row r="1003">
      <c r="J1003" s="18"/>
    </row>
    <row r="1004">
      <c r="J1004" s="18"/>
    </row>
    <row r="1005">
      <c r="J1005" s="18"/>
    </row>
    <row r="1006">
      <c r="J1006" s="18"/>
    </row>
    <row r="1007">
      <c r="J1007" s="18"/>
    </row>
    <row r="1008">
      <c r="J1008" s="18"/>
    </row>
  </sheetData>
  <mergeCells count="9">
    <mergeCell ref="B80:B124"/>
    <mergeCell ref="B129:B155"/>
    <mergeCell ref="A1:N2"/>
    <mergeCell ref="A3:H3"/>
    <mergeCell ref="A5:A10"/>
    <mergeCell ref="B5:B33"/>
    <mergeCell ref="B34:B57"/>
    <mergeCell ref="N35:N45"/>
    <mergeCell ref="B58:B79"/>
  </mergeCells>
  <conditionalFormatting sqref="A1:N2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11.5"/>
    <col customWidth="1" min="13" max="13" width="30.13"/>
  </cols>
  <sheetData>
    <row r="1">
      <c r="A1" s="120" t="s">
        <v>543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5"/>
      <c r="Q1" s="5"/>
      <c r="R1" s="5"/>
      <c r="S1" s="5"/>
      <c r="T1" s="5"/>
      <c r="U1" s="5"/>
      <c r="V1" s="5"/>
      <c r="W1" s="5"/>
      <c r="X1" s="5"/>
      <c r="Y1" s="5"/>
    </row>
    <row r="2" ht="32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4"/>
      <c r="O2" s="4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/>
      <c r="J3" s="15"/>
      <c r="K3" s="15"/>
      <c r="L3" s="15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544</v>
      </c>
      <c r="J4" s="15" t="s">
        <v>545</v>
      </c>
      <c r="K4" s="15" t="s">
        <v>546</v>
      </c>
      <c r="L4" s="15" t="s">
        <v>547</v>
      </c>
      <c r="M4" s="17" t="s">
        <v>14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>
      <c r="A5" s="19" t="s">
        <v>548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399.0</v>
      </c>
      <c r="I6" s="32"/>
      <c r="J6" s="32"/>
      <c r="K6" s="32"/>
      <c r="L6" s="32"/>
      <c r="M6" s="32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389.0</v>
      </c>
      <c r="I7" s="32"/>
      <c r="J7" s="32"/>
      <c r="K7" s="32"/>
      <c r="L7" s="32"/>
      <c r="M7" s="32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439.0</v>
      </c>
      <c r="I8" s="32"/>
      <c r="J8" s="40"/>
      <c r="K8" s="15"/>
      <c r="L8" s="15"/>
      <c r="M8" s="32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32"/>
      <c r="J9" s="40"/>
      <c r="K9" s="15"/>
      <c r="L9" s="15"/>
      <c r="M9" s="32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519.0</v>
      </c>
      <c r="I10" s="57" t="s">
        <v>520</v>
      </c>
      <c r="J10" s="40"/>
      <c r="K10" s="15"/>
      <c r="L10" s="15"/>
      <c r="M10" s="32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569.0</v>
      </c>
      <c r="I11" s="57" t="s">
        <v>520</v>
      </c>
      <c r="J11" s="40"/>
      <c r="K11" s="15"/>
      <c r="L11" s="15"/>
      <c r="M11" s="32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57" t="s">
        <v>429</v>
      </c>
      <c r="J12" s="57" t="s">
        <v>429</v>
      </c>
      <c r="K12" s="57" t="s">
        <v>429</v>
      </c>
      <c r="L12" s="57" t="s">
        <v>429</v>
      </c>
      <c r="M12" s="32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57" t="s">
        <v>429</v>
      </c>
      <c r="J13" s="57" t="s">
        <v>429</v>
      </c>
      <c r="K13" s="57" t="s">
        <v>429</v>
      </c>
      <c r="L13" s="57" t="s">
        <v>429</v>
      </c>
      <c r="M13" s="32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89.95</v>
      </c>
      <c r="I15" s="32"/>
      <c r="J15" s="40"/>
      <c r="K15" s="15"/>
      <c r="L15" s="15"/>
      <c r="M15" s="32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124.95</v>
      </c>
      <c r="I16" s="32"/>
      <c r="J16" s="40"/>
      <c r="K16" s="15"/>
      <c r="L16" s="15"/>
      <c r="M16" s="32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54.95</v>
      </c>
      <c r="I17" s="32"/>
      <c r="J17" s="40"/>
      <c r="K17" s="15"/>
      <c r="L17" s="15"/>
      <c r="M17" s="32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24.95</v>
      </c>
      <c r="I18" s="32"/>
      <c r="J18" s="40"/>
      <c r="K18" s="15"/>
      <c r="L18" s="15"/>
      <c r="M18" s="3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54.95</v>
      </c>
      <c r="I19" s="32"/>
      <c r="J19" s="40"/>
      <c r="K19" s="15"/>
      <c r="L19" s="15"/>
      <c r="M19" s="32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40"/>
      <c r="K20" s="15"/>
      <c r="L20" s="15"/>
      <c r="M20" s="32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69.9</v>
      </c>
      <c r="I21" s="32"/>
      <c r="J21" s="40"/>
      <c r="K21" s="15"/>
      <c r="L21" s="15"/>
      <c r="M21" s="32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24.95</v>
      </c>
      <c r="I22" s="32"/>
      <c r="J22" s="40"/>
      <c r="K22" s="15"/>
      <c r="L22" s="15"/>
      <c r="M22" s="32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69.95</v>
      </c>
      <c r="I23" s="32"/>
      <c r="J23" s="40"/>
      <c r="K23" s="15"/>
      <c r="L23" s="15"/>
      <c r="M23" s="32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40"/>
      <c r="K24" s="15"/>
      <c r="L24" s="15"/>
      <c r="M24" s="32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134.92</v>
      </c>
      <c r="I25" s="32"/>
      <c r="J25" s="40"/>
      <c r="K25" s="15"/>
      <c r="L25" s="15"/>
      <c r="M25" s="32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44.95</v>
      </c>
      <c r="I26" s="32"/>
      <c r="J26" s="40"/>
      <c r="K26" s="15"/>
      <c r="L26" s="15"/>
      <c r="M26" s="3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134.95</v>
      </c>
      <c r="I27" s="32"/>
      <c r="J27" s="40"/>
      <c r="K27" s="15"/>
      <c r="L27" s="15"/>
      <c r="M27" s="32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40"/>
      <c r="K28" s="15"/>
      <c r="L28" s="15"/>
      <c r="M28" s="32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40"/>
      <c r="K29" s="15"/>
      <c r="L29" s="15"/>
      <c r="M29" s="32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40"/>
      <c r="K33" s="15"/>
      <c r="L33" s="15"/>
      <c r="M33" s="32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449.0</v>
      </c>
      <c r="I35" s="32"/>
      <c r="J35" s="97" t="s">
        <v>549</v>
      </c>
      <c r="K35" s="97" t="s">
        <v>549</v>
      </c>
      <c r="L35" s="44"/>
      <c r="M35" s="15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469.0</v>
      </c>
      <c r="I36" s="32"/>
      <c r="J36" s="97" t="s">
        <v>549</v>
      </c>
      <c r="K36" s="97" t="s">
        <v>549</v>
      </c>
      <c r="L36" s="44"/>
      <c r="M36" s="15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464.0</v>
      </c>
      <c r="I37" s="32"/>
      <c r="J37" s="97" t="s">
        <v>549</v>
      </c>
      <c r="K37" s="97" t="s">
        <v>549</v>
      </c>
      <c r="L37" s="44"/>
      <c r="M37" s="15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499.0</v>
      </c>
      <c r="I38" s="32"/>
      <c r="J38" s="97" t="s">
        <v>550</v>
      </c>
      <c r="K38" s="97" t="s">
        <v>550</v>
      </c>
      <c r="L38" s="44"/>
      <c r="M38" s="15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519.0</v>
      </c>
      <c r="I39" s="32"/>
      <c r="J39" s="97" t="s">
        <v>550</v>
      </c>
      <c r="K39" s="97" t="s">
        <v>550</v>
      </c>
      <c r="L39" s="44"/>
      <c r="M39" s="15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359.0</v>
      </c>
      <c r="I40" s="32"/>
      <c r="J40" s="101"/>
      <c r="K40" s="101"/>
      <c r="L40" s="44"/>
      <c r="M40" s="15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379.0</v>
      </c>
      <c r="I41" s="32"/>
      <c r="J41" s="101"/>
      <c r="K41" s="101"/>
      <c r="L41" s="44"/>
      <c r="M41" s="15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409.0</v>
      </c>
      <c r="I42" s="32"/>
      <c r="J42" s="101"/>
      <c r="K42" s="101"/>
      <c r="L42" s="44"/>
      <c r="M42" s="15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>
      <c r="A43" s="18"/>
      <c r="B43" s="27"/>
      <c r="C43" s="95" t="s">
        <v>466</v>
      </c>
      <c r="D43" s="96" t="s">
        <v>467</v>
      </c>
      <c r="E43" s="15" t="s">
        <v>468</v>
      </c>
      <c r="F43" s="35"/>
      <c r="G43" s="47"/>
      <c r="H43" s="31">
        <v>429.0</v>
      </c>
      <c r="I43" s="32"/>
      <c r="J43" s="101"/>
      <c r="K43" s="101"/>
      <c r="L43" s="44"/>
      <c r="M43" s="15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369.0</v>
      </c>
      <c r="I44" s="32"/>
      <c r="J44" s="97" t="s">
        <v>551</v>
      </c>
      <c r="K44" s="97" t="s">
        <v>551</v>
      </c>
      <c r="L44" s="44"/>
      <c r="M44" s="15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8">
        <v>379.0</v>
      </c>
      <c r="H45" s="31">
        <v>389.0</v>
      </c>
      <c r="I45" s="32"/>
      <c r="J45" s="97" t="s">
        <v>552</v>
      </c>
      <c r="K45" s="97" t="s">
        <v>552</v>
      </c>
      <c r="L45" s="44"/>
      <c r="M45" s="15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>
      <c r="A47" s="18"/>
      <c r="B47" s="27"/>
      <c r="C47" s="43" t="s">
        <v>128</v>
      </c>
      <c r="D47" s="49" t="s">
        <v>129</v>
      </c>
      <c r="E47" s="32" t="s">
        <v>130</v>
      </c>
      <c r="F47" s="50">
        <f t="shared" ref="F47:F56" si="6">H47</f>
        <v>59.95</v>
      </c>
      <c r="G47" s="51">
        <f t="shared" ref="G47:G56" si="7">H47</f>
        <v>59.95</v>
      </c>
      <c r="H47" s="52">
        <v>59.95</v>
      </c>
      <c r="I47" s="32"/>
      <c r="J47" s="44"/>
      <c r="K47" s="44"/>
      <c r="L47" s="44"/>
      <c r="M47" s="32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>
      <c r="A48" s="18"/>
      <c r="B48" s="27"/>
      <c r="C48" s="43" t="s">
        <v>131</v>
      </c>
      <c r="D48" s="15" t="s">
        <v>132</v>
      </c>
      <c r="E48" s="32" t="s">
        <v>133</v>
      </c>
      <c r="F48" s="50">
        <f t="shared" si="6"/>
        <v>59.95</v>
      </c>
      <c r="G48" s="51">
        <f t="shared" si="7"/>
        <v>59.95</v>
      </c>
      <c r="H48" s="52">
        <v>59.95</v>
      </c>
      <c r="I48" s="32"/>
      <c r="J48" s="44"/>
      <c r="K48" s="44"/>
      <c r="L48" s="44"/>
      <c r="M48" s="32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>
      <c r="A49" s="18"/>
      <c r="B49" s="27"/>
      <c r="C49" s="43" t="s">
        <v>134</v>
      </c>
      <c r="D49" s="15" t="s">
        <v>135</v>
      </c>
      <c r="E49" s="32" t="s">
        <v>136</v>
      </c>
      <c r="F49" s="50">
        <f t="shared" si="6"/>
        <v>33.95</v>
      </c>
      <c r="G49" s="51">
        <f t="shared" si="7"/>
        <v>33.95</v>
      </c>
      <c r="H49" s="52">
        <v>33.95</v>
      </c>
      <c r="I49" s="32"/>
      <c r="J49" s="32"/>
      <c r="K49" s="32"/>
      <c r="L49" s="32"/>
      <c r="M49" s="32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>
      <c r="A50" s="18"/>
      <c r="B50" s="27"/>
      <c r="C50" s="43" t="s">
        <v>137</v>
      </c>
      <c r="D50" s="15" t="s">
        <v>138</v>
      </c>
      <c r="E50" s="32" t="s">
        <v>139</v>
      </c>
      <c r="F50" s="50">
        <f t="shared" si="6"/>
        <v>42.95</v>
      </c>
      <c r="G50" s="51">
        <f t="shared" si="7"/>
        <v>42.95</v>
      </c>
      <c r="H50" s="52">
        <v>42.95</v>
      </c>
      <c r="I50" s="32"/>
      <c r="J50" s="32"/>
      <c r="K50" s="32"/>
      <c r="L50" s="32"/>
      <c r="M50" s="32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>
      <c r="A51" s="18"/>
      <c r="B51" s="27"/>
      <c r="C51" s="43" t="s">
        <v>140</v>
      </c>
      <c r="D51" s="15" t="s">
        <v>141</v>
      </c>
      <c r="E51" s="32" t="s">
        <v>142</v>
      </c>
      <c r="F51" s="50">
        <f t="shared" si="6"/>
        <v>79.95</v>
      </c>
      <c r="G51" s="51">
        <f t="shared" si="7"/>
        <v>79.95</v>
      </c>
      <c r="H51" s="52">
        <v>79.95</v>
      </c>
      <c r="I51" s="32"/>
      <c r="J51" s="32"/>
      <c r="K51" s="32"/>
      <c r="L51" s="32"/>
      <c r="M51" s="32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>
      <c r="A52" s="18"/>
      <c r="B52" s="27"/>
      <c r="C52" s="43" t="s">
        <v>143</v>
      </c>
      <c r="D52" s="15" t="s">
        <v>144</v>
      </c>
      <c r="E52" s="15" t="s">
        <v>145</v>
      </c>
      <c r="F52" s="50">
        <f t="shared" si="6"/>
        <v>42.95</v>
      </c>
      <c r="G52" s="51">
        <f t="shared" si="7"/>
        <v>42.95</v>
      </c>
      <c r="H52" s="52">
        <v>42.95</v>
      </c>
      <c r="I52" s="32"/>
      <c r="J52" s="32"/>
      <c r="K52" s="32"/>
      <c r="L52" s="32"/>
      <c r="M52" s="32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>
      <c r="A53" s="18"/>
      <c r="B53" s="27"/>
      <c r="C53" s="43" t="s">
        <v>146</v>
      </c>
      <c r="D53" s="15" t="s">
        <v>147</v>
      </c>
      <c r="E53" s="15" t="s">
        <v>148</v>
      </c>
      <c r="F53" s="50">
        <f t="shared" si="6"/>
        <v>59.95</v>
      </c>
      <c r="G53" s="51">
        <f t="shared" si="7"/>
        <v>59.95</v>
      </c>
      <c r="H53" s="52">
        <v>59.95</v>
      </c>
      <c r="I53" s="32"/>
      <c r="J53" s="32"/>
      <c r="K53" s="32"/>
      <c r="L53" s="32"/>
      <c r="M53" s="32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>
      <c r="A54" s="18"/>
      <c r="B54" s="27"/>
      <c r="C54" s="43" t="s">
        <v>149</v>
      </c>
      <c r="D54" s="15" t="s">
        <v>150</v>
      </c>
      <c r="E54" s="15" t="s">
        <v>151</v>
      </c>
      <c r="F54" s="50">
        <f t="shared" si="6"/>
        <v>33.95</v>
      </c>
      <c r="G54" s="51">
        <f t="shared" si="7"/>
        <v>33.95</v>
      </c>
      <c r="H54" s="52">
        <v>33.95</v>
      </c>
      <c r="I54" s="32"/>
      <c r="J54" s="32"/>
      <c r="K54" s="32"/>
      <c r="L54" s="32"/>
      <c r="M54" s="32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>
      <c r="A55" s="18"/>
      <c r="B55" s="27"/>
      <c r="C55" s="43" t="s">
        <v>152</v>
      </c>
      <c r="D55" s="53" t="s">
        <v>153</v>
      </c>
      <c r="E55" s="15" t="s">
        <v>154</v>
      </c>
      <c r="F55" s="50">
        <f t="shared" si="6"/>
        <v>80</v>
      </c>
      <c r="G55" s="51">
        <f t="shared" si="7"/>
        <v>80</v>
      </c>
      <c r="H55" s="54">
        <v>80.0</v>
      </c>
      <c r="I55" s="32"/>
      <c r="J55" s="32"/>
      <c r="K55" s="32"/>
      <c r="L55" s="32"/>
      <c r="M55" s="32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>
      <c r="A56" s="18"/>
      <c r="B56" s="38"/>
      <c r="C56" s="28" t="s">
        <v>155</v>
      </c>
      <c r="D56" s="53" t="s">
        <v>156</v>
      </c>
      <c r="E56" s="15" t="s">
        <v>157</v>
      </c>
      <c r="F56" s="50">
        <f t="shared" si="6"/>
        <v>29.95</v>
      </c>
      <c r="G56" s="51">
        <f t="shared" si="7"/>
        <v>29.95</v>
      </c>
      <c r="H56" s="52">
        <v>29.95</v>
      </c>
      <c r="I56" s="32"/>
      <c r="J56" s="32"/>
      <c r="K56" s="32"/>
      <c r="L56" s="32"/>
      <c r="M56" s="32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>
      <c r="A57" s="18"/>
      <c r="B57" s="20" t="s">
        <v>158</v>
      </c>
      <c r="C57" s="21" t="s">
        <v>17</v>
      </c>
      <c r="D57" s="22" t="s">
        <v>17</v>
      </c>
      <c r="E57" s="23" t="s">
        <v>159</v>
      </c>
      <c r="F57" s="24" t="s">
        <v>17</v>
      </c>
      <c r="G57" s="24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>
      <c r="A58" s="18"/>
      <c r="B58" s="27"/>
      <c r="C58" s="55" t="s">
        <v>160</v>
      </c>
      <c r="D58" s="15" t="s">
        <v>161</v>
      </c>
      <c r="E58" s="15" t="s">
        <v>162</v>
      </c>
      <c r="F58" s="50">
        <f t="shared" ref="F58:F60" si="8">H58*80%</f>
        <v>208</v>
      </c>
      <c r="G58" s="56">
        <v>260.0</v>
      </c>
      <c r="H58" s="52">
        <v>260.0</v>
      </c>
      <c r="I58" s="32"/>
      <c r="J58" s="32"/>
      <c r="K58" s="32"/>
      <c r="L58" s="32"/>
      <c r="M58" s="32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>
      <c r="A59" s="18"/>
      <c r="B59" s="27"/>
      <c r="C59" s="55" t="s">
        <v>164</v>
      </c>
      <c r="D59" s="15" t="s">
        <v>165</v>
      </c>
      <c r="E59" s="15" t="s">
        <v>166</v>
      </c>
      <c r="F59" s="50">
        <f t="shared" si="8"/>
        <v>208</v>
      </c>
      <c r="G59" s="56">
        <v>260.0</v>
      </c>
      <c r="H59" s="52">
        <v>260.0</v>
      </c>
      <c r="I59" s="32"/>
      <c r="J59" s="32"/>
      <c r="K59" s="32"/>
      <c r="L59" s="32"/>
      <c r="M59" s="32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>
      <c r="A60" s="18"/>
      <c r="B60" s="27"/>
      <c r="C60" s="55" t="s">
        <v>167</v>
      </c>
      <c r="D60" s="15" t="s">
        <v>168</v>
      </c>
      <c r="E60" s="15" t="s">
        <v>169</v>
      </c>
      <c r="F60" s="50">
        <f t="shared" si="8"/>
        <v>208</v>
      </c>
      <c r="G60" s="56">
        <v>260.0</v>
      </c>
      <c r="H60" s="52">
        <v>260.0</v>
      </c>
      <c r="I60" s="32"/>
      <c r="J60" s="32"/>
      <c r="K60" s="32"/>
      <c r="L60" s="32"/>
      <c r="M60" s="32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>
      <c r="A61" s="18"/>
      <c r="B61" s="27"/>
      <c r="C61" s="21" t="s">
        <v>17</v>
      </c>
      <c r="D61" s="22" t="s">
        <v>17</v>
      </c>
      <c r="E61" s="23" t="s">
        <v>170</v>
      </c>
      <c r="F61" s="24" t="s">
        <v>17</v>
      </c>
      <c r="G61" s="24" t="s">
        <v>17</v>
      </c>
      <c r="H61" s="25" t="s">
        <v>17</v>
      </c>
      <c r="I61" s="25" t="s">
        <v>17</v>
      </c>
      <c r="J61" s="25" t="s">
        <v>17</v>
      </c>
      <c r="K61" s="25" t="s">
        <v>17</v>
      </c>
      <c r="L61" s="25" t="s">
        <v>17</v>
      </c>
      <c r="M61" s="25" t="s">
        <v>17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>
      <c r="A62" s="18"/>
      <c r="B62" s="27"/>
      <c r="C62" s="55" t="s">
        <v>171</v>
      </c>
      <c r="D62" s="15" t="s">
        <v>172</v>
      </c>
      <c r="E62" s="15" t="s">
        <v>173</v>
      </c>
      <c r="F62" s="50">
        <f t="shared" ref="F62:F68" si="9">H62*70%</f>
        <v>51.1</v>
      </c>
      <c r="G62" s="56">
        <v>73.0</v>
      </c>
      <c r="H62" s="52">
        <v>73.0</v>
      </c>
      <c r="I62" s="32"/>
      <c r="J62" s="32"/>
      <c r="K62" s="32"/>
      <c r="L62" s="32"/>
      <c r="M62" s="32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>
      <c r="A63" s="18"/>
      <c r="B63" s="27"/>
      <c r="C63" s="55" t="s">
        <v>176</v>
      </c>
      <c r="D63" s="15" t="s">
        <v>177</v>
      </c>
      <c r="E63" s="15" t="s">
        <v>178</v>
      </c>
      <c r="F63" s="50">
        <f t="shared" si="9"/>
        <v>51.1</v>
      </c>
      <c r="G63" s="56">
        <v>73.0</v>
      </c>
      <c r="H63" s="52">
        <v>73.0</v>
      </c>
      <c r="I63" s="32"/>
      <c r="J63" s="32"/>
      <c r="K63" s="32"/>
      <c r="L63" s="32"/>
      <c r="M63" s="32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>
      <c r="A64" s="18"/>
      <c r="B64" s="27"/>
      <c r="C64" s="55" t="s">
        <v>179</v>
      </c>
      <c r="D64" s="15" t="s">
        <v>180</v>
      </c>
      <c r="E64" s="15" t="s">
        <v>181</v>
      </c>
      <c r="F64" s="50">
        <f t="shared" si="9"/>
        <v>57.365</v>
      </c>
      <c r="G64" s="56">
        <v>81.95</v>
      </c>
      <c r="H64" s="52">
        <v>81.95</v>
      </c>
      <c r="I64" s="32"/>
      <c r="J64" s="32"/>
      <c r="K64" s="32"/>
      <c r="L64" s="32"/>
      <c r="M64" s="32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>
      <c r="A65" s="18"/>
      <c r="B65" s="27"/>
      <c r="C65" s="55" t="s">
        <v>182</v>
      </c>
      <c r="D65" s="15" t="s">
        <v>183</v>
      </c>
      <c r="E65" s="15" t="s">
        <v>184</v>
      </c>
      <c r="F65" s="50">
        <f t="shared" si="9"/>
        <v>60.865</v>
      </c>
      <c r="G65" s="56">
        <v>86.95</v>
      </c>
      <c r="H65" s="52">
        <v>86.95</v>
      </c>
      <c r="I65" s="32"/>
      <c r="J65" s="32"/>
      <c r="K65" s="32"/>
      <c r="L65" s="32"/>
      <c r="M65" s="32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>
      <c r="A66" s="18"/>
      <c r="B66" s="27"/>
      <c r="C66" s="55" t="s">
        <v>185</v>
      </c>
      <c r="D66" s="15" t="s">
        <v>186</v>
      </c>
      <c r="E66" s="15" t="s">
        <v>187</v>
      </c>
      <c r="F66" s="50">
        <f t="shared" si="9"/>
        <v>67.165</v>
      </c>
      <c r="G66" s="56">
        <v>95.95</v>
      </c>
      <c r="H66" s="52">
        <v>95.95</v>
      </c>
      <c r="I66" s="32"/>
      <c r="J66" s="32"/>
      <c r="K66" s="32"/>
      <c r="L66" s="32"/>
      <c r="M66" s="32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>
      <c r="A67" s="18"/>
      <c r="B67" s="27"/>
      <c r="C67" s="55" t="s">
        <v>188</v>
      </c>
      <c r="D67" s="15" t="s">
        <v>189</v>
      </c>
      <c r="E67" s="15" t="s">
        <v>190</v>
      </c>
      <c r="F67" s="50">
        <f t="shared" si="9"/>
        <v>74.865</v>
      </c>
      <c r="G67" s="56">
        <v>106.95</v>
      </c>
      <c r="H67" s="52">
        <v>106.95</v>
      </c>
      <c r="I67" s="32"/>
      <c r="J67" s="32"/>
      <c r="K67" s="32"/>
      <c r="L67" s="32"/>
      <c r="M67" s="32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>
      <c r="A68" s="18"/>
      <c r="B68" s="27"/>
      <c r="C68" s="39" t="s">
        <v>191</v>
      </c>
      <c r="D68" s="15" t="s">
        <v>192</v>
      </c>
      <c r="E68" s="15" t="s">
        <v>193</v>
      </c>
      <c r="F68" s="50">
        <f t="shared" si="9"/>
        <v>74.865</v>
      </c>
      <c r="G68" s="56">
        <v>106.95</v>
      </c>
      <c r="H68" s="52">
        <v>106.95</v>
      </c>
      <c r="I68" s="32"/>
      <c r="J68" s="32"/>
      <c r="K68" s="32"/>
      <c r="L68" s="32"/>
      <c r="M68" s="32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>
      <c r="A69" s="18"/>
      <c r="B69" s="27"/>
      <c r="C69" s="21" t="s">
        <v>17</v>
      </c>
      <c r="D69" s="22" t="s">
        <v>17</v>
      </c>
      <c r="E69" s="23" t="s">
        <v>194</v>
      </c>
      <c r="F69" s="24" t="s">
        <v>17</v>
      </c>
      <c r="G69" s="24" t="s">
        <v>17</v>
      </c>
      <c r="H69" s="25" t="s">
        <v>17</v>
      </c>
      <c r="I69" s="25" t="s">
        <v>17</v>
      </c>
      <c r="J69" s="25" t="s">
        <v>17</v>
      </c>
      <c r="K69" s="25" t="s">
        <v>17</v>
      </c>
      <c r="L69" s="25" t="s">
        <v>17</v>
      </c>
      <c r="M69" s="25" t="s">
        <v>17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>
      <c r="A70" s="18"/>
      <c r="B70" s="27"/>
      <c r="C70" s="55" t="s">
        <v>195</v>
      </c>
      <c r="D70" s="15" t="s">
        <v>196</v>
      </c>
      <c r="E70" s="15" t="s">
        <v>197</v>
      </c>
      <c r="F70" s="50">
        <f t="shared" ref="F70:F78" si="10">H70*70%</f>
        <v>18.2</v>
      </c>
      <c r="G70" s="56">
        <v>26.0</v>
      </c>
      <c r="H70" s="54">
        <v>26.0</v>
      </c>
      <c r="I70" s="32"/>
      <c r="J70" s="32"/>
      <c r="K70" s="32"/>
      <c r="L70" s="32"/>
      <c r="M70" s="32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>
      <c r="A71" s="18"/>
      <c r="B71" s="27"/>
      <c r="C71" s="55" t="s">
        <v>198</v>
      </c>
      <c r="D71" s="15" t="s">
        <v>199</v>
      </c>
      <c r="E71" s="15" t="s">
        <v>200</v>
      </c>
      <c r="F71" s="50">
        <f t="shared" si="10"/>
        <v>18.2</v>
      </c>
      <c r="G71" s="56">
        <v>26.0</v>
      </c>
      <c r="H71" s="54">
        <v>26.0</v>
      </c>
      <c r="I71" s="32"/>
      <c r="J71" s="32"/>
      <c r="K71" s="32"/>
      <c r="L71" s="32"/>
      <c r="M71" s="32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>
      <c r="A72" s="18"/>
      <c r="B72" s="27"/>
      <c r="C72" s="55" t="s">
        <v>201</v>
      </c>
      <c r="D72" s="15" t="s">
        <v>202</v>
      </c>
      <c r="E72" s="15" t="s">
        <v>203</v>
      </c>
      <c r="F72" s="50">
        <f t="shared" si="10"/>
        <v>21</v>
      </c>
      <c r="G72" s="56">
        <v>30.0</v>
      </c>
      <c r="H72" s="54">
        <v>30.0</v>
      </c>
      <c r="I72" s="32"/>
      <c r="J72" s="32"/>
      <c r="K72" s="32"/>
      <c r="L72" s="32"/>
      <c r="M72" s="32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>
      <c r="A73" s="18"/>
      <c r="B73" s="27"/>
      <c r="C73" s="55" t="s">
        <v>204</v>
      </c>
      <c r="D73" s="15" t="s">
        <v>205</v>
      </c>
      <c r="E73" s="15" t="s">
        <v>206</v>
      </c>
      <c r="F73" s="50">
        <f t="shared" si="10"/>
        <v>12.6</v>
      </c>
      <c r="G73" s="56">
        <v>18.0</v>
      </c>
      <c r="H73" s="52">
        <v>18.0</v>
      </c>
      <c r="I73" s="32"/>
      <c r="J73" s="32"/>
      <c r="K73" s="32"/>
      <c r="L73" s="32"/>
      <c r="M73" s="32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>
      <c r="A74" s="18"/>
      <c r="B74" s="27"/>
      <c r="C74" s="55" t="s">
        <v>207</v>
      </c>
      <c r="D74" s="15" t="s">
        <v>208</v>
      </c>
      <c r="E74" s="15" t="s">
        <v>209</v>
      </c>
      <c r="F74" s="50">
        <f t="shared" si="10"/>
        <v>15.4</v>
      </c>
      <c r="G74" s="56">
        <v>22.0</v>
      </c>
      <c r="H74" s="54">
        <v>22.0</v>
      </c>
      <c r="I74" s="32"/>
      <c r="J74" s="32"/>
      <c r="K74" s="32"/>
      <c r="L74" s="32"/>
      <c r="M74" s="32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>
      <c r="A75" s="18"/>
      <c r="B75" s="27"/>
      <c r="C75" s="55" t="s">
        <v>210</v>
      </c>
      <c r="D75" s="15" t="s">
        <v>211</v>
      </c>
      <c r="E75" s="15" t="s">
        <v>212</v>
      </c>
      <c r="F75" s="50">
        <f t="shared" si="10"/>
        <v>11.2</v>
      </c>
      <c r="G75" s="56">
        <v>16.0</v>
      </c>
      <c r="H75" s="52">
        <v>16.0</v>
      </c>
      <c r="I75" s="32"/>
      <c r="J75" s="32"/>
      <c r="K75" s="32"/>
      <c r="L75" s="32"/>
      <c r="M75" s="32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>
      <c r="A76" s="18"/>
      <c r="B76" s="27"/>
      <c r="C76" s="55" t="s">
        <v>213</v>
      </c>
      <c r="D76" s="15" t="s">
        <v>214</v>
      </c>
      <c r="E76" s="15" t="s">
        <v>215</v>
      </c>
      <c r="F76" s="50">
        <f t="shared" si="10"/>
        <v>11.2</v>
      </c>
      <c r="G76" s="56">
        <v>16.0</v>
      </c>
      <c r="H76" s="52">
        <v>16.0</v>
      </c>
      <c r="I76" s="32"/>
      <c r="J76" s="32"/>
      <c r="K76" s="32"/>
      <c r="L76" s="32"/>
      <c r="M76" s="32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>
      <c r="A77" s="18"/>
      <c r="B77" s="27"/>
      <c r="C77" s="55" t="s">
        <v>216</v>
      </c>
      <c r="D77" s="15" t="s">
        <v>217</v>
      </c>
      <c r="E77" s="15" t="s">
        <v>218</v>
      </c>
      <c r="F77" s="50">
        <f t="shared" si="10"/>
        <v>14.7</v>
      </c>
      <c r="G77" s="56">
        <v>21.0</v>
      </c>
      <c r="H77" s="54">
        <v>21.0</v>
      </c>
      <c r="I77" s="32"/>
      <c r="J77" s="32"/>
      <c r="K77" s="32"/>
      <c r="L77" s="32"/>
      <c r="M77" s="32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>
      <c r="A78" s="18"/>
      <c r="B78" s="38"/>
      <c r="C78" s="55" t="s">
        <v>219</v>
      </c>
      <c r="D78" s="49" t="s">
        <v>220</v>
      </c>
      <c r="E78" s="15" t="s">
        <v>221</v>
      </c>
      <c r="F78" s="50">
        <f t="shared" si="10"/>
        <v>15.4</v>
      </c>
      <c r="G78" s="56">
        <v>22.0</v>
      </c>
      <c r="H78" s="54">
        <v>22.0</v>
      </c>
      <c r="I78" s="32"/>
      <c r="J78" s="32"/>
      <c r="K78" s="32"/>
      <c r="L78" s="32"/>
      <c r="M78" s="32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>
      <c r="A79" s="18"/>
      <c r="B79" s="20" t="s">
        <v>222</v>
      </c>
      <c r="C79" s="21" t="s">
        <v>17</v>
      </c>
      <c r="D79" s="22" t="s">
        <v>17</v>
      </c>
      <c r="E79" s="23" t="s">
        <v>223</v>
      </c>
      <c r="F79" s="24" t="s">
        <v>17</v>
      </c>
      <c r="G79" s="24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>
      <c r="A80" s="18"/>
      <c r="B80" s="27"/>
      <c r="C80" s="39" t="s">
        <v>224</v>
      </c>
      <c r="D80" s="15" t="s">
        <v>225</v>
      </c>
      <c r="E80" s="15" t="s">
        <v>226</v>
      </c>
      <c r="F80" s="58">
        <v>45.49</v>
      </c>
      <c r="G80" s="56">
        <v>69.95</v>
      </c>
      <c r="H80" s="52">
        <v>69.95</v>
      </c>
      <c r="I80" s="32"/>
      <c r="J80" s="57" t="s">
        <v>553</v>
      </c>
      <c r="K80" s="32"/>
      <c r="L80" s="32"/>
      <c r="M80" s="15" t="s">
        <v>554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>
      <c r="A81" s="18"/>
      <c r="B81" s="27"/>
      <c r="C81" s="39" t="s">
        <v>227</v>
      </c>
      <c r="D81" s="15" t="s">
        <v>228</v>
      </c>
      <c r="E81" s="15" t="s">
        <v>229</v>
      </c>
      <c r="F81" s="58">
        <v>58.84</v>
      </c>
      <c r="G81" s="56">
        <v>79.95</v>
      </c>
      <c r="H81" s="52">
        <v>79.95</v>
      </c>
      <c r="I81" s="32"/>
      <c r="J81" s="57" t="s">
        <v>553</v>
      </c>
      <c r="K81" s="32"/>
      <c r="L81" s="32"/>
      <c r="M81" s="15" t="s">
        <v>554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>
      <c r="A82" s="18"/>
      <c r="B82" s="27"/>
      <c r="C82" s="39" t="s">
        <v>230</v>
      </c>
      <c r="D82" s="15" t="s">
        <v>231</v>
      </c>
      <c r="E82" s="15" t="s">
        <v>232</v>
      </c>
      <c r="F82" s="58">
        <v>92.41</v>
      </c>
      <c r="G82" s="56">
        <v>114.95</v>
      </c>
      <c r="H82" s="54">
        <v>119.0</v>
      </c>
      <c r="I82" s="32"/>
      <c r="J82" s="57" t="s">
        <v>553</v>
      </c>
      <c r="K82" s="32"/>
      <c r="L82" s="32"/>
      <c r="M82" s="15" t="s">
        <v>554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>
      <c r="A83" s="18"/>
      <c r="B83" s="27"/>
      <c r="C83" s="39" t="s">
        <v>233</v>
      </c>
      <c r="D83" s="15" t="s">
        <v>234</v>
      </c>
      <c r="E83" s="15" t="s">
        <v>235</v>
      </c>
      <c r="F83" s="58">
        <v>17.99</v>
      </c>
      <c r="G83" s="56">
        <v>24.95</v>
      </c>
      <c r="H83" s="52">
        <v>24.95</v>
      </c>
      <c r="I83" s="32"/>
      <c r="J83" s="57" t="s">
        <v>553</v>
      </c>
      <c r="K83" s="32"/>
      <c r="L83" s="32"/>
      <c r="M83" s="15" t="s">
        <v>554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>
      <c r="A84" s="18"/>
      <c r="B84" s="27"/>
      <c r="C84" s="39" t="s">
        <v>236</v>
      </c>
      <c r="D84" s="15" t="s">
        <v>237</v>
      </c>
      <c r="E84" s="15" t="s">
        <v>238</v>
      </c>
      <c r="F84" s="58">
        <v>27.99</v>
      </c>
      <c r="G84" s="59">
        <v>32.95</v>
      </c>
      <c r="H84" s="52">
        <v>32.95</v>
      </c>
      <c r="I84" s="32"/>
      <c r="J84" s="57" t="s">
        <v>553</v>
      </c>
      <c r="K84" s="32"/>
      <c r="L84" s="32"/>
      <c r="M84" s="15" t="s">
        <v>554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>
      <c r="A85" s="18"/>
      <c r="B85" s="27"/>
      <c r="C85" s="39" t="s">
        <v>239</v>
      </c>
      <c r="D85" s="15" t="s">
        <v>240</v>
      </c>
      <c r="E85" s="15" t="s">
        <v>241</v>
      </c>
      <c r="F85" s="58">
        <v>19.95</v>
      </c>
      <c r="G85" s="59">
        <v>19.95</v>
      </c>
      <c r="H85" s="52">
        <v>19.95</v>
      </c>
      <c r="I85" s="32"/>
      <c r="J85" s="57" t="s">
        <v>553</v>
      </c>
      <c r="K85" s="32"/>
      <c r="L85" s="32"/>
      <c r="M85" s="15" t="s">
        <v>554</v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>
      <c r="A86" s="18"/>
      <c r="B86" s="27"/>
      <c r="C86" s="39" t="s">
        <v>242</v>
      </c>
      <c r="D86" s="15" t="s">
        <v>243</v>
      </c>
      <c r="E86" s="15" t="s">
        <v>244</v>
      </c>
      <c r="F86" s="58">
        <v>33.71</v>
      </c>
      <c r="G86" s="59">
        <v>44.95</v>
      </c>
      <c r="H86" s="52">
        <v>44.95</v>
      </c>
      <c r="I86" s="32"/>
      <c r="J86" s="57" t="s">
        <v>553</v>
      </c>
      <c r="K86" s="32"/>
      <c r="L86" s="32"/>
      <c r="M86" s="15" t="s">
        <v>554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>
      <c r="A87" s="18"/>
      <c r="B87" s="27"/>
      <c r="C87" s="39" t="s">
        <v>245</v>
      </c>
      <c r="D87" s="15" t="s">
        <v>246</v>
      </c>
      <c r="E87" s="15" t="s">
        <v>247</v>
      </c>
      <c r="F87" s="58">
        <v>33.71</v>
      </c>
      <c r="G87" s="59">
        <v>44.95</v>
      </c>
      <c r="H87" s="52">
        <v>44.95</v>
      </c>
      <c r="I87" s="32"/>
      <c r="J87" s="57" t="s">
        <v>553</v>
      </c>
      <c r="K87" s="32"/>
      <c r="L87" s="32"/>
      <c r="M87" s="15" t="s">
        <v>554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>
      <c r="A88" s="18"/>
      <c r="B88" s="27"/>
      <c r="C88" s="39" t="s">
        <v>248</v>
      </c>
      <c r="D88" s="15" t="s">
        <v>249</v>
      </c>
      <c r="E88" s="15" t="s">
        <v>250</v>
      </c>
      <c r="F88" s="58">
        <v>104.99</v>
      </c>
      <c r="G88" s="59">
        <v>129.95</v>
      </c>
      <c r="H88" s="52">
        <v>129.95</v>
      </c>
      <c r="I88" s="32"/>
      <c r="J88" s="57" t="s">
        <v>553</v>
      </c>
      <c r="K88" s="32"/>
      <c r="L88" s="32"/>
      <c r="M88" s="15" t="s">
        <v>554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>
      <c r="A89" s="18"/>
      <c r="B89" s="27"/>
      <c r="C89" s="39" t="s">
        <v>251</v>
      </c>
      <c r="D89" s="15" t="s">
        <v>252</v>
      </c>
      <c r="E89" s="15" t="s">
        <v>253</v>
      </c>
      <c r="F89" s="58">
        <v>21.24</v>
      </c>
      <c r="G89" s="59">
        <v>24.95</v>
      </c>
      <c r="H89" s="52">
        <v>24.95</v>
      </c>
      <c r="I89" s="32"/>
      <c r="J89" s="57" t="s">
        <v>553</v>
      </c>
      <c r="K89" s="32"/>
      <c r="L89" s="32"/>
      <c r="M89" s="15" t="s">
        <v>554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>
      <c r="A90" s="18"/>
      <c r="B90" s="27"/>
      <c r="C90" s="21" t="s">
        <v>17</v>
      </c>
      <c r="D90" s="22" t="s">
        <v>17</v>
      </c>
      <c r="E90" s="23" t="s">
        <v>254</v>
      </c>
      <c r="F90" s="24" t="s">
        <v>17</v>
      </c>
      <c r="G90" s="24" t="s">
        <v>17</v>
      </c>
      <c r="H90" s="25" t="s">
        <v>17</v>
      </c>
      <c r="I90" s="25" t="s">
        <v>17</v>
      </c>
      <c r="J90" s="25" t="s">
        <v>17</v>
      </c>
      <c r="K90" s="25" t="s">
        <v>17</v>
      </c>
      <c r="L90" s="25" t="s">
        <v>17</v>
      </c>
      <c r="M90" s="25" t="s">
        <v>17</v>
      </c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>
      <c r="A91" s="18"/>
      <c r="B91" s="27"/>
      <c r="C91" s="39" t="s">
        <v>255</v>
      </c>
      <c r="D91" s="15" t="s">
        <v>256</v>
      </c>
      <c r="E91" s="15" t="s">
        <v>257</v>
      </c>
      <c r="F91" s="58">
        <v>84.4</v>
      </c>
      <c r="G91" s="59">
        <v>99.95</v>
      </c>
      <c r="H91" s="52">
        <v>99.95</v>
      </c>
      <c r="I91" s="32"/>
      <c r="J91" s="57" t="s">
        <v>553</v>
      </c>
      <c r="K91" s="32"/>
      <c r="L91" s="15" t="s">
        <v>555</v>
      </c>
      <c r="M91" s="15" t="s">
        <v>554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>
      <c r="A92" s="18"/>
      <c r="B92" s="27"/>
      <c r="C92" s="39" t="s">
        <v>258</v>
      </c>
      <c r="D92" s="15" t="s">
        <v>259</v>
      </c>
      <c r="E92" s="15" t="s">
        <v>260</v>
      </c>
      <c r="F92" s="58">
        <v>126.82</v>
      </c>
      <c r="G92" s="59">
        <v>163.95</v>
      </c>
      <c r="H92" s="52">
        <v>163.95</v>
      </c>
      <c r="I92" s="32"/>
      <c r="J92" s="32"/>
      <c r="K92" s="32"/>
      <c r="L92" s="15"/>
      <c r="M92" s="32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>
      <c r="A93" s="18"/>
      <c r="B93" s="27"/>
      <c r="C93" s="39" t="s">
        <v>261</v>
      </c>
      <c r="D93" s="15" t="s">
        <v>262</v>
      </c>
      <c r="E93" s="15" t="s">
        <v>263</v>
      </c>
      <c r="F93" s="58">
        <v>24.95</v>
      </c>
      <c r="G93" s="59">
        <v>24.95</v>
      </c>
      <c r="H93" s="52">
        <v>24.95</v>
      </c>
      <c r="I93" s="32"/>
      <c r="J93" s="57" t="s">
        <v>553</v>
      </c>
      <c r="K93" s="32"/>
      <c r="L93" s="15" t="s">
        <v>555</v>
      </c>
      <c r="M93" s="15" t="s">
        <v>554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>
      <c r="A94" s="18"/>
      <c r="B94" s="27"/>
      <c r="C94" s="21" t="s">
        <v>17</v>
      </c>
      <c r="D94" s="22" t="s">
        <v>17</v>
      </c>
      <c r="E94" s="23" t="s">
        <v>264</v>
      </c>
      <c r="F94" s="24" t="s">
        <v>17</v>
      </c>
      <c r="G94" s="24" t="s">
        <v>17</v>
      </c>
      <c r="H94" s="25" t="s">
        <v>17</v>
      </c>
      <c r="I94" s="25" t="s">
        <v>17</v>
      </c>
      <c r="J94" s="25" t="s">
        <v>17</v>
      </c>
      <c r="K94" s="25" t="s">
        <v>17</v>
      </c>
      <c r="L94" s="25" t="s">
        <v>17</v>
      </c>
      <c r="M94" s="25" t="s">
        <v>17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>
      <c r="A95" s="18"/>
      <c r="B95" s="27"/>
      <c r="C95" s="39" t="s">
        <v>265</v>
      </c>
      <c r="D95" s="15" t="s">
        <v>266</v>
      </c>
      <c r="E95" s="15" t="s">
        <v>267</v>
      </c>
      <c r="F95" s="58">
        <v>104.97</v>
      </c>
      <c r="G95" s="56">
        <v>199.95</v>
      </c>
      <c r="H95" s="52">
        <v>149.95</v>
      </c>
      <c r="I95" s="32"/>
      <c r="J95" s="57" t="s">
        <v>553</v>
      </c>
      <c r="K95" s="32"/>
      <c r="L95" s="32"/>
      <c r="M95" s="15" t="s">
        <v>554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>
      <c r="A96" s="18"/>
      <c r="B96" s="27"/>
      <c r="C96" s="39" t="s">
        <v>268</v>
      </c>
      <c r="D96" s="15" t="s">
        <v>269</v>
      </c>
      <c r="E96" s="15" t="s">
        <v>270</v>
      </c>
      <c r="F96" s="58">
        <v>136.5</v>
      </c>
      <c r="G96" s="56">
        <v>244.95</v>
      </c>
      <c r="H96" s="54">
        <v>195.0</v>
      </c>
      <c r="I96" s="32"/>
      <c r="J96" s="57" t="s">
        <v>553</v>
      </c>
      <c r="K96" s="32"/>
      <c r="L96" s="32"/>
      <c r="M96" s="32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>
      <c r="A97" s="18"/>
      <c r="B97" s="27"/>
      <c r="C97" s="39" t="s">
        <v>271</v>
      </c>
      <c r="D97" s="15" t="s">
        <v>272</v>
      </c>
      <c r="E97" s="15" t="s">
        <v>273</v>
      </c>
      <c r="F97" s="58">
        <v>19.95</v>
      </c>
      <c r="G97" s="56">
        <v>49.95</v>
      </c>
      <c r="H97" s="52">
        <v>29.95</v>
      </c>
      <c r="I97" s="32"/>
      <c r="J97" s="57" t="s">
        <v>553</v>
      </c>
      <c r="K97" s="32"/>
      <c r="L97" s="32"/>
      <c r="M97" s="32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>
      <c r="A98" s="18"/>
      <c r="B98" s="27"/>
      <c r="C98" s="39" t="s">
        <v>274</v>
      </c>
      <c r="D98" s="15" t="s">
        <v>275</v>
      </c>
      <c r="E98" s="15" t="s">
        <v>276</v>
      </c>
      <c r="F98" s="58">
        <v>19.95</v>
      </c>
      <c r="G98" s="56">
        <v>29.95</v>
      </c>
      <c r="H98" s="52">
        <v>29.95</v>
      </c>
      <c r="I98" s="32"/>
      <c r="J98" s="57"/>
      <c r="K98" s="32"/>
      <c r="L98" s="32"/>
      <c r="M98" s="32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>
      <c r="A99" s="18"/>
      <c r="B99" s="27"/>
      <c r="C99" s="21" t="s">
        <v>17</v>
      </c>
      <c r="D99" s="22" t="s">
        <v>17</v>
      </c>
      <c r="E99" s="23" t="s">
        <v>277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>
      <c r="A100" s="18"/>
      <c r="B100" s="27"/>
      <c r="C100" s="39" t="s">
        <v>278</v>
      </c>
      <c r="D100" s="15" t="s">
        <v>279</v>
      </c>
      <c r="E100" s="15" t="s">
        <v>280</v>
      </c>
      <c r="F100" s="58">
        <v>52.61</v>
      </c>
      <c r="G100" s="59">
        <v>79.95</v>
      </c>
      <c r="H100" s="52">
        <v>79.95</v>
      </c>
      <c r="I100" s="32"/>
      <c r="J100" s="32"/>
      <c r="K100" s="32"/>
      <c r="L100" s="32"/>
      <c r="M100" s="32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>
      <c r="A101" s="18"/>
      <c r="B101" s="27"/>
      <c r="C101" s="39" t="s">
        <v>281</v>
      </c>
      <c r="D101" s="15" t="s">
        <v>282</v>
      </c>
      <c r="E101" s="15" t="s">
        <v>283</v>
      </c>
      <c r="F101" s="58">
        <v>64.5</v>
      </c>
      <c r="G101" s="59">
        <v>129.0</v>
      </c>
      <c r="H101" s="52">
        <v>129.0</v>
      </c>
      <c r="I101" s="32"/>
      <c r="J101" s="32"/>
      <c r="K101" s="32"/>
      <c r="L101" s="32"/>
      <c r="M101" s="32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>
      <c r="A102" s="18"/>
      <c r="B102" s="27"/>
      <c r="C102" s="21" t="s">
        <v>17</v>
      </c>
      <c r="D102" s="22" t="s">
        <v>17</v>
      </c>
      <c r="E102" s="23" t="s">
        <v>284</v>
      </c>
      <c r="F102" s="24" t="s">
        <v>17</v>
      </c>
      <c r="G102" s="24" t="s">
        <v>17</v>
      </c>
      <c r="H102" s="25" t="s">
        <v>17</v>
      </c>
      <c r="I102" s="25" t="s">
        <v>17</v>
      </c>
      <c r="J102" s="25" t="s">
        <v>17</v>
      </c>
      <c r="K102" s="25" t="s">
        <v>17</v>
      </c>
      <c r="L102" s="25" t="s">
        <v>17</v>
      </c>
      <c r="M102" s="25" t="s">
        <v>17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>
      <c r="A103" s="18"/>
      <c r="B103" s="27"/>
      <c r="C103" s="39" t="s">
        <v>285</v>
      </c>
      <c r="D103" s="60" t="s">
        <v>286</v>
      </c>
      <c r="E103" s="15" t="s">
        <v>287</v>
      </c>
      <c r="F103" s="58">
        <v>34.68</v>
      </c>
      <c r="G103" s="59">
        <v>39.95</v>
      </c>
      <c r="H103" s="52">
        <v>39.95</v>
      </c>
      <c r="I103" s="57" t="s">
        <v>556</v>
      </c>
      <c r="J103" s="57" t="s">
        <v>556</v>
      </c>
      <c r="K103" s="57" t="s">
        <v>556</v>
      </c>
      <c r="L103" s="57" t="s">
        <v>556</v>
      </c>
      <c r="M103" s="32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>
      <c r="A104" s="18"/>
      <c r="B104" s="27"/>
      <c r="C104" s="39" t="s">
        <v>288</v>
      </c>
      <c r="D104" s="60" t="s">
        <v>289</v>
      </c>
      <c r="E104" s="15" t="s">
        <v>290</v>
      </c>
      <c r="F104" s="58">
        <v>34.68</v>
      </c>
      <c r="G104" s="59">
        <v>39.95</v>
      </c>
      <c r="H104" s="52">
        <v>39.95</v>
      </c>
      <c r="I104" s="57" t="s">
        <v>556</v>
      </c>
      <c r="J104" s="57" t="s">
        <v>556</v>
      </c>
      <c r="K104" s="57" t="s">
        <v>556</v>
      </c>
      <c r="L104" s="57" t="s">
        <v>556</v>
      </c>
      <c r="M104" s="32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>
      <c r="A105" s="18"/>
      <c r="B105" s="27"/>
      <c r="C105" s="39" t="s">
        <v>291</v>
      </c>
      <c r="D105" s="60" t="s">
        <v>292</v>
      </c>
      <c r="E105" s="15" t="s">
        <v>293</v>
      </c>
      <c r="F105" s="58">
        <v>34.68</v>
      </c>
      <c r="G105" s="59">
        <v>39.95</v>
      </c>
      <c r="H105" s="52">
        <v>39.95</v>
      </c>
      <c r="I105" s="57" t="s">
        <v>556</v>
      </c>
      <c r="J105" s="57" t="s">
        <v>556</v>
      </c>
      <c r="K105" s="57" t="s">
        <v>556</v>
      </c>
      <c r="L105" s="57" t="s">
        <v>556</v>
      </c>
      <c r="M105" s="32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>
      <c r="A106" s="18"/>
      <c r="B106" s="27"/>
      <c r="C106" s="39" t="s">
        <v>294</v>
      </c>
      <c r="D106" s="61" t="s">
        <v>295</v>
      </c>
      <c r="E106" s="15" t="s">
        <v>296</v>
      </c>
      <c r="F106" s="58">
        <v>34.68</v>
      </c>
      <c r="G106" s="59">
        <v>39.95</v>
      </c>
      <c r="H106" s="52">
        <v>39.95</v>
      </c>
      <c r="I106" s="57" t="s">
        <v>556</v>
      </c>
      <c r="J106" s="57" t="s">
        <v>556</v>
      </c>
      <c r="K106" s="57" t="s">
        <v>556</v>
      </c>
      <c r="L106" s="57" t="s">
        <v>556</v>
      </c>
      <c r="M106" s="32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>
      <c r="A107" s="18"/>
      <c r="B107" s="27"/>
      <c r="C107" s="39" t="s">
        <v>297</v>
      </c>
      <c r="D107" s="60" t="s">
        <v>298</v>
      </c>
      <c r="E107" s="15" t="s">
        <v>299</v>
      </c>
      <c r="F107" s="58">
        <v>34.68</v>
      </c>
      <c r="G107" s="59">
        <v>39.95</v>
      </c>
      <c r="H107" s="52">
        <v>39.95</v>
      </c>
      <c r="I107" s="57" t="s">
        <v>556</v>
      </c>
      <c r="J107" s="57" t="s">
        <v>556</v>
      </c>
      <c r="K107" s="57" t="s">
        <v>556</v>
      </c>
      <c r="L107" s="57" t="s">
        <v>556</v>
      </c>
      <c r="M107" s="32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>
      <c r="A108" s="18"/>
      <c r="B108" s="27"/>
      <c r="C108" s="39" t="s">
        <v>300</v>
      </c>
      <c r="D108" s="60" t="s">
        <v>301</v>
      </c>
      <c r="E108" s="15" t="s">
        <v>302</v>
      </c>
      <c r="F108" s="58">
        <v>34.68</v>
      </c>
      <c r="G108" s="59">
        <v>39.95</v>
      </c>
      <c r="H108" s="52">
        <v>39.95</v>
      </c>
      <c r="I108" s="57" t="s">
        <v>556</v>
      </c>
      <c r="J108" s="57" t="s">
        <v>556</v>
      </c>
      <c r="K108" s="57" t="s">
        <v>556</v>
      </c>
      <c r="L108" s="57" t="s">
        <v>556</v>
      </c>
      <c r="M108" s="32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>
      <c r="A109" s="18"/>
      <c r="B109" s="27"/>
      <c r="C109" s="39" t="s">
        <v>303</v>
      </c>
      <c r="D109" s="60" t="s">
        <v>304</v>
      </c>
      <c r="E109" s="15" t="s">
        <v>305</v>
      </c>
      <c r="F109" s="58">
        <v>34.68</v>
      </c>
      <c r="G109" s="59">
        <v>39.95</v>
      </c>
      <c r="H109" s="52">
        <v>39.95</v>
      </c>
      <c r="I109" s="57" t="s">
        <v>556</v>
      </c>
      <c r="J109" s="57" t="s">
        <v>556</v>
      </c>
      <c r="K109" s="57" t="s">
        <v>556</v>
      </c>
      <c r="L109" s="57" t="s">
        <v>556</v>
      </c>
      <c r="M109" s="32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>
      <c r="A110" s="18"/>
      <c r="B110" s="27"/>
      <c r="C110" s="39" t="s">
        <v>306</v>
      </c>
      <c r="D110" s="62" t="s">
        <v>307</v>
      </c>
      <c r="E110" s="15" t="s">
        <v>308</v>
      </c>
      <c r="F110" s="58">
        <v>34.68</v>
      </c>
      <c r="G110" s="59">
        <v>39.95</v>
      </c>
      <c r="H110" s="52">
        <v>39.95</v>
      </c>
      <c r="I110" s="57" t="s">
        <v>556</v>
      </c>
      <c r="J110" s="57" t="s">
        <v>556</v>
      </c>
      <c r="K110" s="57" t="s">
        <v>556</v>
      </c>
      <c r="L110" s="57" t="s">
        <v>556</v>
      </c>
      <c r="M110" s="32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>
      <c r="A111" s="18"/>
      <c r="B111" s="27"/>
      <c r="C111" s="39" t="s">
        <v>309</v>
      </c>
      <c r="D111" s="60" t="s">
        <v>310</v>
      </c>
      <c r="E111" s="15" t="s">
        <v>311</v>
      </c>
      <c r="F111" s="58">
        <v>34.68</v>
      </c>
      <c r="G111" s="59">
        <v>39.95</v>
      </c>
      <c r="H111" s="52">
        <v>39.95</v>
      </c>
      <c r="I111" s="57" t="s">
        <v>556</v>
      </c>
      <c r="J111" s="57" t="s">
        <v>556</v>
      </c>
      <c r="K111" s="57" t="s">
        <v>556</v>
      </c>
      <c r="L111" s="57" t="s">
        <v>556</v>
      </c>
      <c r="M111" s="32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>
      <c r="A112" s="18"/>
      <c r="B112" s="27"/>
      <c r="C112" s="39" t="s">
        <v>312</v>
      </c>
      <c r="D112" s="60" t="s">
        <v>313</v>
      </c>
      <c r="E112" s="15" t="s">
        <v>314</v>
      </c>
      <c r="F112" s="58">
        <v>34.68</v>
      </c>
      <c r="G112" s="59">
        <v>39.95</v>
      </c>
      <c r="H112" s="52">
        <v>39.95</v>
      </c>
      <c r="I112" s="57" t="s">
        <v>556</v>
      </c>
      <c r="J112" s="57" t="s">
        <v>556</v>
      </c>
      <c r="K112" s="57" t="s">
        <v>556</v>
      </c>
      <c r="L112" s="57" t="s">
        <v>556</v>
      </c>
      <c r="M112" s="32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>
      <c r="A113" s="18"/>
      <c r="B113" s="27"/>
      <c r="C113" s="39" t="s">
        <v>315</v>
      </c>
      <c r="D113" s="60" t="s">
        <v>316</v>
      </c>
      <c r="E113" s="15" t="s">
        <v>317</v>
      </c>
      <c r="F113" s="58">
        <v>34.68</v>
      </c>
      <c r="G113" s="59">
        <v>39.95</v>
      </c>
      <c r="H113" s="52">
        <v>39.95</v>
      </c>
      <c r="I113" s="57" t="s">
        <v>556</v>
      </c>
      <c r="J113" s="57" t="s">
        <v>556</v>
      </c>
      <c r="K113" s="57" t="s">
        <v>556</v>
      </c>
      <c r="L113" s="57" t="s">
        <v>556</v>
      </c>
      <c r="M113" s="32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>
      <c r="A114" s="18"/>
      <c r="B114" s="27"/>
      <c r="C114" s="21" t="s">
        <v>17</v>
      </c>
      <c r="D114" s="22" t="s">
        <v>17</v>
      </c>
      <c r="E114" s="23" t="s">
        <v>331</v>
      </c>
      <c r="F114" s="24" t="s">
        <v>17</v>
      </c>
      <c r="G114" s="24" t="s">
        <v>17</v>
      </c>
      <c r="H114" s="25" t="s">
        <v>17</v>
      </c>
      <c r="I114" s="25" t="s">
        <v>17</v>
      </c>
      <c r="J114" s="25" t="s">
        <v>17</v>
      </c>
      <c r="K114" s="25" t="s">
        <v>17</v>
      </c>
      <c r="L114" s="25" t="s">
        <v>17</v>
      </c>
      <c r="M114" s="25" t="s">
        <v>17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>
      <c r="A115" s="18"/>
      <c r="B115" s="27"/>
      <c r="C115" s="39" t="s">
        <v>332</v>
      </c>
      <c r="D115" s="15" t="s">
        <v>333</v>
      </c>
      <c r="E115" s="15" t="s">
        <v>334</v>
      </c>
      <c r="F115" s="58">
        <v>41.97</v>
      </c>
      <c r="G115" s="56">
        <v>79.95</v>
      </c>
      <c r="H115" s="52">
        <v>59.95</v>
      </c>
      <c r="I115" s="32"/>
      <c r="J115" s="57" t="s">
        <v>557</v>
      </c>
      <c r="K115" s="57" t="s">
        <v>557</v>
      </c>
      <c r="L115" s="57" t="s">
        <v>557</v>
      </c>
      <c r="M115" s="32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>
      <c r="A116" s="18"/>
      <c r="B116" s="27"/>
      <c r="C116" s="39" t="s">
        <v>335</v>
      </c>
      <c r="D116" s="15" t="s">
        <v>336</v>
      </c>
      <c r="E116" s="15" t="s">
        <v>337</v>
      </c>
      <c r="F116" s="58">
        <v>41.97</v>
      </c>
      <c r="G116" s="56">
        <v>79.95</v>
      </c>
      <c r="H116" s="52">
        <v>59.95</v>
      </c>
      <c r="I116" s="32"/>
      <c r="J116" s="57" t="s">
        <v>557</v>
      </c>
      <c r="K116" s="57" t="s">
        <v>557</v>
      </c>
      <c r="L116" s="57" t="s">
        <v>557</v>
      </c>
      <c r="M116" s="32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>
      <c r="A117" s="18"/>
      <c r="B117" s="27"/>
      <c r="C117" s="39" t="s">
        <v>338</v>
      </c>
      <c r="D117" s="15" t="s">
        <v>339</v>
      </c>
      <c r="E117" s="15" t="s">
        <v>340</v>
      </c>
      <c r="F117" s="58">
        <v>41.97</v>
      </c>
      <c r="G117" s="56">
        <v>79.95</v>
      </c>
      <c r="H117" s="52">
        <v>59.95</v>
      </c>
      <c r="I117" s="32"/>
      <c r="J117" s="57" t="s">
        <v>557</v>
      </c>
      <c r="K117" s="57" t="s">
        <v>557</v>
      </c>
      <c r="L117" s="57" t="s">
        <v>557</v>
      </c>
      <c r="M117" s="32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>
      <c r="A118" s="18"/>
      <c r="B118" s="27"/>
      <c r="C118" s="39" t="s">
        <v>341</v>
      </c>
      <c r="D118" s="15" t="s">
        <v>342</v>
      </c>
      <c r="E118" s="15" t="s">
        <v>340</v>
      </c>
      <c r="F118" s="58">
        <v>41.97</v>
      </c>
      <c r="G118" s="56">
        <v>79.95</v>
      </c>
      <c r="H118" s="52">
        <v>59.95</v>
      </c>
      <c r="I118" s="32"/>
      <c r="J118" s="57" t="s">
        <v>557</v>
      </c>
      <c r="K118" s="57" t="s">
        <v>557</v>
      </c>
      <c r="L118" s="57" t="s">
        <v>557</v>
      </c>
      <c r="M118" s="32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>
      <c r="A119" s="18"/>
      <c r="B119" s="27"/>
      <c r="C119" s="39" t="s">
        <v>343</v>
      </c>
      <c r="D119" s="15" t="s">
        <v>344</v>
      </c>
      <c r="E119" s="15" t="s">
        <v>345</v>
      </c>
      <c r="F119" s="58">
        <v>41.97</v>
      </c>
      <c r="G119" s="56">
        <v>79.95</v>
      </c>
      <c r="H119" s="52">
        <v>59.95</v>
      </c>
      <c r="I119" s="32"/>
      <c r="J119" s="57" t="s">
        <v>557</v>
      </c>
      <c r="K119" s="57" t="s">
        <v>557</v>
      </c>
      <c r="L119" s="57" t="s">
        <v>557</v>
      </c>
      <c r="M119" s="32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>
      <c r="A120" s="18"/>
      <c r="B120" s="27"/>
      <c r="C120" s="39" t="s">
        <v>346</v>
      </c>
      <c r="D120" s="15" t="s">
        <v>347</v>
      </c>
      <c r="E120" s="15" t="s">
        <v>340</v>
      </c>
      <c r="F120" s="58">
        <v>41.97</v>
      </c>
      <c r="G120" s="56">
        <v>79.95</v>
      </c>
      <c r="H120" s="52">
        <v>59.95</v>
      </c>
      <c r="I120" s="32"/>
      <c r="J120" s="57" t="s">
        <v>557</v>
      </c>
      <c r="K120" s="57" t="s">
        <v>557</v>
      </c>
      <c r="L120" s="57" t="s">
        <v>557</v>
      </c>
      <c r="M120" s="32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>
      <c r="A121" s="18"/>
      <c r="B121" s="27"/>
      <c r="C121" s="39" t="s">
        <v>348</v>
      </c>
      <c r="D121" s="15" t="s">
        <v>349</v>
      </c>
      <c r="E121" s="15" t="s">
        <v>340</v>
      </c>
      <c r="F121" s="58">
        <v>41.97</v>
      </c>
      <c r="G121" s="56">
        <v>79.95</v>
      </c>
      <c r="H121" s="52">
        <v>59.95</v>
      </c>
      <c r="I121" s="32"/>
      <c r="J121" s="57" t="s">
        <v>557</v>
      </c>
      <c r="K121" s="57" t="s">
        <v>557</v>
      </c>
      <c r="L121" s="57" t="s">
        <v>557</v>
      </c>
      <c r="M121" s="32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>
      <c r="A122" s="18"/>
      <c r="B122" s="27"/>
      <c r="C122" s="39" t="s">
        <v>350</v>
      </c>
      <c r="D122" s="15" t="s">
        <v>351</v>
      </c>
      <c r="E122" s="15" t="s">
        <v>352</v>
      </c>
      <c r="F122" s="58">
        <v>41.97</v>
      </c>
      <c r="G122" s="56">
        <v>79.95</v>
      </c>
      <c r="H122" s="52">
        <v>59.95</v>
      </c>
      <c r="I122" s="32"/>
      <c r="J122" s="57" t="s">
        <v>557</v>
      </c>
      <c r="K122" s="57" t="s">
        <v>557</v>
      </c>
      <c r="L122" s="57" t="s">
        <v>557</v>
      </c>
      <c r="M122" s="32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>
      <c r="A123" s="18"/>
      <c r="B123" s="38"/>
      <c r="C123" s="64" t="s">
        <v>353</v>
      </c>
      <c r="D123" s="65" t="s">
        <v>354</v>
      </c>
      <c r="E123" s="65" t="s">
        <v>355</v>
      </c>
      <c r="F123" s="58">
        <v>41.97</v>
      </c>
      <c r="G123" s="56">
        <v>79.95</v>
      </c>
      <c r="H123" s="52">
        <v>59.95</v>
      </c>
      <c r="I123" s="32"/>
      <c r="J123" s="57" t="s">
        <v>557</v>
      </c>
      <c r="K123" s="57" t="s">
        <v>557</v>
      </c>
      <c r="L123" s="57" t="s">
        <v>557</v>
      </c>
      <c r="M123" s="32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>
      <c r="A124" s="18"/>
      <c r="B124" s="20" t="s">
        <v>356</v>
      </c>
      <c r="C124" s="66" t="s">
        <v>17</v>
      </c>
      <c r="D124" s="67" t="s">
        <v>17</v>
      </c>
      <c r="E124" s="23" t="s">
        <v>357</v>
      </c>
      <c r="F124" s="68" t="s">
        <v>17</v>
      </c>
      <c r="G124" s="68" t="s">
        <v>17</v>
      </c>
      <c r="H124" s="25" t="s">
        <v>17</v>
      </c>
      <c r="I124" s="25" t="s">
        <v>17</v>
      </c>
      <c r="J124" s="25" t="s">
        <v>17</v>
      </c>
      <c r="K124" s="25" t="s">
        <v>17</v>
      </c>
      <c r="L124" s="25" t="s">
        <v>17</v>
      </c>
      <c r="M124" s="25" t="s">
        <v>17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>
      <c r="A125" s="18"/>
      <c r="B125" s="27"/>
      <c r="C125" s="69" t="s">
        <v>358</v>
      </c>
      <c r="D125" s="70" t="s">
        <v>359</v>
      </c>
      <c r="E125" s="70" t="s">
        <v>360</v>
      </c>
      <c r="F125" s="71">
        <v>35.95</v>
      </c>
      <c r="G125" s="72">
        <v>69.95</v>
      </c>
      <c r="H125" s="52">
        <v>54.95</v>
      </c>
      <c r="I125" s="32"/>
      <c r="J125" s="32"/>
      <c r="K125" s="32"/>
      <c r="L125" s="32"/>
      <c r="M125" s="32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>
      <c r="A126" s="18"/>
      <c r="B126" s="27"/>
      <c r="C126" s="66" t="s">
        <v>17</v>
      </c>
      <c r="D126" s="67" t="s">
        <v>17</v>
      </c>
      <c r="E126" s="23" t="s">
        <v>361</v>
      </c>
      <c r="F126" s="68" t="s">
        <v>17</v>
      </c>
      <c r="G126" s="68" t="s">
        <v>17</v>
      </c>
      <c r="H126" s="25" t="s">
        <v>17</v>
      </c>
      <c r="I126" s="25" t="s">
        <v>17</v>
      </c>
      <c r="J126" s="25" t="s">
        <v>17</v>
      </c>
      <c r="K126" s="25" t="s">
        <v>17</v>
      </c>
      <c r="L126" s="25" t="s">
        <v>17</v>
      </c>
      <c r="M126" s="25" t="s">
        <v>17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>
      <c r="A127" s="18"/>
      <c r="B127" s="27"/>
      <c r="C127" s="73" t="s">
        <v>362</v>
      </c>
      <c r="D127" s="70" t="s">
        <v>363</v>
      </c>
      <c r="E127" s="70" t="s">
        <v>364</v>
      </c>
      <c r="F127" s="71">
        <v>35.95</v>
      </c>
      <c r="G127" s="72">
        <v>59.95</v>
      </c>
      <c r="H127" s="52">
        <v>59.95</v>
      </c>
      <c r="I127" s="32"/>
      <c r="J127" s="32"/>
      <c r="K127" s="32"/>
      <c r="L127" s="32"/>
      <c r="M127" s="32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>
      <c r="A128" s="18"/>
      <c r="B128" s="27"/>
      <c r="C128" s="73" t="s">
        <v>365</v>
      </c>
      <c r="D128" s="70" t="s">
        <v>366</v>
      </c>
      <c r="E128" s="70" t="s">
        <v>367</v>
      </c>
      <c r="F128" s="71">
        <v>71.9</v>
      </c>
      <c r="G128" s="72">
        <v>79.9</v>
      </c>
      <c r="H128" s="52">
        <v>97.12</v>
      </c>
      <c r="I128" s="32"/>
      <c r="J128" s="32"/>
      <c r="K128" s="32"/>
      <c r="L128" s="32"/>
      <c r="M128" s="32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>
      <c r="A129" s="18"/>
      <c r="B129" s="27"/>
      <c r="C129" s="73" t="s">
        <v>368</v>
      </c>
      <c r="D129" s="70" t="s">
        <v>369</v>
      </c>
      <c r="E129" s="70" t="s">
        <v>370</v>
      </c>
      <c r="F129" s="71">
        <v>45.95</v>
      </c>
      <c r="G129" s="72">
        <v>69.95</v>
      </c>
      <c r="H129" s="52">
        <v>69.95</v>
      </c>
      <c r="I129" s="32"/>
      <c r="J129" s="32"/>
      <c r="K129" s="32"/>
      <c r="L129" s="32"/>
      <c r="M129" s="32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>
      <c r="A130" s="18"/>
      <c r="B130" s="27"/>
      <c r="C130" s="73" t="s">
        <v>371</v>
      </c>
      <c r="D130" s="70" t="s">
        <v>372</v>
      </c>
      <c r="E130" s="70" t="s">
        <v>373</v>
      </c>
      <c r="F130" s="71">
        <v>91.9</v>
      </c>
      <c r="G130" s="72">
        <v>99.9</v>
      </c>
      <c r="H130" s="52">
        <v>107.03</v>
      </c>
      <c r="I130" s="32"/>
      <c r="J130" s="32"/>
      <c r="K130" s="32"/>
      <c r="L130" s="32"/>
      <c r="M130" s="32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>
      <c r="A131" s="18"/>
      <c r="B131" s="27"/>
      <c r="C131" s="66" t="s">
        <v>17</v>
      </c>
      <c r="D131" s="67" t="s">
        <v>17</v>
      </c>
      <c r="E131" s="23" t="s">
        <v>374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>
      <c r="A132" s="18"/>
      <c r="B132" s="27"/>
      <c r="C132" s="74" t="s">
        <v>375</v>
      </c>
      <c r="D132" s="70" t="s">
        <v>376</v>
      </c>
      <c r="E132" s="70" t="s">
        <v>374</v>
      </c>
      <c r="F132" s="71">
        <v>35.95</v>
      </c>
      <c r="G132" s="72">
        <v>36.0</v>
      </c>
      <c r="H132" s="54">
        <v>36.0</v>
      </c>
      <c r="I132" s="32"/>
      <c r="J132" s="32"/>
      <c r="K132" s="32"/>
      <c r="L132" s="32"/>
      <c r="M132" s="32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>
      <c r="A133" s="18"/>
      <c r="B133" s="27"/>
      <c r="C133" s="69" t="s">
        <v>377</v>
      </c>
      <c r="D133" s="70" t="s">
        <v>378</v>
      </c>
      <c r="E133" s="70" t="s">
        <v>379</v>
      </c>
      <c r="F133" s="71">
        <v>45.95</v>
      </c>
      <c r="G133" s="72">
        <v>58.65</v>
      </c>
      <c r="H133" s="52">
        <v>58.65</v>
      </c>
      <c r="I133" s="32"/>
      <c r="J133" s="32"/>
      <c r="K133" s="32"/>
      <c r="L133" s="32"/>
      <c r="M133" s="32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>
      <c r="A134" s="18"/>
      <c r="B134" s="27"/>
      <c r="C134" s="66" t="s">
        <v>17</v>
      </c>
      <c r="D134" s="67" t="s">
        <v>17</v>
      </c>
      <c r="E134" s="23" t="s">
        <v>380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>
      <c r="A135" s="18"/>
      <c r="B135" s="27"/>
      <c r="C135" s="74" t="s">
        <v>381</v>
      </c>
      <c r="D135" s="70" t="s">
        <v>382</v>
      </c>
      <c r="E135" s="70" t="s">
        <v>380</v>
      </c>
      <c r="F135" s="71">
        <v>35.95</v>
      </c>
      <c r="G135" s="72">
        <v>59.95</v>
      </c>
      <c r="H135" s="54">
        <v>55.0</v>
      </c>
      <c r="I135" s="32"/>
      <c r="J135" s="32"/>
      <c r="K135" s="32"/>
      <c r="L135" s="32"/>
      <c r="M135" s="32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>
      <c r="A136" s="18"/>
      <c r="B136" s="27"/>
      <c r="C136" s="74" t="s">
        <v>383</v>
      </c>
      <c r="D136" s="70" t="s">
        <v>384</v>
      </c>
      <c r="E136" s="70" t="s">
        <v>385</v>
      </c>
      <c r="F136" s="71">
        <v>45.95</v>
      </c>
      <c r="G136" s="72">
        <v>69.95</v>
      </c>
      <c r="H136" s="54">
        <v>69.95</v>
      </c>
      <c r="I136" s="32"/>
      <c r="J136" s="32"/>
      <c r="K136" s="32"/>
      <c r="L136" s="32"/>
      <c r="M136" s="32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>
      <c r="A137" s="18"/>
      <c r="B137" s="27"/>
      <c r="C137" s="66" t="s">
        <v>17</v>
      </c>
      <c r="D137" s="67" t="s">
        <v>17</v>
      </c>
      <c r="E137" s="23" t="s">
        <v>386</v>
      </c>
      <c r="F137" s="68" t="s">
        <v>17</v>
      </c>
      <c r="G137" s="68" t="s">
        <v>17</v>
      </c>
      <c r="H137" s="25" t="s">
        <v>17</v>
      </c>
      <c r="I137" s="66" t="s">
        <v>17</v>
      </c>
      <c r="J137" s="67" t="s">
        <v>17</v>
      </c>
      <c r="K137" s="67" t="s">
        <v>17</v>
      </c>
      <c r="L137" s="68" t="s">
        <v>17</v>
      </c>
      <c r="M137" s="25" t="s">
        <v>17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>
      <c r="A138" s="18"/>
      <c r="B138" s="27"/>
      <c r="C138" s="73" t="s">
        <v>387</v>
      </c>
      <c r="D138" s="70" t="s">
        <v>388</v>
      </c>
      <c r="E138" s="70" t="s">
        <v>389</v>
      </c>
      <c r="F138" s="71">
        <v>19.99</v>
      </c>
      <c r="G138" s="72">
        <v>24.99</v>
      </c>
      <c r="H138" s="52">
        <v>34.95</v>
      </c>
      <c r="I138" s="32"/>
      <c r="J138" s="32"/>
      <c r="K138" s="32"/>
      <c r="L138" s="32"/>
      <c r="M138" s="32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>
      <c r="A139" s="18"/>
      <c r="B139" s="27"/>
      <c r="C139" s="73" t="s">
        <v>390</v>
      </c>
      <c r="D139" s="70" t="s">
        <v>391</v>
      </c>
      <c r="E139" s="70" t="s">
        <v>392</v>
      </c>
      <c r="F139" s="71">
        <v>39.95</v>
      </c>
      <c r="G139" s="72">
        <v>49.95</v>
      </c>
      <c r="H139" s="52">
        <v>59.99</v>
      </c>
      <c r="I139" s="32"/>
      <c r="J139" s="32"/>
      <c r="K139" s="32"/>
      <c r="L139" s="32"/>
      <c r="M139" s="32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>
      <c r="A140" s="18"/>
      <c r="B140" s="27"/>
      <c r="C140" s="73" t="s">
        <v>393</v>
      </c>
      <c r="D140" s="70" t="s">
        <v>394</v>
      </c>
      <c r="E140" s="70" t="s">
        <v>395</v>
      </c>
      <c r="F140" s="71">
        <v>79.9</v>
      </c>
      <c r="G140" s="72">
        <v>99.9</v>
      </c>
      <c r="H140" s="52">
        <v>124.95</v>
      </c>
      <c r="I140" s="32"/>
      <c r="J140" s="32"/>
      <c r="K140" s="32"/>
      <c r="L140" s="32"/>
      <c r="M140" s="32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>
      <c r="A141" s="18"/>
      <c r="B141" s="27"/>
      <c r="C141" s="73" t="s">
        <v>396</v>
      </c>
      <c r="D141" s="70" t="s">
        <v>397</v>
      </c>
      <c r="E141" s="70" t="s">
        <v>398</v>
      </c>
      <c r="F141" s="71">
        <v>49.95</v>
      </c>
      <c r="G141" s="72">
        <v>59.95</v>
      </c>
      <c r="H141" s="52">
        <v>69.95</v>
      </c>
      <c r="I141" s="32"/>
      <c r="J141" s="32"/>
      <c r="K141" s="32"/>
      <c r="L141" s="32"/>
      <c r="M141" s="32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>
      <c r="A142" s="18"/>
      <c r="B142" s="27"/>
      <c r="C142" s="66" t="s">
        <v>17</v>
      </c>
      <c r="D142" s="67" t="s">
        <v>17</v>
      </c>
      <c r="E142" s="23" t="s">
        <v>399</v>
      </c>
      <c r="F142" s="68" t="s">
        <v>17</v>
      </c>
      <c r="G142" s="68" t="s">
        <v>17</v>
      </c>
      <c r="H142" s="25" t="s">
        <v>17</v>
      </c>
      <c r="I142" s="66" t="s">
        <v>17</v>
      </c>
      <c r="J142" s="67" t="s">
        <v>17</v>
      </c>
      <c r="K142" s="67" t="s">
        <v>17</v>
      </c>
      <c r="L142" s="68" t="s">
        <v>17</v>
      </c>
      <c r="M142" s="25" t="s">
        <v>17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>
      <c r="A143" s="18"/>
      <c r="B143" s="27"/>
      <c r="C143" s="73" t="s">
        <v>400</v>
      </c>
      <c r="D143" s="70" t="s">
        <v>401</v>
      </c>
      <c r="E143" s="70" t="s">
        <v>399</v>
      </c>
      <c r="F143" s="71">
        <v>29.95</v>
      </c>
      <c r="G143" s="72">
        <v>39.95</v>
      </c>
      <c r="H143" s="52">
        <v>29.95</v>
      </c>
      <c r="I143" s="32"/>
      <c r="J143" s="32"/>
      <c r="K143" s="32"/>
      <c r="L143" s="32"/>
      <c r="M143" s="32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>
      <c r="A144" s="18"/>
      <c r="B144" s="27"/>
      <c r="C144" s="66" t="s">
        <v>17</v>
      </c>
      <c r="D144" s="67" t="s">
        <v>17</v>
      </c>
      <c r="E144" s="23" t="s">
        <v>402</v>
      </c>
      <c r="F144" s="68" t="s">
        <v>17</v>
      </c>
      <c r="G144" s="68" t="s">
        <v>17</v>
      </c>
      <c r="H144" s="25" t="s">
        <v>17</v>
      </c>
      <c r="I144" s="66" t="s">
        <v>17</v>
      </c>
      <c r="J144" s="67" t="s">
        <v>17</v>
      </c>
      <c r="K144" s="67" t="s">
        <v>17</v>
      </c>
      <c r="L144" s="68" t="s">
        <v>17</v>
      </c>
      <c r="M144" s="25" t="s">
        <v>17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>
      <c r="A145" s="18"/>
      <c r="B145" s="27"/>
      <c r="C145" s="69" t="s">
        <v>403</v>
      </c>
      <c r="D145" s="70" t="s">
        <v>404</v>
      </c>
      <c r="E145" s="70" t="s">
        <v>405</v>
      </c>
      <c r="F145" s="71">
        <v>69.95</v>
      </c>
      <c r="G145" s="72">
        <v>69.95</v>
      </c>
      <c r="H145" s="52">
        <v>69.95</v>
      </c>
      <c r="I145" s="32"/>
      <c r="J145" s="32"/>
      <c r="K145" s="32"/>
      <c r="L145" s="32"/>
      <c r="M145" s="32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>
      <c r="A146" s="18"/>
      <c r="B146" s="27"/>
      <c r="C146" s="66" t="s">
        <v>17</v>
      </c>
      <c r="D146" s="67" t="s">
        <v>17</v>
      </c>
      <c r="E146" s="23" t="s">
        <v>406</v>
      </c>
      <c r="F146" s="68" t="s">
        <v>17</v>
      </c>
      <c r="G146" s="68" t="s">
        <v>17</v>
      </c>
      <c r="H146" s="25" t="s">
        <v>17</v>
      </c>
      <c r="I146" s="66" t="s">
        <v>17</v>
      </c>
      <c r="J146" s="67" t="s">
        <v>17</v>
      </c>
      <c r="K146" s="67" t="s">
        <v>17</v>
      </c>
      <c r="L146" s="68" t="s">
        <v>17</v>
      </c>
      <c r="M146" s="25" t="s">
        <v>17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>
      <c r="A147" s="18"/>
      <c r="B147" s="27"/>
      <c r="C147" s="73" t="s">
        <v>407</v>
      </c>
      <c r="D147" s="70" t="s">
        <v>408</v>
      </c>
      <c r="E147" s="70" t="s">
        <v>409</v>
      </c>
      <c r="F147" s="71">
        <v>79.9</v>
      </c>
      <c r="G147" s="72">
        <v>79.9</v>
      </c>
      <c r="H147" s="52">
        <v>109.9</v>
      </c>
      <c r="I147" s="32"/>
      <c r="J147" s="32"/>
      <c r="K147" s="32"/>
      <c r="L147" s="32"/>
      <c r="M147" s="32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>
      <c r="A148" s="18"/>
      <c r="B148" s="27"/>
      <c r="C148" s="74" t="s">
        <v>410</v>
      </c>
      <c r="D148" s="70" t="s">
        <v>411</v>
      </c>
      <c r="E148" s="70" t="s">
        <v>412</v>
      </c>
      <c r="F148" s="71">
        <v>39.95</v>
      </c>
      <c r="G148" s="72">
        <v>49.95</v>
      </c>
      <c r="H148" s="52">
        <v>59.95</v>
      </c>
      <c r="I148" s="32"/>
      <c r="J148" s="32"/>
      <c r="K148" s="32"/>
      <c r="L148" s="32"/>
      <c r="M148" s="32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>
      <c r="A149" s="18"/>
      <c r="B149" s="27"/>
      <c r="C149" s="75" t="s">
        <v>413</v>
      </c>
      <c r="D149" s="70" t="s">
        <v>414</v>
      </c>
      <c r="E149" s="70" t="s">
        <v>415</v>
      </c>
      <c r="F149" s="71">
        <v>99.9</v>
      </c>
      <c r="G149" s="72">
        <v>99.9</v>
      </c>
      <c r="H149" s="52">
        <v>129.95</v>
      </c>
      <c r="I149" s="32"/>
      <c r="J149" s="32"/>
      <c r="K149" s="32"/>
      <c r="L149" s="32"/>
      <c r="M149" s="32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>
      <c r="A150" s="18"/>
      <c r="B150" s="38"/>
      <c r="C150" s="39" t="s">
        <v>416</v>
      </c>
      <c r="D150" s="15" t="s">
        <v>417</v>
      </c>
      <c r="E150" s="15" t="s">
        <v>418</v>
      </c>
      <c r="F150" s="58">
        <v>49.95</v>
      </c>
      <c r="G150" s="56">
        <v>59.95</v>
      </c>
      <c r="H150" s="52">
        <v>69.95</v>
      </c>
      <c r="I150" s="32"/>
      <c r="J150" s="32"/>
      <c r="K150" s="32"/>
      <c r="L150" s="32"/>
      <c r="M150" s="32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</sheetData>
  <mergeCells count="8">
    <mergeCell ref="A1:M2"/>
    <mergeCell ref="A3:H3"/>
    <mergeCell ref="A5:A10"/>
    <mergeCell ref="B5:B33"/>
    <mergeCell ref="B34:B56"/>
    <mergeCell ref="B57:B78"/>
    <mergeCell ref="B79:B123"/>
    <mergeCell ref="B124:B1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4" max="4" width="12.25"/>
    <col customWidth="1" min="5" max="5" width="11.5"/>
    <col hidden="1" min="6" max="7" width="12.63"/>
    <col customWidth="1" min="10" max="10" width="15.38"/>
    <col customWidth="1" min="12" max="12" width="11.63"/>
    <col customWidth="1" min="13" max="13" width="11.5"/>
    <col customWidth="1" min="14" max="14" width="43.25"/>
    <col customWidth="1" min="15" max="15" width="22.38"/>
  </cols>
  <sheetData>
    <row r="1">
      <c r="A1" s="121" t="s">
        <v>558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6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/>
      <c r="J3" s="103" t="s">
        <v>559</v>
      </c>
      <c r="K3" s="122" t="s">
        <v>560</v>
      </c>
      <c r="L3" s="100" t="s">
        <v>561</v>
      </c>
      <c r="M3" s="15"/>
      <c r="N3" s="123" t="s">
        <v>562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563</v>
      </c>
      <c r="J4" s="15" t="s">
        <v>564</v>
      </c>
      <c r="K4" s="15" t="s">
        <v>565</v>
      </c>
      <c r="L4" s="15" t="s">
        <v>566</v>
      </c>
      <c r="M4" s="15" t="s">
        <v>567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4" t="s">
        <v>568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399.0</v>
      </c>
      <c r="I6" s="57" t="s">
        <v>569</v>
      </c>
      <c r="J6" s="57" t="s">
        <v>570</v>
      </c>
      <c r="K6" s="57" t="s">
        <v>571</v>
      </c>
      <c r="L6" s="32"/>
      <c r="M6" s="32"/>
      <c r="N6" s="5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389.0</v>
      </c>
      <c r="I7" s="57" t="s">
        <v>572</v>
      </c>
      <c r="J7" s="57" t="s">
        <v>573</v>
      </c>
      <c r="K7" s="57" t="s">
        <v>571</v>
      </c>
      <c r="L7" s="32"/>
      <c r="M7" s="32"/>
      <c r="N7" s="80" t="s">
        <v>574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439.0</v>
      </c>
      <c r="I8" s="57" t="s">
        <v>572</v>
      </c>
      <c r="J8" s="57" t="s">
        <v>575</v>
      </c>
      <c r="K8" s="57" t="s">
        <v>576</v>
      </c>
      <c r="L8" s="15"/>
      <c r="M8" s="32"/>
      <c r="N8" s="80" t="s">
        <v>574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57"/>
      <c r="J9" s="94"/>
      <c r="K9" s="57"/>
      <c r="L9" s="15"/>
      <c r="M9" s="32"/>
      <c r="N9" s="57" t="s">
        <v>577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519.0</v>
      </c>
      <c r="I10" s="57" t="s">
        <v>572</v>
      </c>
      <c r="J10" s="57" t="s">
        <v>578</v>
      </c>
      <c r="K10" s="57" t="s">
        <v>571</v>
      </c>
      <c r="L10" s="15"/>
      <c r="M10" s="32"/>
      <c r="N10" s="57" t="s">
        <v>579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569.0</v>
      </c>
      <c r="I11" s="57" t="s">
        <v>572</v>
      </c>
      <c r="J11" s="57" t="s">
        <v>580</v>
      </c>
      <c r="K11" s="57" t="s">
        <v>571</v>
      </c>
      <c r="L11" s="15"/>
      <c r="M11" s="32"/>
      <c r="N11" s="57" t="s">
        <v>581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57" t="s">
        <v>572</v>
      </c>
      <c r="J12" s="57" t="s">
        <v>582</v>
      </c>
      <c r="K12" s="57" t="s">
        <v>583</v>
      </c>
      <c r="L12" s="15"/>
      <c r="M12" s="32"/>
      <c r="N12" s="5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57" t="s">
        <v>572</v>
      </c>
      <c r="J13" s="57" t="s">
        <v>584</v>
      </c>
      <c r="K13" s="57" t="s">
        <v>583</v>
      </c>
      <c r="L13" s="15"/>
      <c r="M13" s="32"/>
      <c r="N13" s="57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125" t="s">
        <v>17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89.95</v>
      </c>
      <c r="I15" s="32"/>
      <c r="J15" s="57" t="s">
        <v>585</v>
      </c>
      <c r="K15" s="57" t="s">
        <v>586</v>
      </c>
      <c r="L15" s="15"/>
      <c r="M15" s="32"/>
      <c r="N15" s="5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124.95</v>
      </c>
      <c r="I16" s="32"/>
      <c r="J16" s="57" t="s">
        <v>585</v>
      </c>
      <c r="K16" s="57" t="s">
        <v>586</v>
      </c>
      <c r="L16" s="15"/>
      <c r="M16" s="32"/>
      <c r="N16" s="5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54.95</v>
      </c>
      <c r="I17" s="32"/>
      <c r="J17" s="57" t="s">
        <v>585</v>
      </c>
      <c r="K17" s="57" t="s">
        <v>586</v>
      </c>
      <c r="L17" s="15"/>
      <c r="M17" s="32"/>
      <c r="N17" s="5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24.95</v>
      </c>
      <c r="I18" s="32"/>
      <c r="J18" s="57" t="s">
        <v>585</v>
      </c>
      <c r="K18" s="57" t="s">
        <v>586</v>
      </c>
      <c r="L18" s="15"/>
      <c r="M18" s="32"/>
      <c r="N18" s="57" t="s">
        <v>587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54.95</v>
      </c>
      <c r="I19" s="32"/>
      <c r="J19" s="57" t="s">
        <v>585</v>
      </c>
      <c r="K19" s="57" t="s">
        <v>586</v>
      </c>
      <c r="L19" s="15"/>
      <c r="M19" s="32"/>
      <c r="N19" s="5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57" t="s">
        <v>585</v>
      </c>
      <c r="K20" s="57" t="s">
        <v>586</v>
      </c>
      <c r="L20" s="15"/>
      <c r="M20" s="32"/>
      <c r="N20" s="57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69.9</v>
      </c>
      <c r="I21" s="32"/>
      <c r="J21" s="57" t="s">
        <v>585</v>
      </c>
      <c r="K21" s="57" t="s">
        <v>586</v>
      </c>
      <c r="L21" s="15"/>
      <c r="M21" s="32"/>
      <c r="N21" s="5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24.95</v>
      </c>
      <c r="I22" s="32"/>
      <c r="J22" s="57" t="s">
        <v>588</v>
      </c>
      <c r="K22" s="57" t="s">
        <v>586</v>
      </c>
      <c r="L22" s="15"/>
      <c r="M22" s="32"/>
      <c r="N22" s="57" t="s">
        <v>589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69.95</v>
      </c>
      <c r="I23" s="32"/>
      <c r="J23" s="57" t="s">
        <v>585</v>
      </c>
      <c r="K23" s="57" t="s">
        <v>586</v>
      </c>
      <c r="L23" s="15"/>
      <c r="M23" s="32"/>
      <c r="N23" s="5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57" t="s">
        <v>585</v>
      </c>
      <c r="K24" s="57" t="s">
        <v>586</v>
      </c>
      <c r="L24" s="15"/>
      <c r="M24" s="32"/>
      <c r="N24" s="5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134.92</v>
      </c>
      <c r="I25" s="32"/>
      <c r="J25" s="57" t="s">
        <v>585</v>
      </c>
      <c r="K25" s="57" t="s">
        <v>586</v>
      </c>
      <c r="L25" s="15"/>
      <c r="M25" s="32"/>
      <c r="N25" s="57" t="s">
        <v>587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44.95</v>
      </c>
      <c r="I26" s="32"/>
      <c r="J26" s="57" t="s">
        <v>585</v>
      </c>
      <c r="K26" s="57" t="s">
        <v>586</v>
      </c>
      <c r="L26" s="15"/>
      <c r="M26" s="32"/>
      <c r="N26" s="5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134.95</v>
      </c>
      <c r="I27" s="32"/>
      <c r="J27" s="57" t="s">
        <v>585</v>
      </c>
      <c r="K27" s="57" t="s">
        <v>586</v>
      </c>
      <c r="L27" s="15"/>
      <c r="M27" s="32"/>
      <c r="N27" s="5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57" t="s">
        <v>590</v>
      </c>
      <c r="K28" s="57" t="s">
        <v>586</v>
      </c>
      <c r="L28" s="15"/>
      <c r="M28" s="32"/>
      <c r="N28" s="57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57" t="s">
        <v>590</v>
      </c>
      <c r="K29" s="57" t="s">
        <v>586</v>
      </c>
      <c r="L29" s="15"/>
      <c r="M29" s="32"/>
      <c r="N29" s="57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57" t="s">
        <v>590</v>
      </c>
      <c r="K30" s="57" t="s">
        <v>586</v>
      </c>
      <c r="L30" s="15"/>
      <c r="M30" s="32"/>
      <c r="N30" s="57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57" t="s">
        <v>590</v>
      </c>
      <c r="K31" s="57" t="s">
        <v>586</v>
      </c>
      <c r="L31" s="15"/>
      <c r="M31" s="32"/>
      <c r="N31" s="57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57" t="s">
        <v>590</v>
      </c>
      <c r="K32" s="57" t="s">
        <v>586</v>
      </c>
      <c r="L32" s="15"/>
      <c r="M32" s="32"/>
      <c r="N32" s="57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57" t="s">
        <v>590</v>
      </c>
      <c r="K33" s="57" t="s">
        <v>586</v>
      </c>
      <c r="L33" s="15"/>
      <c r="M33" s="32"/>
      <c r="N33" s="57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125" t="s">
        <v>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449.0</v>
      </c>
      <c r="I35" s="126" t="s">
        <v>591</v>
      </c>
      <c r="J35" s="80" t="s">
        <v>592</v>
      </c>
      <c r="K35" s="44"/>
      <c r="L35" s="44"/>
      <c r="M35" s="127">
        <v>50.0</v>
      </c>
      <c r="N35" s="57" t="s">
        <v>593</v>
      </c>
      <c r="O35" s="8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469.0</v>
      </c>
      <c r="I36" s="126" t="s">
        <v>591</v>
      </c>
      <c r="J36" s="80" t="s">
        <v>594</v>
      </c>
      <c r="K36" s="44"/>
      <c r="L36" s="44"/>
      <c r="M36" s="127">
        <v>50.0</v>
      </c>
      <c r="N36" s="57" t="s">
        <v>593</v>
      </c>
      <c r="O36" s="8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464.0</v>
      </c>
      <c r="I37" s="126" t="s">
        <v>591</v>
      </c>
      <c r="J37" s="126" t="s">
        <v>595</v>
      </c>
      <c r="K37" s="44"/>
      <c r="L37" s="44"/>
      <c r="M37" s="127">
        <v>50.0</v>
      </c>
      <c r="N37" s="57" t="s">
        <v>596</v>
      </c>
      <c r="O37" s="8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499.0</v>
      </c>
      <c r="I38" s="126" t="s">
        <v>591</v>
      </c>
      <c r="J38" s="126" t="s">
        <v>595</v>
      </c>
      <c r="K38" s="44"/>
      <c r="L38" s="44"/>
      <c r="M38" s="127">
        <v>50.0</v>
      </c>
      <c r="N38" s="57" t="s">
        <v>596</v>
      </c>
      <c r="O38" s="8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519.0</v>
      </c>
      <c r="I39" s="126" t="s">
        <v>591</v>
      </c>
      <c r="J39" s="126" t="s">
        <v>595</v>
      </c>
      <c r="K39" s="44"/>
      <c r="L39" s="44"/>
      <c r="M39" s="127">
        <v>50.0</v>
      </c>
      <c r="N39" s="57" t="s">
        <v>596</v>
      </c>
      <c r="O39" s="8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359.0</v>
      </c>
      <c r="I40" s="126" t="s">
        <v>597</v>
      </c>
      <c r="J40" s="128" t="s">
        <v>598</v>
      </c>
      <c r="K40" s="44"/>
      <c r="L40" s="44"/>
      <c r="M40" s="127">
        <v>20.0</v>
      </c>
      <c r="N40" s="57" t="s">
        <v>596</v>
      </c>
      <c r="O40" s="8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379.0</v>
      </c>
      <c r="I41" s="126" t="s">
        <v>599</v>
      </c>
      <c r="J41" s="128" t="s">
        <v>600</v>
      </c>
      <c r="K41" s="44"/>
      <c r="L41" s="44"/>
      <c r="M41" s="127">
        <v>20.0</v>
      </c>
      <c r="N41" s="57" t="s">
        <v>596</v>
      </c>
      <c r="O41" s="8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409.0</v>
      </c>
      <c r="I42" s="126" t="s">
        <v>601</v>
      </c>
      <c r="J42" s="126" t="s">
        <v>602</v>
      </c>
      <c r="K42" s="44"/>
      <c r="L42" s="44"/>
      <c r="M42" s="127">
        <v>20.0</v>
      </c>
      <c r="N42" s="57" t="s">
        <v>596</v>
      </c>
      <c r="O42" s="8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95" t="s">
        <v>466</v>
      </c>
      <c r="D43" s="96" t="s">
        <v>603</v>
      </c>
      <c r="E43" s="15" t="s">
        <v>468</v>
      </c>
      <c r="F43" s="35"/>
      <c r="G43" s="47"/>
      <c r="H43" s="31">
        <v>429.0</v>
      </c>
      <c r="I43" s="126" t="s">
        <v>601</v>
      </c>
      <c r="J43" s="126" t="s">
        <v>604</v>
      </c>
      <c r="K43" s="44"/>
      <c r="L43" s="44"/>
      <c r="M43" s="127">
        <v>20.0</v>
      </c>
      <c r="N43" s="57" t="s">
        <v>593</v>
      </c>
      <c r="O43" s="8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369.0</v>
      </c>
      <c r="I44" s="126" t="s">
        <v>601</v>
      </c>
      <c r="J44" s="126" t="s">
        <v>605</v>
      </c>
      <c r="K44" s="44"/>
      <c r="L44" s="44"/>
      <c r="M44" s="127">
        <v>20.0</v>
      </c>
      <c r="N44" s="57" t="s">
        <v>596</v>
      </c>
      <c r="O44" s="8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8">
        <v>379.0</v>
      </c>
      <c r="H45" s="31">
        <v>389.0</v>
      </c>
      <c r="I45" s="126" t="s">
        <v>601</v>
      </c>
      <c r="J45" s="126" t="s">
        <v>604</v>
      </c>
      <c r="K45" s="44"/>
      <c r="L45" s="44"/>
      <c r="M45" s="127">
        <v>20.0</v>
      </c>
      <c r="N45" s="57" t="s">
        <v>593</v>
      </c>
      <c r="O45" s="8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25" t="s">
        <v>17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128</v>
      </c>
      <c r="D47" s="49" t="s">
        <v>129</v>
      </c>
      <c r="E47" s="32" t="s">
        <v>130</v>
      </c>
      <c r="F47" s="50">
        <f t="shared" ref="F47:F56" si="6">H47</f>
        <v>59.95</v>
      </c>
      <c r="G47" s="51">
        <f t="shared" ref="G47:G56" si="7">H47</f>
        <v>59.95</v>
      </c>
      <c r="H47" s="52">
        <v>59.95</v>
      </c>
      <c r="I47" s="32"/>
      <c r="J47" s="44"/>
      <c r="K47" s="44"/>
      <c r="L47" s="44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131</v>
      </c>
      <c r="D48" s="15" t="s">
        <v>132</v>
      </c>
      <c r="E48" s="32" t="s">
        <v>133</v>
      </c>
      <c r="F48" s="50">
        <f t="shared" si="6"/>
        <v>59.95</v>
      </c>
      <c r="G48" s="51">
        <f t="shared" si="7"/>
        <v>59.95</v>
      </c>
      <c r="H48" s="52">
        <v>59.95</v>
      </c>
      <c r="I48" s="32"/>
      <c r="J48" s="44"/>
      <c r="K48" s="44"/>
      <c r="L48" s="44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134</v>
      </c>
      <c r="D49" s="15" t="s">
        <v>135</v>
      </c>
      <c r="E49" s="32" t="s">
        <v>136</v>
      </c>
      <c r="F49" s="50">
        <f t="shared" si="6"/>
        <v>33.95</v>
      </c>
      <c r="G49" s="51">
        <f t="shared" si="7"/>
        <v>33.95</v>
      </c>
      <c r="H49" s="52">
        <v>33.95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137</v>
      </c>
      <c r="D50" s="15" t="s">
        <v>138</v>
      </c>
      <c r="E50" s="32" t="s">
        <v>139</v>
      </c>
      <c r="F50" s="50">
        <f t="shared" si="6"/>
        <v>42.95</v>
      </c>
      <c r="G50" s="51">
        <f t="shared" si="7"/>
        <v>42.95</v>
      </c>
      <c r="H50" s="52">
        <v>42.95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140</v>
      </c>
      <c r="D51" s="15" t="s">
        <v>141</v>
      </c>
      <c r="E51" s="32" t="s">
        <v>142</v>
      </c>
      <c r="F51" s="50">
        <f t="shared" si="6"/>
        <v>79.95</v>
      </c>
      <c r="G51" s="51">
        <f t="shared" si="7"/>
        <v>79.95</v>
      </c>
      <c r="H51" s="52">
        <v>79.95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143</v>
      </c>
      <c r="D52" s="15" t="s">
        <v>144</v>
      </c>
      <c r="E52" s="15" t="s">
        <v>145</v>
      </c>
      <c r="F52" s="50">
        <f t="shared" si="6"/>
        <v>42.95</v>
      </c>
      <c r="G52" s="51">
        <f t="shared" si="7"/>
        <v>42.95</v>
      </c>
      <c r="H52" s="52">
        <v>42.95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146</v>
      </c>
      <c r="D53" s="15" t="s">
        <v>147</v>
      </c>
      <c r="E53" s="15" t="s">
        <v>148</v>
      </c>
      <c r="F53" s="50">
        <f t="shared" si="6"/>
        <v>59.95</v>
      </c>
      <c r="G53" s="51">
        <f t="shared" si="7"/>
        <v>59.95</v>
      </c>
      <c r="H53" s="52">
        <v>59.95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149</v>
      </c>
      <c r="D54" s="15" t="s">
        <v>150</v>
      </c>
      <c r="E54" s="15" t="s">
        <v>151</v>
      </c>
      <c r="F54" s="50">
        <f t="shared" si="6"/>
        <v>33.95</v>
      </c>
      <c r="G54" s="51">
        <f t="shared" si="7"/>
        <v>33.95</v>
      </c>
      <c r="H54" s="52">
        <v>33.95</v>
      </c>
      <c r="I54" s="32"/>
      <c r="J54" s="32"/>
      <c r="K54" s="32"/>
      <c r="L54" s="32"/>
      <c r="M54" s="32"/>
      <c r="N54" s="32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152</v>
      </c>
      <c r="D55" s="53" t="s">
        <v>153</v>
      </c>
      <c r="E55" s="15" t="s">
        <v>154</v>
      </c>
      <c r="F55" s="50">
        <f t="shared" si="6"/>
        <v>80</v>
      </c>
      <c r="G55" s="51">
        <f t="shared" si="7"/>
        <v>80</v>
      </c>
      <c r="H55" s="54">
        <v>80.0</v>
      </c>
      <c r="I55" s="32"/>
      <c r="J55" s="57" t="s">
        <v>606</v>
      </c>
      <c r="K55" s="32"/>
      <c r="L55" s="32"/>
      <c r="M55" s="32"/>
      <c r="N55" s="5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38"/>
      <c r="C56" s="28" t="s">
        <v>155</v>
      </c>
      <c r="D56" s="53" t="s">
        <v>156</v>
      </c>
      <c r="E56" s="15" t="s">
        <v>157</v>
      </c>
      <c r="F56" s="50">
        <f t="shared" si="6"/>
        <v>29.95</v>
      </c>
      <c r="G56" s="51">
        <f t="shared" si="7"/>
        <v>29.95</v>
      </c>
      <c r="H56" s="52">
        <v>29.95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0" t="s">
        <v>158</v>
      </c>
      <c r="C57" s="21" t="s">
        <v>17</v>
      </c>
      <c r="D57" s="22" t="s">
        <v>17</v>
      </c>
      <c r="E57" s="23" t="s">
        <v>159</v>
      </c>
      <c r="F57" s="24" t="s">
        <v>17</v>
      </c>
      <c r="G57" s="24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25" t="s">
        <v>17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55" t="s">
        <v>160</v>
      </c>
      <c r="D58" s="15" t="s">
        <v>161</v>
      </c>
      <c r="E58" s="15" t="s">
        <v>162</v>
      </c>
      <c r="F58" s="50">
        <f t="shared" ref="F58:F60" si="8">H58*80%</f>
        <v>208</v>
      </c>
      <c r="G58" s="56">
        <v>260.0</v>
      </c>
      <c r="H58" s="52">
        <v>260.0</v>
      </c>
      <c r="I58" s="32"/>
      <c r="J58" s="57" t="s">
        <v>607</v>
      </c>
      <c r="K58" s="32"/>
      <c r="L58" s="32"/>
      <c r="M58" s="32"/>
      <c r="N58" s="129" t="s">
        <v>608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164</v>
      </c>
      <c r="D59" s="15" t="s">
        <v>165</v>
      </c>
      <c r="E59" s="15" t="s">
        <v>166</v>
      </c>
      <c r="F59" s="50">
        <f t="shared" si="8"/>
        <v>208</v>
      </c>
      <c r="G59" s="56">
        <v>260.0</v>
      </c>
      <c r="H59" s="52">
        <v>260.0</v>
      </c>
      <c r="I59" s="32"/>
      <c r="J59" s="57" t="s">
        <v>607</v>
      </c>
      <c r="K59" s="32"/>
      <c r="L59" s="32"/>
      <c r="M59" s="32"/>
      <c r="N59" s="129" t="s">
        <v>609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167</v>
      </c>
      <c r="D60" s="15" t="s">
        <v>168</v>
      </c>
      <c r="E60" s="15" t="s">
        <v>169</v>
      </c>
      <c r="F60" s="50">
        <f t="shared" si="8"/>
        <v>208</v>
      </c>
      <c r="G60" s="56">
        <v>260.0</v>
      </c>
      <c r="H60" s="52">
        <v>260.0</v>
      </c>
      <c r="I60" s="32"/>
      <c r="J60" s="57" t="s">
        <v>607</v>
      </c>
      <c r="K60" s="32"/>
      <c r="L60" s="32"/>
      <c r="M60" s="32"/>
      <c r="N60" s="129" t="s">
        <v>608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21" t="s">
        <v>17</v>
      </c>
      <c r="D61" s="22" t="s">
        <v>17</v>
      </c>
      <c r="E61" s="23" t="s">
        <v>170</v>
      </c>
      <c r="F61" s="24" t="s">
        <v>17</v>
      </c>
      <c r="G61" s="24" t="s">
        <v>17</v>
      </c>
      <c r="H61" s="25" t="s">
        <v>17</v>
      </c>
      <c r="I61" s="25" t="s">
        <v>17</v>
      </c>
      <c r="J61" s="25" t="s">
        <v>17</v>
      </c>
      <c r="K61" s="25" t="s">
        <v>17</v>
      </c>
      <c r="L61" s="25" t="s">
        <v>17</v>
      </c>
      <c r="M61" s="25" t="s">
        <v>17</v>
      </c>
      <c r="N61" s="130" t="s">
        <v>17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171</v>
      </c>
      <c r="D62" s="15" t="s">
        <v>172</v>
      </c>
      <c r="E62" s="15" t="s">
        <v>173</v>
      </c>
      <c r="F62" s="50">
        <f t="shared" ref="F62:F68" si="9">H62*70%</f>
        <v>51.1</v>
      </c>
      <c r="G62" s="56">
        <v>73.0</v>
      </c>
      <c r="H62" s="52">
        <v>73.0</v>
      </c>
      <c r="I62" s="32"/>
      <c r="J62" s="57" t="s">
        <v>610</v>
      </c>
      <c r="K62" s="32"/>
      <c r="L62" s="32"/>
      <c r="M62" s="32"/>
      <c r="N62" s="85" t="s">
        <v>611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176</v>
      </c>
      <c r="D63" s="15" t="s">
        <v>177</v>
      </c>
      <c r="E63" s="15" t="s">
        <v>178</v>
      </c>
      <c r="F63" s="50">
        <f t="shared" si="9"/>
        <v>51.1</v>
      </c>
      <c r="G63" s="56">
        <v>73.0</v>
      </c>
      <c r="H63" s="52">
        <v>73.0</v>
      </c>
      <c r="I63" s="32"/>
      <c r="J63" s="57" t="s">
        <v>610</v>
      </c>
      <c r="K63" s="32"/>
      <c r="L63" s="32"/>
      <c r="M63" s="32"/>
      <c r="N63" s="85" t="s">
        <v>612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179</v>
      </c>
      <c r="D64" s="15" t="s">
        <v>180</v>
      </c>
      <c r="E64" s="15" t="s">
        <v>181</v>
      </c>
      <c r="F64" s="50">
        <f t="shared" si="9"/>
        <v>57.365</v>
      </c>
      <c r="G64" s="56">
        <v>81.95</v>
      </c>
      <c r="H64" s="52">
        <v>81.95</v>
      </c>
      <c r="I64" s="32"/>
      <c r="J64" s="57" t="s">
        <v>610</v>
      </c>
      <c r="K64" s="32"/>
      <c r="L64" s="32"/>
      <c r="M64" s="32"/>
      <c r="N64" s="85" t="s">
        <v>612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182</v>
      </c>
      <c r="D65" s="15" t="s">
        <v>183</v>
      </c>
      <c r="E65" s="15" t="s">
        <v>184</v>
      </c>
      <c r="F65" s="50">
        <f t="shared" si="9"/>
        <v>60.865</v>
      </c>
      <c r="G65" s="56">
        <v>86.95</v>
      </c>
      <c r="H65" s="52">
        <v>86.95</v>
      </c>
      <c r="I65" s="32"/>
      <c r="J65" s="57" t="s">
        <v>610</v>
      </c>
      <c r="K65" s="32"/>
      <c r="L65" s="32"/>
      <c r="M65" s="32"/>
      <c r="N65" s="15" t="s">
        <v>613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185</v>
      </c>
      <c r="D66" s="15" t="s">
        <v>186</v>
      </c>
      <c r="E66" s="15" t="s">
        <v>187</v>
      </c>
      <c r="F66" s="50">
        <f t="shared" si="9"/>
        <v>67.165</v>
      </c>
      <c r="G66" s="56">
        <v>95.95</v>
      </c>
      <c r="H66" s="52">
        <v>95.95</v>
      </c>
      <c r="I66" s="32"/>
      <c r="J66" s="57" t="s">
        <v>610</v>
      </c>
      <c r="K66" s="32"/>
      <c r="L66" s="32"/>
      <c r="M66" s="32"/>
      <c r="N66" s="15" t="s">
        <v>613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188</v>
      </c>
      <c r="D67" s="15" t="s">
        <v>189</v>
      </c>
      <c r="E67" s="15" t="s">
        <v>190</v>
      </c>
      <c r="F67" s="50">
        <f t="shared" si="9"/>
        <v>74.865</v>
      </c>
      <c r="G67" s="56">
        <v>106.95</v>
      </c>
      <c r="H67" s="52">
        <v>106.95</v>
      </c>
      <c r="I67" s="32"/>
      <c r="J67" s="57" t="s">
        <v>610</v>
      </c>
      <c r="K67" s="32"/>
      <c r="L67" s="32"/>
      <c r="M67" s="32"/>
      <c r="N67" s="85" t="s">
        <v>612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39" t="s">
        <v>191</v>
      </c>
      <c r="D68" s="15" t="s">
        <v>192</v>
      </c>
      <c r="E68" s="15" t="s">
        <v>193</v>
      </c>
      <c r="F68" s="50">
        <f t="shared" si="9"/>
        <v>74.865</v>
      </c>
      <c r="G68" s="56">
        <v>106.95</v>
      </c>
      <c r="H68" s="52">
        <v>106.95</v>
      </c>
      <c r="I68" s="32"/>
      <c r="J68" s="57" t="s">
        <v>610</v>
      </c>
      <c r="K68" s="32"/>
      <c r="L68" s="32"/>
      <c r="M68" s="32"/>
      <c r="N68" s="85" t="s">
        <v>612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39" t="s">
        <v>614</v>
      </c>
      <c r="D69" s="15" t="s">
        <v>615</v>
      </c>
      <c r="E69" s="15" t="s">
        <v>616</v>
      </c>
      <c r="F69" s="50"/>
      <c r="G69" s="56"/>
      <c r="H69" s="52"/>
      <c r="I69" s="32"/>
      <c r="J69" s="57"/>
      <c r="K69" s="32"/>
      <c r="L69" s="32"/>
      <c r="M69" s="32"/>
      <c r="N69" s="15" t="s">
        <v>613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39" t="s">
        <v>617</v>
      </c>
      <c r="D70" s="15" t="s">
        <v>618</v>
      </c>
      <c r="E70" s="15" t="s">
        <v>619</v>
      </c>
      <c r="F70" s="50"/>
      <c r="G70" s="56"/>
      <c r="H70" s="52"/>
      <c r="I70" s="32"/>
      <c r="J70" s="57"/>
      <c r="K70" s="32"/>
      <c r="L70" s="32"/>
      <c r="M70" s="32"/>
      <c r="N70" s="15" t="s">
        <v>613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39" t="s">
        <v>620</v>
      </c>
      <c r="D71" s="15" t="s">
        <v>621</v>
      </c>
      <c r="E71" s="15" t="s">
        <v>622</v>
      </c>
      <c r="F71" s="50"/>
      <c r="G71" s="56"/>
      <c r="H71" s="52"/>
      <c r="I71" s="32"/>
      <c r="J71" s="57"/>
      <c r="K71" s="32"/>
      <c r="L71" s="32"/>
      <c r="M71" s="32"/>
      <c r="N71" s="15" t="s">
        <v>613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39" t="s">
        <v>623</v>
      </c>
      <c r="D72" s="15" t="s">
        <v>624</v>
      </c>
      <c r="E72" s="15" t="s">
        <v>625</v>
      </c>
      <c r="F72" s="50"/>
      <c r="G72" s="56"/>
      <c r="H72" s="52"/>
      <c r="I72" s="32"/>
      <c r="J72" s="57"/>
      <c r="K72" s="32"/>
      <c r="L72" s="32"/>
      <c r="M72" s="32"/>
      <c r="N72" s="15" t="s">
        <v>613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21" t="s">
        <v>17</v>
      </c>
      <c r="D73" s="22" t="s">
        <v>17</v>
      </c>
      <c r="E73" s="23" t="s">
        <v>194</v>
      </c>
      <c r="F73" s="24" t="s">
        <v>17</v>
      </c>
      <c r="G73" s="24" t="s">
        <v>17</v>
      </c>
      <c r="H73" s="25" t="s">
        <v>17</v>
      </c>
      <c r="I73" s="25" t="s">
        <v>17</v>
      </c>
      <c r="J73" s="25" t="s">
        <v>17</v>
      </c>
      <c r="K73" s="25" t="s">
        <v>17</v>
      </c>
      <c r="L73" s="25" t="s">
        <v>17</v>
      </c>
      <c r="M73" s="25" t="s">
        <v>17</v>
      </c>
      <c r="N73" s="25" t="s">
        <v>17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195</v>
      </c>
      <c r="D74" s="15" t="s">
        <v>196</v>
      </c>
      <c r="E74" s="15" t="s">
        <v>197</v>
      </c>
      <c r="F74" s="50">
        <f t="shared" ref="F74:F82" si="10">H74*70%</f>
        <v>18.2</v>
      </c>
      <c r="G74" s="56">
        <v>26.0</v>
      </c>
      <c r="H74" s="54">
        <v>26.0</v>
      </c>
      <c r="I74" s="32"/>
      <c r="J74" s="32"/>
      <c r="K74" s="32"/>
      <c r="L74" s="32"/>
      <c r="M74" s="32"/>
      <c r="N74" s="15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198</v>
      </c>
      <c r="D75" s="15" t="s">
        <v>199</v>
      </c>
      <c r="E75" s="15" t="s">
        <v>200</v>
      </c>
      <c r="F75" s="50">
        <f t="shared" si="10"/>
        <v>18.2</v>
      </c>
      <c r="G75" s="56">
        <v>26.0</v>
      </c>
      <c r="H75" s="54">
        <v>26.0</v>
      </c>
      <c r="I75" s="32"/>
      <c r="J75" s="32"/>
      <c r="K75" s="32"/>
      <c r="L75" s="32"/>
      <c r="M75" s="32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201</v>
      </c>
      <c r="D76" s="15" t="s">
        <v>202</v>
      </c>
      <c r="E76" s="15" t="s">
        <v>203</v>
      </c>
      <c r="F76" s="50">
        <f t="shared" si="10"/>
        <v>21</v>
      </c>
      <c r="G76" s="56">
        <v>30.0</v>
      </c>
      <c r="H76" s="54">
        <v>30.0</v>
      </c>
      <c r="I76" s="32"/>
      <c r="J76" s="32"/>
      <c r="K76" s="32"/>
      <c r="L76" s="32"/>
      <c r="M76" s="32"/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204</v>
      </c>
      <c r="D77" s="15" t="s">
        <v>205</v>
      </c>
      <c r="E77" s="15" t="s">
        <v>206</v>
      </c>
      <c r="F77" s="50">
        <f t="shared" si="10"/>
        <v>12.6</v>
      </c>
      <c r="G77" s="56">
        <v>18.0</v>
      </c>
      <c r="H77" s="52">
        <v>18.0</v>
      </c>
      <c r="I77" s="32"/>
      <c r="J77" s="32"/>
      <c r="K77" s="32"/>
      <c r="L77" s="32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55" t="s">
        <v>207</v>
      </c>
      <c r="D78" s="15" t="s">
        <v>208</v>
      </c>
      <c r="E78" s="15" t="s">
        <v>209</v>
      </c>
      <c r="F78" s="50">
        <f t="shared" si="10"/>
        <v>15.4</v>
      </c>
      <c r="G78" s="56">
        <v>22.0</v>
      </c>
      <c r="H78" s="54">
        <v>22.0</v>
      </c>
      <c r="I78" s="32"/>
      <c r="J78" s="32"/>
      <c r="K78" s="32"/>
      <c r="L78" s="32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7"/>
      <c r="C79" s="55" t="s">
        <v>210</v>
      </c>
      <c r="D79" s="15" t="s">
        <v>211</v>
      </c>
      <c r="E79" s="15" t="s">
        <v>212</v>
      </c>
      <c r="F79" s="50">
        <f t="shared" si="10"/>
        <v>11.2</v>
      </c>
      <c r="G79" s="56">
        <v>16.0</v>
      </c>
      <c r="H79" s="52">
        <v>16.0</v>
      </c>
      <c r="I79" s="32"/>
      <c r="J79" s="32"/>
      <c r="K79" s="32"/>
      <c r="L79" s="32"/>
      <c r="M79" s="32"/>
      <c r="N79" s="32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55" t="s">
        <v>213</v>
      </c>
      <c r="D80" s="15" t="s">
        <v>214</v>
      </c>
      <c r="E80" s="15" t="s">
        <v>215</v>
      </c>
      <c r="F80" s="50">
        <f t="shared" si="10"/>
        <v>11.2</v>
      </c>
      <c r="G80" s="56">
        <v>16.0</v>
      </c>
      <c r="H80" s="52">
        <v>16.0</v>
      </c>
      <c r="I80" s="32"/>
      <c r="J80" s="32"/>
      <c r="K80" s="32"/>
      <c r="L80" s="32"/>
      <c r="M80" s="32"/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55" t="s">
        <v>216</v>
      </c>
      <c r="D81" s="15" t="s">
        <v>217</v>
      </c>
      <c r="E81" s="15" t="s">
        <v>218</v>
      </c>
      <c r="F81" s="50">
        <f t="shared" si="10"/>
        <v>14.7</v>
      </c>
      <c r="G81" s="56">
        <v>21.0</v>
      </c>
      <c r="H81" s="54">
        <v>21.0</v>
      </c>
      <c r="I81" s="32"/>
      <c r="J81" s="32"/>
      <c r="K81" s="32"/>
      <c r="L81" s="32"/>
      <c r="M81" s="32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38"/>
      <c r="C82" s="55" t="s">
        <v>219</v>
      </c>
      <c r="D82" s="49" t="s">
        <v>220</v>
      </c>
      <c r="E82" s="15" t="s">
        <v>221</v>
      </c>
      <c r="F82" s="50">
        <f t="shared" si="10"/>
        <v>15.4</v>
      </c>
      <c r="G82" s="56">
        <v>22.0</v>
      </c>
      <c r="H82" s="54">
        <v>22.0</v>
      </c>
      <c r="I82" s="32"/>
      <c r="J82" s="32"/>
      <c r="K82" s="32"/>
      <c r="L82" s="32"/>
      <c r="M82" s="32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0" t="s">
        <v>222</v>
      </c>
      <c r="C83" s="21" t="s">
        <v>17</v>
      </c>
      <c r="D83" s="22" t="s">
        <v>17</v>
      </c>
      <c r="E83" s="23" t="s">
        <v>223</v>
      </c>
      <c r="F83" s="24" t="s">
        <v>17</v>
      </c>
      <c r="G83" s="24" t="s">
        <v>17</v>
      </c>
      <c r="H83" s="25" t="s">
        <v>17</v>
      </c>
      <c r="I83" s="25" t="s">
        <v>17</v>
      </c>
      <c r="J83" s="25" t="s">
        <v>17</v>
      </c>
      <c r="K83" s="25" t="s">
        <v>17</v>
      </c>
      <c r="L83" s="25" t="s">
        <v>17</v>
      </c>
      <c r="M83" s="25" t="s">
        <v>17</v>
      </c>
      <c r="N83" s="25" t="s">
        <v>17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224</v>
      </c>
      <c r="D84" s="15" t="s">
        <v>225</v>
      </c>
      <c r="E84" s="15" t="s">
        <v>226</v>
      </c>
      <c r="F84" s="58">
        <v>45.49</v>
      </c>
      <c r="G84" s="56">
        <v>69.95</v>
      </c>
      <c r="H84" s="52">
        <v>69.95</v>
      </c>
      <c r="I84" s="131" t="s">
        <v>626</v>
      </c>
      <c r="J84" s="131" t="s">
        <v>627</v>
      </c>
      <c r="K84" s="32"/>
      <c r="L84" s="32"/>
      <c r="M84" s="32"/>
      <c r="N84" s="15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227</v>
      </c>
      <c r="D85" s="15" t="s">
        <v>228</v>
      </c>
      <c r="E85" s="15" t="s">
        <v>229</v>
      </c>
      <c r="F85" s="58">
        <v>58.84</v>
      </c>
      <c r="G85" s="56">
        <v>79.95</v>
      </c>
      <c r="H85" s="52">
        <v>79.95</v>
      </c>
      <c r="I85" s="131" t="s">
        <v>628</v>
      </c>
      <c r="J85" s="131" t="s">
        <v>629</v>
      </c>
      <c r="K85" s="32"/>
      <c r="L85" s="32"/>
      <c r="M85" s="32"/>
      <c r="N85" s="15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230</v>
      </c>
      <c r="D86" s="15" t="s">
        <v>231</v>
      </c>
      <c r="E86" s="15" t="s">
        <v>232</v>
      </c>
      <c r="F86" s="58">
        <v>92.41</v>
      </c>
      <c r="G86" s="56">
        <v>114.95</v>
      </c>
      <c r="H86" s="54">
        <v>119.0</v>
      </c>
      <c r="I86" s="131" t="s">
        <v>628</v>
      </c>
      <c r="J86" s="131" t="s">
        <v>629</v>
      </c>
      <c r="K86" s="32"/>
      <c r="L86" s="32"/>
      <c r="M86" s="32"/>
      <c r="N86" s="15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233</v>
      </c>
      <c r="D87" s="15" t="s">
        <v>234</v>
      </c>
      <c r="E87" s="15" t="s">
        <v>235</v>
      </c>
      <c r="F87" s="58">
        <v>17.99</v>
      </c>
      <c r="G87" s="56">
        <v>24.95</v>
      </c>
      <c r="H87" s="52">
        <v>24.95</v>
      </c>
      <c r="I87" s="131" t="s">
        <v>628</v>
      </c>
      <c r="J87" s="131" t="s">
        <v>629</v>
      </c>
      <c r="K87" s="32"/>
      <c r="L87" s="32"/>
      <c r="M87" s="32"/>
      <c r="N87" s="15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236</v>
      </c>
      <c r="D88" s="15" t="s">
        <v>237</v>
      </c>
      <c r="E88" s="15" t="s">
        <v>238</v>
      </c>
      <c r="F88" s="58">
        <v>27.99</v>
      </c>
      <c r="G88" s="59">
        <v>32.95</v>
      </c>
      <c r="H88" s="52">
        <v>32.95</v>
      </c>
      <c r="I88" s="131" t="s">
        <v>628</v>
      </c>
      <c r="J88" s="131" t="s">
        <v>629</v>
      </c>
      <c r="K88" s="32"/>
      <c r="L88" s="32"/>
      <c r="M88" s="32"/>
      <c r="N88" s="5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239</v>
      </c>
      <c r="D89" s="15" t="s">
        <v>240</v>
      </c>
      <c r="E89" s="15" t="s">
        <v>241</v>
      </c>
      <c r="F89" s="58">
        <v>19.95</v>
      </c>
      <c r="G89" s="59">
        <v>19.95</v>
      </c>
      <c r="H89" s="52">
        <v>19.95</v>
      </c>
      <c r="I89" s="131" t="s">
        <v>630</v>
      </c>
      <c r="J89" s="131" t="s">
        <v>627</v>
      </c>
      <c r="K89" s="32"/>
      <c r="L89" s="32"/>
      <c r="M89" s="32"/>
      <c r="N89" s="15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242</v>
      </c>
      <c r="D90" s="15" t="s">
        <v>243</v>
      </c>
      <c r="E90" s="15" t="s">
        <v>244</v>
      </c>
      <c r="F90" s="58">
        <v>33.71</v>
      </c>
      <c r="G90" s="59">
        <v>44.95</v>
      </c>
      <c r="H90" s="52">
        <v>44.95</v>
      </c>
      <c r="I90" s="131" t="s">
        <v>631</v>
      </c>
      <c r="J90" s="131" t="s">
        <v>627</v>
      </c>
      <c r="K90" s="32"/>
      <c r="L90" s="32"/>
      <c r="M90" s="32"/>
      <c r="N90" s="15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245</v>
      </c>
      <c r="D91" s="15" t="s">
        <v>246</v>
      </c>
      <c r="E91" s="15" t="s">
        <v>247</v>
      </c>
      <c r="F91" s="58">
        <v>33.71</v>
      </c>
      <c r="G91" s="59">
        <v>44.95</v>
      </c>
      <c r="H91" s="52">
        <v>44.95</v>
      </c>
      <c r="I91" s="131" t="s">
        <v>632</v>
      </c>
      <c r="J91" s="131" t="s">
        <v>627</v>
      </c>
      <c r="K91" s="32"/>
      <c r="L91" s="32"/>
      <c r="M91" s="32"/>
      <c r="N91" s="15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248</v>
      </c>
      <c r="D92" s="15" t="s">
        <v>249</v>
      </c>
      <c r="E92" s="15" t="s">
        <v>250</v>
      </c>
      <c r="F92" s="58">
        <v>104.99</v>
      </c>
      <c r="G92" s="59">
        <v>129.95</v>
      </c>
      <c r="H92" s="52">
        <v>129.95</v>
      </c>
      <c r="I92" s="131" t="s">
        <v>628</v>
      </c>
      <c r="J92" s="131" t="s">
        <v>629</v>
      </c>
      <c r="K92" s="32"/>
      <c r="L92" s="32"/>
      <c r="M92" s="32"/>
      <c r="N92" s="5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/>
      <c r="D93" s="15" t="s">
        <v>633</v>
      </c>
      <c r="E93" s="15" t="s">
        <v>634</v>
      </c>
      <c r="F93" s="58">
        <v>39.96</v>
      </c>
      <c r="G93" s="59">
        <v>49.95</v>
      </c>
      <c r="H93" s="52">
        <v>49.95</v>
      </c>
      <c r="I93" s="131" t="s">
        <v>628</v>
      </c>
      <c r="J93" s="131" t="s">
        <v>629</v>
      </c>
      <c r="K93" s="32"/>
      <c r="L93" s="32"/>
      <c r="M93" s="32"/>
      <c r="N93" s="15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251</v>
      </c>
      <c r="D94" s="15" t="s">
        <v>252</v>
      </c>
      <c r="E94" s="15" t="s">
        <v>253</v>
      </c>
      <c r="F94" s="58">
        <v>21.24</v>
      </c>
      <c r="G94" s="59">
        <v>24.95</v>
      </c>
      <c r="H94" s="52">
        <v>24.95</v>
      </c>
      <c r="I94" s="131" t="s">
        <v>628</v>
      </c>
      <c r="J94" s="131" t="s">
        <v>629</v>
      </c>
      <c r="K94" s="32"/>
      <c r="L94" s="32"/>
      <c r="M94" s="32"/>
      <c r="N94" s="15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21"/>
      <c r="D95" s="22"/>
      <c r="E95" s="23" t="s">
        <v>533</v>
      </c>
      <c r="F95" s="24"/>
      <c r="G95" s="24"/>
      <c r="H95" s="25"/>
      <c r="I95" s="25"/>
      <c r="J95" s="25"/>
      <c r="K95" s="25"/>
      <c r="L95" s="25"/>
      <c r="M95" s="25"/>
      <c r="N95" s="25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105" t="s">
        <v>635</v>
      </c>
      <c r="D96" s="106" t="s">
        <v>538</v>
      </c>
      <c r="E96" s="132" t="s">
        <v>636</v>
      </c>
      <c r="F96" s="133">
        <v>129.95</v>
      </c>
      <c r="G96" s="134">
        <v>149.95</v>
      </c>
      <c r="H96" s="135">
        <v>149.95</v>
      </c>
      <c r="I96" s="108"/>
      <c r="J96" s="57" t="s">
        <v>629</v>
      </c>
      <c r="K96" s="108"/>
      <c r="L96" s="108"/>
      <c r="M96" s="108"/>
      <c r="N96" s="10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105" t="s">
        <v>534</v>
      </c>
      <c r="D97" s="106" t="s">
        <v>535</v>
      </c>
      <c r="E97" s="132" t="s">
        <v>637</v>
      </c>
      <c r="F97" s="133">
        <v>279.95</v>
      </c>
      <c r="G97" s="134">
        <v>299.95</v>
      </c>
      <c r="H97" s="135">
        <v>299.95</v>
      </c>
      <c r="I97" s="108"/>
      <c r="J97" s="57" t="s">
        <v>629</v>
      </c>
      <c r="K97" s="108"/>
      <c r="L97" s="108"/>
      <c r="M97" s="108"/>
      <c r="N97" s="10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105" t="s">
        <v>540</v>
      </c>
      <c r="D98" s="106" t="s">
        <v>541</v>
      </c>
      <c r="E98" s="132" t="s">
        <v>638</v>
      </c>
      <c r="F98" s="133">
        <v>299.95</v>
      </c>
      <c r="G98" s="134">
        <v>324.95</v>
      </c>
      <c r="H98" s="135">
        <v>324.95</v>
      </c>
      <c r="I98" s="108"/>
      <c r="J98" s="57" t="s">
        <v>629</v>
      </c>
      <c r="K98" s="108"/>
      <c r="L98" s="108"/>
      <c r="M98" s="108"/>
      <c r="N98" s="10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254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255</v>
      </c>
      <c r="D100" s="15" t="s">
        <v>256</v>
      </c>
      <c r="E100" s="15" t="s">
        <v>257</v>
      </c>
      <c r="F100" s="58">
        <v>84.4</v>
      </c>
      <c r="G100" s="59">
        <v>99.95</v>
      </c>
      <c r="H100" s="52">
        <v>99.95</v>
      </c>
      <c r="I100" s="131" t="s">
        <v>639</v>
      </c>
      <c r="J100" s="131" t="s">
        <v>627</v>
      </c>
      <c r="K100" s="32"/>
      <c r="L100" s="32"/>
      <c r="M100" s="32"/>
      <c r="N100" s="15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258</v>
      </c>
      <c r="D101" s="15" t="s">
        <v>259</v>
      </c>
      <c r="E101" s="15" t="s">
        <v>260</v>
      </c>
      <c r="F101" s="58">
        <v>126.82</v>
      </c>
      <c r="G101" s="59">
        <v>163.95</v>
      </c>
      <c r="H101" s="52">
        <v>163.95</v>
      </c>
      <c r="I101" s="131"/>
      <c r="J101" s="136"/>
      <c r="K101" s="32"/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261</v>
      </c>
      <c r="D102" s="15" t="s">
        <v>262</v>
      </c>
      <c r="E102" s="15" t="s">
        <v>263</v>
      </c>
      <c r="F102" s="58">
        <v>24.95</v>
      </c>
      <c r="G102" s="59">
        <v>24.95</v>
      </c>
      <c r="H102" s="52">
        <v>24.95</v>
      </c>
      <c r="I102" s="131" t="s">
        <v>639</v>
      </c>
      <c r="J102" s="131" t="s">
        <v>627</v>
      </c>
      <c r="K102" s="32"/>
      <c r="L102" s="32"/>
      <c r="M102" s="32"/>
      <c r="N102" s="15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21" t="s">
        <v>17</v>
      </c>
      <c r="D103" s="22" t="s">
        <v>17</v>
      </c>
      <c r="E103" s="23" t="s">
        <v>264</v>
      </c>
      <c r="F103" s="24" t="s">
        <v>17</v>
      </c>
      <c r="G103" s="24" t="s">
        <v>17</v>
      </c>
      <c r="H103" s="25" t="s">
        <v>17</v>
      </c>
      <c r="I103" s="25" t="s">
        <v>17</v>
      </c>
      <c r="J103" s="25" t="s">
        <v>17</v>
      </c>
      <c r="K103" s="25" t="s">
        <v>17</v>
      </c>
      <c r="L103" s="25" t="s">
        <v>17</v>
      </c>
      <c r="M103" s="25" t="s">
        <v>17</v>
      </c>
      <c r="N103" s="25" t="s">
        <v>17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265</v>
      </c>
      <c r="D104" s="15" t="s">
        <v>266</v>
      </c>
      <c r="E104" s="15" t="s">
        <v>267</v>
      </c>
      <c r="F104" s="58">
        <v>104.97</v>
      </c>
      <c r="G104" s="56">
        <v>199.95</v>
      </c>
      <c r="H104" s="52">
        <v>149.95</v>
      </c>
      <c r="I104" s="32"/>
      <c r="J104" s="57" t="s">
        <v>640</v>
      </c>
      <c r="K104" s="32"/>
      <c r="L104" s="32"/>
      <c r="M104" s="32"/>
      <c r="N104" s="57" t="s">
        <v>641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268</v>
      </c>
      <c r="D105" s="15" t="s">
        <v>269</v>
      </c>
      <c r="E105" s="15" t="s">
        <v>270</v>
      </c>
      <c r="F105" s="58">
        <v>136.5</v>
      </c>
      <c r="G105" s="56">
        <v>244.95</v>
      </c>
      <c r="H105" s="54">
        <v>195.0</v>
      </c>
      <c r="I105" s="32"/>
      <c r="J105" s="57" t="s">
        <v>640</v>
      </c>
      <c r="K105" s="32"/>
      <c r="L105" s="32"/>
      <c r="M105" s="32"/>
      <c r="N105" s="57" t="s">
        <v>641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271</v>
      </c>
      <c r="D106" s="15" t="s">
        <v>272</v>
      </c>
      <c r="E106" s="15" t="s">
        <v>273</v>
      </c>
      <c r="F106" s="58">
        <v>19.95</v>
      </c>
      <c r="G106" s="56">
        <v>49.95</v>
      </c>
      <c r="H106" s="52">
        <v>29.95</v>
      </c>
      <c r="I106" s="32"/>
      <c r="J106" s="57" t="s">
        <v>629</v>
      </c>
      <c r="K106" s="32"/>
      <c r="L106" s="32"/>
      <c r="M106" s="32"/>
      <c r="N106" s="57" t="s">
        <v>641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274</v>
      </c>
      <c r="D107" s="15" t="s">
        <v>275</v>
      </c>
      <c r="E107" s="15" t="s">
        <v>276</v>
      </c>
      <c r="F107" s="58">
        <v>19.95</v>
      </c>
      <c r="G107" s="56">
        <v>29.95</v>
      </c>
      <c r="H107" s="52">
        <v>29.95</v>
      </c>
      <c r="I107" s="32"/>
      <c r="J107" s="57" t="s">
        <v>629</v>
      </c>
      <c r="K107" s="32"/>
      <c r="L107" s="32"/>
      <c r="M107" s="32"/>
      <c r="N107" s="57" t="s">
        <v>641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21" t="s">
        <v>17</v>
      </c>
      <c r="D108" s="22" t="s">
        <v>17</v>
      </c>
      <c r="E108" s="23" t="s">
        <v>277</v>
      </c>
      <c r="F108" s="24" t="s">
        <v>17</v>
      </c>
      <c r="G108" s="24" t="s">
        <v>17</v>
      </c>
      <c r="H108" s="25" t="s">
        <v>17</v>
      </c>
      <c r="I108" s="25" t="s">
        <v>17</v>
      </c>
      <c r="J108" s="25" t="s">
        <v>17</v>
      </c>
      <c r="K108" s="25" t="s">
        <v>17</v>
      </c>
      <c r="L108" s="25" t="s">
        <v>17</v>
      </c>
      <c r="M108" s="25" t="s">
        <v>17</v>
      </c>
      <c r="N108" s="25" t="s">
        <v>17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278</v>
      </c>
      <c r="D109" s="15" t="s">
        <v>279</v>
      </c>
      <c r="E109" s="15" t="s">
        <v>280</v>
      </c>
      <c r="F109" s="58">
        <v>52.61</v>
      </c>
      <c r="G109" s="59">
        <v>79.95</v>
      </c>
      <c r="H109" s="52">
        <v>79.95</v>
      </c>
      <c r="I109" s="32"/>
      <c r="J109" s="32"/>
      <c r="K109" s="32"/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281</v>
      </c>
      <c r="D110" s="15" t="s">
        <v>282</v>
      </c>
      <c r="E110" s="15" t="s">
        <v>283</v>
      </c>
      <c r="F110" s="58">
        <v>64.5</v>
      </c>
      <c r="G110" s="59">
        <v>129.0</v>
      </c>
      <c r="H110" s="52">
        <v>129.0</v>
      </c>
      <c r="I110" s="32"/>
      <c r="J110" s="32"/>
      <c r="K110" s="32"/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21" t="s">
        <v>17</v>
      </c>
      <c r="D111" s="22" t="s">
        <v>17</v>
      </c>
      <c r="E111" s="23" t="s">
        <v>284</v>
      </c>
      <c r="F111" s="24" t="s">
        <v>17</v>
      </c>
      <c r="G111" s="24" t="s">
        <v>17</v>
      </c>
      <c r="H111" s="25" t="s">
        <v>17</v>
      </c>
      <c r="I111" s="25" t="s">
        <v>17</v>
      </c>
      <c r="J111" s="25" t="s">
        <v>17</v>
      </c>
      <c r="K111" s="25" t="s">
        <v>17</v>
      </c>
      <c r="L111" s="25" t="s">
        <v>17</v>
      </c>
      <c r="M111" s="25" t="s">
        <v>17</v>
      </c>
      <c r="N111" s="25" t="s">
        <v>17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285</v>
      </c>
      <c r="D112" s="60" t="s">
        <v>286</v>
      </c>
      <c r="E112" s="15" t="s">
        <v>287</v>
      </c>
      <c r="F112" s="58">
        <v>34.68</v>
      </c>
      <c r="G112" s="59">
        <v>39.95</v>
      </c>
      <c r="H112" s="52">
        <v>39.95</v>
      </c>
      <c r="I112" s="131" t="s">
        <v>628</v>
      </c>
      <c r="J112" s="131" t="s">
        <v>629</v>
      </c>
      <c r="K112" s="32"/>
      <c r="L112" s="32"/>
      <c r="M112" s="32"/>
      <c r="N112" s="15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288</v>
      </c>
      <c r="D113" s="60" t="s">
        <v>289</v>
      </c>
      <c r="E113" s="15" t="s">
        <v>290</v>
      </c>
      <c r="F113" s="58">
        <v>34.68</v>
      </c>
      <c r="G113" s="59">
        <v>39.95</v>
      </c>
      <c r="H113" s="52">
        <v>39.95</v>
      </c>
      <c r="I113" s="131" t="s">
        <v>628</v>
      </c>
      <c r="J113" s="131" t="s">
        <v>629</v>
      </c>
      <c r="K113" s="32"/>
      <c r="L113" s="32"/>
      <c r="M113" s="32"/>
      <c r="N113" s="15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291</v>
      </c>
      <c r="D114" s="60" t="s">
        <v>292</v>
      </c>
      <c r="E114" s="15" t="s">
        <v>293</v>
      </c>
      <c r="F114" s="58">
        <v>34.68</v>
      </c>
      <c r="G114" s="59">
        <v>39.95</v>
      </c>
      <c r="H114" s="52">
        <v>39.95</v>
      </c>
      <c r="I114" s="131" t="s">
        <v>628</v>
      </c>
      <c r="J114" s="131" t="s">
        <v>629</v>
      </c>
      <c r="K114" s="32"/>
      <c r="L114" s="32"/>
      <c r="M114" s="32"/>
      <c r="N114" s="15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294</v>
      </c>
      <c r="D115" s="61" t="s">
        <v>295</v>
      </c>
      <c r="E115" s="15" t="s">
        <v>296</v>
      </c>
      <c r="F115" s="58">
        <v>34.68</v>
      </c>
      <c r="G115" s="59">
        <v>39.95</v>
      </c>
      <c r="H115" s="52">
        <v>39.95</v>
      </c>
      <c r="I115" s="131" t="s">
        <v>628</v>
      </c>
      <c r="J115" s="131" t="s">
        <v>629</v>
      </c>
      <c r="K115" s="32"/>
      <c r="L115" s="32"/>
      <c r="M115" s="32"/>
      <c r="N115" s="15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297</v>
      </c>
      <c r="D116" s="60" t="s">
        <v>298</v>
      </c>
      <c r="E116" s="15" t="s">
        <v>299</v>
      </c>
      <c r="F116" s="58">
        <v>34.68</v>
      </c>
      <c r="G116" s="59">
        <v>39.95</v>
      </c>
      <c r="H116" s="52">
        <v>39.95</v>
      </c>
      <c r="I116" s="131" t="s">
        <v>628</v>
      </c>
      <c r="J116" s="131" t="s">
        <v>629</v>
      </c>
      <c r="K116" s="32"/>
      <c r="L116" s="32"/>
      <c r="M116" s="32"/>
      <c r="N116" s="15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300</v>
      </c>
      <c r="D117" s="60" t="s">
        <v>301</v>
      </c>
      <c r="E117" s="15" t="s">
        <v>302</v>
      </c>
      <c r="F117" s="58">
        <v>34.68</v>
      </c>
      <c r="G117" s="59">
        <v>39.95</v>
      </c>
      <c r="H117" s="52">
        <v>39.95</v>
      </c>
      <c r="I117" s="131" t="s">
        <v>628</v>
      </c>
      <c r="J117" s="131" t="s">
        <v>629</v>
      </c>
      <c r="K117" s="32"/>
      <c r="L117" s="32"/>
      <c r="M117" s="32"/>
      <c r="N117" s="15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303</v>
      </c>
      <c r="D118" s="60" t="s">
        <v>304</v>
      </c>
      <c r="E118" s="15" t="s">
        <v>305</v>
      </c>
      <c r="F118" s="58">
        <v>34.68</v>
      </c>
      <c r="G118" s="59">
        <v>39.95</v>
      </c>
      <c r="H118" s="52">
        <v>39.95</v>
      </c>
      <c r="I118" s="131" t="s">
        <v>628</v>
      </c>
      <c r="J118" s="131" t="s">
        <v>629</v>
      </c>
      <c r="K118" s="32"/>
      <c r="L118" s="32"/>
      <c r="M118" s="32"/>
      <c r="N118" s="15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306</v>
      </c>
      <c r="D119" s="62" t="s">
        <v>307</v>
      </c>
      <c r="E119" s="15" t="s">
        <v>308</v>
      </c>
      <c r="F119" s="58">
        <v>34.68</v>
      </c>
      <c r="G119" s="59">
        <v>39.95</v>
      </c>
      <c r="H119" s="52">
        <v>39.95</v>
      </c>
      <c r="I119" s="131" t="s">
        <v>628</v>
      </c>
      <c r="J119" s="131" t="s">
        <v>629</v>
      </c>
      <c r="K119" s="32"/>
      <c r="L119" s="32"/>
      <c r="M119" s="32"/>
      <c r="N119" s="15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309</v>
      </c>
      <c r="D120" s="60" t="s">
        <v>310</v>
      </c>
      <c r="E120" s="15" t="s">
        <v>311</v>
      </c>
      <c r="F120" s="58">
        <v>34.68</v>
      </c>
      <c r="G120" s="59">
        <v>39.95</v>
      </c>
      <c r="H120" s="52">
        <v>39.95</v>
      </c>
      <c r="I120" s="131" t="s">
        <v>628</v>
      </c>
      <c r="J120" s="131" t="s">
        <v>629</v>
      </c>
      <c r="K120" s="32"/>
      <c r="L120" s="32"/>
      <c r="M120" s="32"/>
      <c r="N120" s="15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312</v>
      </c>
      <c r="D121" s="60" t="s">
        <v>313</v>
      </c>
      <c r="E121" s="15" t="s">
        <v>314</v>
      </c>
      <c r="F121" s="58">
        <v>34.68</v>
      </c>
      <c r="G121" s="59">
        <v>39.95</v>
      </c>
      <c r="H121" s="52">
        <v>39.95</v>
      </c>
      <c r="I121" s="131" t="s">
        <v>628</v>
      </c>
      <c r="J121" s="131" t="s">
        <v>629</v>
      </c>
      <c r="K121" s="32"/>
      <c r="L121" s="32"/>
      <c r="M121" s="32"/>
      <c r="N121" s="15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315</v>
      </c>
      <c r="D122" s="60" t="s">
        <v>316</v>
      </c>
      <c r="E122" s="15" t="s">
        <v>317</v>
      </c>
      <c r="F122" s="58">
        <v>34.68</v>
      </c>
      <c r="G122" s="59">
        <v>39.95</v>
      </c>
      <c r="H122" s="52">
        <v>39.95</v>
      </c>
      <c r="I122" s="131" t="s">
        <v>628</v>
      </c>
      <c r="J122" s="131" t="s">
        <v>629</v>
      </c>
      <c r="K122" s="32"/>
      <c r="L122" s="32"/>
      <c r="M122" s="32"/>
      <c r="N122" s="15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21" t="s">
        <v>17</v>
      </c>
      <c r="D123" s="22" t="s">
        <v>17</v>
      </c>
      <c r="E123" s="23" t="s">
        <v>331</v>
      </c>
      <c r="F123" s="24" t="s">
        <v>17</v>
      </c>
      <c r="G123" s="24" t="s">
        <v>17</v>
      </c>
      <c r="H123" s="25" t="s">
        <v>17</v>
      </c>
      <c r="I123" s="25" t="s">
        <v>17</v>
      </c>
      <c r="J123" s="25" t="s">
        <v>17</v>
      </c>
      <c r="K123" s="25" t="s">
        <v>17</v>
      </c>
      <c r="L123" s="25" t="s">
        <v>17</v>
      </c>
      <c r="M123" s="25" t="s">
        <v>17</v>
      </c>
      <c r="N123" s="25" t="s">
        <v>17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39" t="s">
        <v>332</v>
      </c>
      <c r="D124" s="15" t="s">
        <v>333</v>
      </c>
      <c r="E124" s="15" t="s">
        <v>334</v>
      </c>
      <c r="F124" s="58">
        <v>41.97</v>
      </c>
      <c r="G124" s="56">
        <v>79.95</v>
      </c>
      <c r="H124" s="52">
        <v>59.95</v>
      </c>
      <c r="I124" s="137" t="s">
        <v>642</v>
      </c>
      <c r="J124" s="34" t="s">
        <v>627</v>
      </c>
      <c r="K124" s="32"/>
      <c r="L124" s="32"/>
      <c r="M124" s="32"/>
      <c r="N124" s="15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39" t="s">
        <v>335</v>
      </c>
      <c r="D125" s="15" t="s">
        <v>336</v>
      </c>
      <c r="E125" s="15" t="s">
        <v>337</v>
      </c>
      <c r="F125" s="58">
        <v>41.97</v>
      </c>
      <c r="G125" s="56">
        <v>79.95</v>
      </c>
      <c r="H125" s="52">
        <v>59.95</v>
      </c>
      <c r="I125" s="137" t="s">
        <v>643</v>
      </c>
      <c r="J125" s="34" t="s">
        <v>627</v>
      </c>
      <c r="K125" s="32"/>
      <c r="L125" s="32"/>
      <c r="M125" s="32"/>
      <c r="N125" s="15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39" t="s">
        <v>338</v>
      </c>
      <c r="D126" s="15" t="s">
        <v>339</v>
      </c>
      <c r="E126" s="15" t="s">
        <v>340</v>
      </c>
      <c r="F126" s="58">
        <v>41.97</v>
      </c>
      <c r="G126" s="56">
        <v>79.95</v>
      </c>
      <c r="H126" s="52">
        <v>59.95</v>
      </c>
      <c r="I126" s="137" t="s">
        <v>644</v>
      </c>
      <c r="J126" s="34" t="s">
        <v>627</v>
      </c>
      <c r="K126" s="32"/>
      <c r="L126" s="32"/>
      <c r="M126" s="32"/>
      <c r="N126" s="15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39" t="s">
        <v>341</v>
      </c>
      <c r="D127" s="15" t="s">
        <v>342</v>
      </c>
      <c r="E127" s="15" t="s">
        <v>340</v>
      </c>
      <c r="F127" s="58">
        <v>41.97</v>
      </c>
      <c r="G127" s="56">
        <v>79.95</v>
      </c>
      <c r="H127" s="52">
        <v>59.95</v>
      </c>
      <c r="I127" s="137" t="s">
        <v>645</v>
      </c>
      <c r="J127" s="16" t="s">
        <v>645</v>
      </c>
      <c r="K127" s="32"/>
      <c r="L127" s="32"/>
      <c r="M127" s="32"/>
      <c r="N127" s="15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39" t="s">
        <v>343</v>
      </c>
      <c r="D128" s="15" t="s">
        <v>344</v>
      </c>
      <c r="E128" s="15" t="s">
        <v>345</v>
      </c>
      <c r="F128" s="58">
        <v>41.97</v>
      </c>
      <c r="G128" s="56">
        <v>79.95</v>
      </c>
      <c r="H128" s="52">
        <v>59.95</v>
      </c>
      <c r="I128" s="16" t="s">
        <v>646</v>
      </c>
      <c r="J128" s="34" t="s">
        <v>627</v>
      </c>
      <c r="K128" s="32"/>
      <c r="L128" s="32"/>
      <c r="M128" s="32"/>
      <c r="N128" s="15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39" t="s">
        <v>346</v>
      </c>
      <c r="D129" s="15" t="s">
        <v>347</v>
      </c>
      <c r="E129" s="15" t="s">
        <v>340</v>
      </c>
      <c r="F129" s="58">
        <v>41.97</v>
      </c>
      <c r="G129" s="56">
        <v>79.95</v>
      </c>
      <c r="H129" s="52">
        <v>59.95</v>
      </c>
      <c r="I129" s="137" t="s">
        <v>647</v>
      </c>
      <c r="J129" s="34" t="s">
        <v>627</v>
      </c>
      <c r="K129" s="32"/>
      <c r="L129" s="32"/>
      <c r="M129" s="32"/>
      <c r="N129" s="15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39" t="s">
        <v>348</v>
      </c>
      <c r="D130" s="15" t="s">
        <v>349</v>
      </c>
      <c r="E130" s="15" t="s">
        <v>340</v>
      </c>
      <c r="F130" s="58">
        <v>41.97</v>
      </c>
      <c r="G130" s="56">
        <v>79.95</v>
      </c>
      <c r="H130" s="52">
        <v>59.95</v>
      </c>
      <c r="I130" s="137" t="s">
        <v>648</v>
      </c>
      <c r="J130" s="34" t="s">
        <v>627</v>
      </c>
      <c r="K130" s="32"/>
      <c r="L130" s="32"/>
      <c r="M130" s="32"/>
      <c r="N130" s="15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39" t="s">
        <v>350</v>
      </c>
      <c r="D131" s="15" t="s">
        <v>351</v>
      </c>
      <c r="E131" s="15" t="s">
        <v>352</v>
      </c>
      <c r="F131" s="58">
        <v>41.97</v>
      </c>
      <c r="G131" s="56">
        <v>79.95</v>
      </c>
      <c r="H131" s="52">
        <v>59.95</v>
      </c>
      <c r="I131" s="16" t="s">
        <v>649</v>
      </c>
      <c r="J131" s="34" t="s">
        <v>627</v>
      </c>
      <c r="K131" s="32"/>
      <c r="L131" s="32"/>
      <c r="M131" s="32"/>
      <c r="N131" s="15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38"/>
      <c r="C132" s="64" t="s">
        <v>353</v>
      </c>
      <c r="D132" s="65" t="s">
        <v>354</v>
      </c>
      <c r="E132" s="65" t="s">
        <v>355</v>
      </c>
      <c r="F132" s="58">
        <v>41.97</v>
      </c>
      <c r="G132" s="56">
        <v>79.95</v>
      </c>
      <c r="H132" s="52">
        <v>59.95</v>
      </c>
      <c r="I132" s="137" t="s">
        <v>650</v>
      </c>
      <c r="J132" s="34" t="s">
        <v>627</v>
      </c>
      <c r="K132" s="32"/>
      <c r="L132" s="32"/>
      <c r="M132" s="32"/>
      <c r="N132" s="15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0" t="s">
        <v>356</v>
      </c>
      <c r="C133" s="66" t="s">
        <v>17</v>
      </c>
      <c r="D133" s="67" t="s">
        <v>17</v>
      </c>
      <c r="E133" s="23" t="s">
        <v>357</v>
      </c>
      <c r="F133" s="68" t="s">
        <v>17</v>
      </c>
      <c r="G133" s="68" t="s">
        <v>17</v>
      </c>
      <c r="H133" s="25" t="s">
        <v>17</v>
      </c>
      <c r="I133" s="25" t="s">
        <v>17</v>
      </c>
      <c r="J133" s="25" t="s">
        <v>17</v>
      </c>
      <c r="K133" s="25" t="s">
        <v>17</v>
      </c>
      <c r="L133" s="25" t="s">
        <v>17</v>
      </c>
      <c r="M133" s="25" t="s">
        <v>17</v>
      </c>
      <c r="N133" s="25" t="s">
        <v>17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9" t="s">
        <v>358</v>
      </c>
      <c r="D134" s="70" t="s">
        <v>359</v>
      </c>
      <c r="E134" s="70" t="s">
        <v>360</v>
      </c>
      <c r="F134" s="71">
        <v>35.95</v>
      </c>
      <c r="G134" s="72">
        <v>69.95</v>
      </c>
      <c r="H134" s="52">
        <v>54.95</v>
      </c>
      <c r="I134" s="32"/>
      <c r="J134" s="32"/>
      <c r="K134" s="32"/>
      <c r="L134" s="32"/>
      <c r="M134" s="32"/>
      <c r="N134" s="32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66" t="s">
        <v>17</v>
      </c>
      <c r="D135" s="67" t="s">
        <v>17</v>
      </c>
      <c r="E135" s="23" t="s">
        <v>361</v>
      </c>
      <c r="F135" s="68" t="s">
        <v>17</v>
      </c>
      <c r="G135" s="68" t="s">
        <v>17</v>
      </c>
      <c r="H135" s="25" t="s">
        <v>17</v>
      </c>
      <c r="I135" s="25" t="s">
        <v>17</v>
      </c>
      <c r="J135" s="25" t="s">
        <v>17</v>
      </c>
      <c r="K135" s="25" t="s">
        <v>17</v>
      </c>
      <c r="L135" s="25" t="s">
        <v>17</v>
      </c>
      <c r="M135" s="25" t="s">
        <v>17</v>
      </c>
      <c r="N135" s="25" t="s">
        <v>17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3" t="s">
        <v>362</v>
      </c>
      <c r="D136" s="70" t="s">
        <v>363</v>
      </c>
      <c r="E136" s="70" t="s">
        <v>364</v>
      </c>
      <c r="F136" s="71">
        <v>35.95</v>
      </c>
      <c r="G136" s="72">
        <v>59.95</v>
      </c>
      <c r="H136" s="52">
        <v>59.95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73" t="s">
        <v>365</v>
      </c>
      <c r="D137" s="70" t="s">
        <v>366</v>
      </c>
      <c r="E137" s="70" t="s">
        <v>367</v>
      </c>
      <c r="F137" s="71">
        <v>71.9</v>
      </c>
      <c r="G137" s="72">
        <v>79.9</v>
      </c>
      <c r="H137" s="52">
        <v>97.12</v>
      </c>
      <c r="I137" s="32"/>
      <c r="J137" s="32"/>
      <c r="K137" s="32"/>
      <c r="L137" s="32"/>
      <c r="M137" s="32"/>
      <c r="N137" s="32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368</v>
      </c>
      <c r="D138" s="70" t="s">
        <v>369</v>
      </c>
      <c r="E138" s="70" t="s">
        <v>370</v>
      </c>
      <c r="F138" s="71">
        <v>45.95</v>
      </c>
      <c r="G138" s="72">
        <v>69.95</v>
      </c>
      <c r="H138" s="52">
        <v>69.95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371</v>
      </c>
      <c r="D139" s="70" t="s">
        <v>372</v>
      </c>
      <c r="E139" s="70" t="s">
        <v>373</v>
      </c>
      <c r="F139" s="71">
        <v>91.9</v>
      </c>
      <c r="G139" s="72">
        <v>99.9</v>
      </c>
      <c r="H139" s="52">
        <v>107.03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66" t="s">
        <v>17</v>
      </c>
      <c r="D140" s="67" t="s">
        <v>17</v>
      </c>
      <c r="E140" s="23" t="s">
        <v>374</v>
      </c>
      <c r="F140" s="68" t="s">
        <v>17</v>
      </c>
      <c r="G140" s="68" t="s">
        <v>17</v>
      </c>
      <c r="H140" s="25" t="s">
        <v>17</v>
      </c>
      <c r="I140" s="25" t="s">
        <v>17</v>
      </c>
      <c r="J140" s="25" t="s">
        <v>17</v>
      </c>
      <c r="K140" s="25" t="s">
        <v>17</v>
      </c>
      <c r="L140" s="25" t="s">
        <v>17</v>
      </c>
      <c r="M140" s="25" t="s">
        <v>17</v>
      </c>
      <c r="N140" s="25" t="s">
        <v>17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4" t="s">
        <v>375</v>
      </c>
      <c r="D141" s="70" t="s">
        <v>376</v>
      </c>
      <c r="E141" s="70" t="s">
        <v>374</v>
      </c>
      <c r="F141" s="71">
        <v>35.95</v>
      </c>
      <c r="G141" s="72">
        <v>36.0</v>
      </c>
      <c r="H141" s="54">
        <v>36.0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9" t="s">
        <v>377</v>
      </c>
      <c r="D142" s="70" t="s">
        <v>378</v>
      </c>
      <c r="E142" s="70" t="s">
        <v>379</v>
      </c>
      <c r="F142" s="71">
        <v>45.95</v>
      </c>
      <c r="G142" s="72">
        <v>58.65</v>
      </c>
      <c r="H142" s="52">
        <v>58.65</v>
      </c>
      <c r="I142" s="32"/>
      <c r="J142" s="32"/>
      <c r="K142" s="32"/>
      <c r="L142" s="32"/>
      <c r="M142" s="32"/>
      <c r="N142" s="32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66" t="s">
        <v>17</v>
      </c>
      <c r="D143" s="67" t="s">
        <v>17</v>
      </c>
      <c r="E143" s="23" t="s">
        <v>380</v>
      </c>
      <c r="F143" s="68" t="s">
        <v>17</v>
      </c>
      <c r="G143" s="68" t="s">
        <v>17</v>
      </c>
      <c r="H143" s="25" t="s">
        <v>17</v>
      </c>
      <c r="I143" s="25" t="s">
        <v>17</v>
      </c>
      <c r="J143" s="25" t="s">
        <v>17</v>
      </c>
      <c r="K143" s="25" t="s">
        <v>17</v>
      </c>
      <c r="L143" s="25" t="s">
        <v>17</v>
      </c>
      <c r="M143" s="25" t="s">
        <v>17</v>
      </c>
      <c r="N143" s="25" t="s">
        <v>17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74" t="s">
        <v>381</v>
      </c>
      <c r="D144" s="70" t="s">
        <v>382</v>
      </c>
      <c r="E144" s="70" t="s">
        <v>380</v>
      </c>
      <c r="F144" s="71">
        <v>35.95</v>
      </c>
      <c r="G144" s="72">
        <v>59.95</v>
      </c>
      <c r="H144" s="54">
        <v>55.0</v>
      </c>
      <c r="I144" s="32"/>
      <c r="J144" s="32"/>
      <c r="K144" s="32"/>
      <c r="L144" s="32"/>
      <c r="M144" s="32"/>
      <c r="N144" s="32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74" t="s">
        <v>383</v>
      </c>
      <c r="D145" s="70" t="s">
        <v>384</v>
      </c>
      <c r="E145" s="70" t="s">
        <v>385</v>
      </c>
      <c r="F145" s="71">
        <v>45.95</v>
      </c>
      <c r="G145" s="72">
        <v>69.95</v>
      </c>
      <c r="H145" s="54">
        <v>69.95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66" t="s">
        <v>17</v>
      </c>
      <c r="D146" s="67" t="s">
        <v>17</v>
      </c>
      <c r="E146" s="23" t="s">
        <v>386</v>
      </c>
      <c r="F146" s="68" t="s">
        <v>17</v>
      </c>
      <c r="G146" s="68" t="s">
        <v>17</v>
      </c>
      <c r="H146" s="25" t="s">
        <v>17</v>
      </c>
      <c r="I146" s="66" t="s">
        <v>17</v>
      </c>
      <c r="J146" s="67" t="s">
        <v>17</v>
      </c>
      <c r="K146" s="67" t="s">
        <v>17</v>
      </c>
      <c r="L146" s="68" t="s">
        <v>17</v>
      </c>
      <c r="M146" s="68" t="s">
        <v>17</v>
      </c>
      <c r="N146" s="25" t="s">
        <v>17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3" t="s">
        <v>387</v>
      </c>
      <c r="D147" s="70" t="s">
        <v>388</v>
      </c>
      <c r="E147" s="70" t="s">
        <v>389</v>
      </c>
      <c r="F147" s="71">
        <v>19.99</v>
      </c>
      <c r="G147" s="72">
        <v>24.99</v>
      </c>
      <c r="H147" s="52">
        <v>34.95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3" t="s">
        <v>390</v>
      </c>
      <c r="D148" s="70" t="s">
        <v>391</v>
      </c>
      <c r="E148" s="70" t="s">
        <v>392</v>
      </c>
      <c r="F148" s="71">
        <v>39.95</v>
      </c>
      <c r="G148" s="72">
        <v>49.95</v>
      </c>
      <c r="H148" s="52">
        <v>59.99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3" t="s">
        <v>393</v>
      </c>
      <c r="D149" s="70" t="s">
        <v>394</v>
      </c>
      <c r="E149" s="70" t="s">
        <v>395</v>
      </c>
      <c r="F149" s="71">
        <v>79.9</v>
      </c>
      <c r="G149" s="72">
        <v>99.9</v>
      </c>
      <c r="H149" s="52">
        <v>124.95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7"/>
      <c r="C150" s="73" t="s">
        <v>396</v>
      </c>
      <c r="D150" s="70" t="s">
        <v>397</v>
      </c>
      <c r="E150" s="70" t="s">
        <v>398</v>
      </c>
      <c r="F150" s="71">
        <v>49.95</v>
      </c>
      <c r="G150" s="72">
        <v>59.95</v>
      </c>
      <c r="H150" s="52">
        <v>69.95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7"/>
      <c r="C151" s="66" t="s">
        <v>17</v>
      </c>
      <c r="D151" s="67" t="s">
        <v>17</v>
      </c>
      <c r="E151" s="23" t="s">
        <v>399</v>
      </c>
      <c r="F151" s="68" t="s">
        <v>17</v>
      </c>
      <c r="G151" s="68" t="s">
        <v>17</v>
      </c>
      <c r="H151" s="25" t="s">
        <v>17</v>
      </c>
      <c r="I151" s="66" t="s">
        <v>17</v>
      </c>
      <c r="J151" s="67" t="s">
        <v>17</v>
      </c>
      <c r="K151" s="67" t="s">
        <v>17</v>
      </c>
      <c r="L151" s="68" t="s">
        <v>17</v>
      </c>
      <c r="M151" s="68" t="s">
        <v>17</v>
      </c>
      <c r="N151" s="25" t="s">
        <v>17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7"/>
      <c r="C152" s="73" t="s">
        <v>400</v>
      </c>
      <c r="D152" s="70" t="s">
        <v>401</v>
      </c>
      <c r="E152" s="70" t="s">
        <v>399</v>
      </c>
      <c r="F152" s="71">
        <v>29.95</v>
      </c>
      <c r="G152" s="72">
        <v>39.95</v>
      </c>
      <c r="H152" s="52">
        <v>29.95</v>
      </c>
      <c r="I152" s="32"/>
      <c r="J152" s="32"/>
      <c r="K152" s="32"/>
      <c r="L152" s="32"/>
      <c r="M152" s="32"/>
      <c r="N152" s="32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7"/>
      <c r="C153" s="66" t="s">
        <v>17</v>
      </c>
      <c r="D153" s="67" t="s">
        <v>17</v>
      </c>
      <c r="E153" s="23" t="s">
        <v>402</v>
      </c>
      <c r="F153" s="68" t="s">
        <v>17</v>
      </c>
      <c r="G153" s="68" t="s">
        <v>17</v>
      </c>
      <c r="H153" s="25" t="s">
        <v>17</v>
      </c>
      <c r="I153" s="66" t="s">
        <v>17</v>
      </c>
      <c r="J153" s="67" t="s">
        <v>17</v>
      </c>
      <c r="K153" s="67" t="s">
        <v>17</v>
      </c>
      <c r="L153" s="68" t="s">
        <v>17</v>
      </c>
      <c r="M153" s="68" t="s">
        <v>17</v>
      </c>
      <c r="N153" s="25" t="s">
        <v>17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7"/>
      <c r="C154" s="69" t="s">
        <v>403</v>
      </c>
      <c r="D154" s="70" t="s">
        <v>404</v>
      </c>
      <c r="E154" s="70" t="s">
        <v>405</v>
      </c>
      <c r="F154" s="71">
        <v>69.95</v>
      </c>
      <c r="G154" s="72">
        <v>69.95</v>
      </c>
      <c r="H154" s="52">
        <v>69.95</v>
      </c>
      <c r="I154" s="32"/>
      <c r="J154" s="32"/>
      <c r="K154" s="32"/>
      <c r="L154" s="32"/>
      <c r="M154" s="32"/>
      <c r="N154" s="32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27"/>
      <c r="C155" s="66" t="s">
        <v>17</v>
      </c>
      <c r="D155" s="67" t="s">
        <v>17</v>
      </c>
      <c r="E155" s="23" t="s">
        <v>406</v>
      </c>
      <c r="F155" s="68" t="s">
        <v>17</v>
      </c>
      <c r="G155" s="68" t="s">
        <v>17</v>
      </c>
      <c r="H155" s="25" t="s">
        <v>17</v>
      </c>
      <c r="I155" s="66" t="s">
        <v>17</v>
      </c>
      <c r="J155" s="67" t="s">
        <v>17</v>
      </c>
      <c r="K155" s="67" t="s">
        <v>17</v>
      </c>
      <c r="L155" s="68" t="s">
        <v>17</v>
      </c>
      <c r="M155" s="68" t="s">
        <v>17</v>
      </c>
      <c r="N155" s="25" t="s">
        <v>17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27"/>
      <c r="C156" s="73" t="s">
        <v>407</v>
      </c>
      <c r="D156" s="70" t="s">
        <v>408</v>
      </c>
      <c r="E156" s="70" t="s">
        <v>409</v>
      </c>
      <c r="F156" s="71">
        <v>79.9</v>
      </c>
      <c r="G156" s="72">
        <v>79.9</v>
      </c>
      <c r="H156" s="52">
        <v>109.9</v>
      </c>
      <c r="I156" s="32"/>
      <c r="J156" s="32"/>
      <c r="K156" s="32"/>
      <c r="L156" s="32"/>
      <c r="M156" s="32"/>
      <c r="N156" s="32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27"/>
      <c r="C157" s="74" t="s">
        <v>410</v>
      </c>
      <c r="D157" s="70" t="s">
        <v>411</v>
      </c>
      <c r="E157" s="70" t="s">
        <v>412</v>
      </c>
      <c r="F157" s="71">
        <v>39.95</v>
      </c>
      <c r="G157" s="72">
        <v>49.95</v>
      </c>
      <c r="H157" s="52">
        <v>59.95</v>
      </c>
      <c r="I157" s="32"/>
      <c r="J157" s="32"/>
      <c r="K157" s="32"/>
      <c r="L157" s="32"/>
      <c r="M157" s="32"/>
      <c r="N157" s="32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27"/>
      <c r="C158" s="75" t="s">
        <v>413</v>
      </c>
      <c r="D158" s="70" t="s">
        <v>414</v>
      </c>
      <c r="E158" s="70" t="s">
        <v>415</v>
      </c>
      <c r="F158" s="71">
        <v>99.9</v>
      </c>
      <c r="G158" s="72">
        <v>99.9</v>
      </c>
      <c r="H158" s="52">
        <v>129.95</v>
      </c>
      <c r="I158" s="32"/>
      <c r="J158" s="32"/>
      <c r="K158" s="32"/>
      <c r="L158" s="32"/>
      <c r="M158" s="32"/>
      <c r="N158" s="32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38"/>
      <c r="C159" s="39" t="s">
        <v>416</v>
      </c>
      <c r="D159" s="15" t="s">
        <v>417</v>
      </c>
      <c r="E159" s="15" t="s">
        <v>418</v>
      </c>
      <c r="F159" s="58">
        <v>49.95</v>
      </c>
      <c r="G159" s="56">
        <v>59.95</v>
      </c>
      <c r="H159" s="52">
        <v>69.95</v>
      </c>
      <c r="I159" s="32"/>
      <c r="J159" s="32"/>
      <c r="K159" s="32"/>
      <c r="L159" s="32"/>
      <c r="M159" s="32"/>
      <c r="N159" s="32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</sheetData>
  <mergeCells count="8">
    <mergeCell ref="A1:N2"/>
    <mergeCell ref="A3:H3"/>
    <mergeCell ref="A5:A10"/>
    <mergeCell ref="B5:B33"/>
    <mergeCell ref="B34:B56"/>
    <mergeCell ref="B57:B82"/>
    <mergeCell ref="B83:B132"/>
    <mergeCell ref="B133:B159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11.5"/>
    <col customWidth="1" min="14" max="14" width="30.13"/>
  </cols>
  <sheetData>
    <row r="1">
      <c r="A1" s="138" t="s">
        <v>651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5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/>
      <c r="J3" s="15"/>
      <c r="K3" s="15"/>
      <c r="L3" s="15"/>
      <c r="M3" s="15"/>
      <c r="N3" s="139" t="s">
        <v>652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653</v>
      </c>
      <c r="J4" s="15" t="s">
        <v>654</v>
      </c>
      <c r="K4" s="15" t="s">
        <v>655</v>
      </c>
      <c r="L4" s="15" t="s">
        <v>656</v>
      </c>
      <c r="M4" s="15" t="s">
        <v>657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4" t="s">
        <v>658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419.0</v>
      </c>
      <c r="I6" s="32"/>
      <c r="J6" s="57" t="s">
        <v>659</v>
      </c>
      <c r="K6" s="57" t="s">
        <v>659</v>
      </c>
      <c r="L6" s="57" t="s">
        <v>659</v>
      </c>
      <c r="M6" s="57" t="s">
        <v>660</v>
      </c>
      <c r="N6" s="15" t="s">
        <v>661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409.0</v>
      </c>
      <c r="I7" s="32"/>
      <c r="J7" s="57" t="s">
        <v>662</v>
      </c>
      <c r="K7" s="57" t="s">
        <v>662</v>
      </c>
      <c r="L7" s="57" t="s">
        <v>662</v>
      </c>
      <c r="M7" s="57" t="s">
        <v>663</v>
      </c>
      <c r="N7" s="32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459.0</v>
      </c>
      <c r="I8" s="32"/>
      <c r="J8" s="57" t="s">
        <v>662</v>
      </c>
      <c r="K8" s="57" t="s">
        <v>662</v>
      </c>
      <c r="L8" s="57" t="s">
        <v>662</v>
      </c>
      <c r="M8" s="57"/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32"/>
      <c r="J9" s="15"/>
      <c r="K9" s="15"/>
      <c r="L9" s="15"/>
      <c r="M9" s="32"/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559.0</v>
      </c>
      <c r="I10" s="57" t="s">
        <v>664</v>
      </c>
      <c r="J10" s="57" t="s">
        <v>664</v>
      </c>
      <c r="K10" s="57" t="s">
        <v>662</v>
      </c>
      <c r="L10" s="57" t="s">
        <v>665</v>
      </c>
      <c r="M10" s="57" t="s">
        <v>666</v>
      </c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609.0</v>
      </c>
      <c r="I11" s="32"/>
      <c r="J11" s="57" t="s">
        <v>662</v>
      </c>
      <c r="K11" s="57" t="s">
        <v>662</v>
      </c>
      <c r="L11" s="57" t="s">
        <v>665</v>
      </c>
      <c r="M11" s="57" t="s">
        <v>666</v>
      </c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32"/>
      <c r="J12" s="57" t="s">
        <v>667</v>
      </c>
      <c r="K12" s="57" t="s">
        <v>667</v>
      </c>
      <c r="L12" s="57" t="s">
        <v>667</v>
      </c>
      <c r="M12" s="57" t="s">
        <v>667</v>
      </c>
      <c r="N12" s="3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32"/>
      <c r="J13" s="57" t="s">
        <v>667</v>
      </c>
      <c r="K13" s="57" t="s">
        <v>667</v>
      </c>
      <c r="L13" s="57" t="s">
        <v>667</v>
      </c>
      <c r="M13" s="57" t="s">
        <v>667</v>
      </c>
      <c r="N13" s="32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25" t="s">
        <v>17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91.25</v>
      </c>
      <c r="I15" s="32"/>
      <c r="J15" s="15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130.95</v>
      </c>
      <c r="I16" s="32"/>
      <c r="J16" s="15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56.95</v>
      </c>
      <c r="I17" s="32"/>
      <c r="J17" s="15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26.95</v>
      </c>
      <c r="I18" s="32"/>
      <c r="J18" s="15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57.95</v>
      </c>
      <c r="I19" s="32"/>
      <c r="J19" s="15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15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73.95</v>
      </c>
      <c r="I21" s="32"/>
      <c r="J21" s="15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27.95</v>
      </c>
      <c r="I22" s="32"/>
      <c r="J22" s="15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73.95</v>
      </c>
      <c r="I23" s="32"/>
      <c r="J23" s="15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15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140.95</v>
      </c>
      <c r="I25" s="32"/>
      <c r="J25" s="15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46.95</v>
      </c>
      <c r="I26" s="32"/>
      <c r="J26" s="15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142.95</v>
      </c>
      <c r="I27" s="32"/>
      <c r="J27" s="15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15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15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15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15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15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15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25" t="s">
        <v>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475.0</v>
      </c>
      <c r="I35" s="32"/>
      <c r="J35" s="32"/>
      <c r="K35" s="57" t="s">
        <v>668</v>
      </c>
      <c r="L35" s="57" t="s">
        <v>668</v>
      </c>
      <c r="M35" s="57" t="s">
        <v>668</v>
      </c>
      <c r="N35" s="32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495.0</v>
      </c>
      <c r="I36" s="32"/>
      <c r="J36" s="32"/>
      <c r="K36" s="32"/>
      <c r="L36" s="32"/>
      <c r="M36" s="32"/>
      <c r="N36" s="32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490.0</v>
      </c>
      <c r="I37" s="32"/>
      <c r="J37" s="32"/>
      <c r="K37" s="32"/>
      <c r="L37" s="32"/>
      <c r="M37" s="32"/>
      <c r="N37" s="32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525.0</v>
      </c>
      <c r="I38" s="32"/>
      <c r="J38" s="32"/>
      <c r="K38" s="32"/>
      <c r="L38" s="32"/>
      <c r="M38" s="32"/>
      <c r="N38" s="32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545.0</v>
      </c>
      <c r="I39" s="32"/>
      <c r="J39" s="32"/>
      <c r="K39" s="32"/>
      <c r="L39" s="32"/>
      <c r="M39" s="32"/>
      <c r="N39" s="32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375.0</v>
      </c>
      <c r="I40" s="32"/>
      <c r="J40" s="32"/>
      <c r="K40" s="57" t="s">
        <v>668</v>
      </c>
      <c r="L40" s="57" t="s">
        <v>668</v>
      </c>
      <c r="M40" s="57" t="s">
        <v>668</v>
      </c>
      <c r="N40" s="32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395.0</v>
      </c>
      <c r="I41" s="32"/>
      <c r="J41" s="32"/>
      <c r="K41" s="32"/>
      <c r="L41" s="32"/>
      <c r="M41" s="32"/>
      <c r="N41" s="32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425.0</v>
      </c>
      <c r="I42" s="32"/>
      <c r="J42" s="32"/>
      <c r="K42" s="32"/>
      <c r="L42" s="32"/>
      <c r="M42" s="32"/>
      <c r="N42" s="32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95" t="s">
        <v>466</v>
      </c>
      <c r="D43" s="96" t="s">
        <v>467</v>
      </c>
      <c r="E43" s="15" t="s">
        <v>468</v>
      </c>
      <c r="F43" s="35"/>
      <c r="G43" s="47"/>
      <c r="H43" s="31">
        <v>445.0</v>
      </c>
      <c r="I43" s="32"/>
      <c r="J43" s="32"/>
      <c r="K43" s="32"/>
      <c r="L43" s="32"/>
      <c r="M43" s="32"/>
      <c r="N43" s="32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375.0</v>
      </c>
      <c r="I44" s="32"/>
      <c r="J44" s="32"/>
      <c r="K44" s="57" t="s">
        <v>668</v>
      </c>
      <c r="L44" s="57" t="s">
        <v>668</v>
      </c>
      <c r="M44" s="57" t="s">
        <v>668</v>
      </c>
      <c r="N44" s="32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8">
        <v>379.0</v>
      </c>
      <c r="H45" s="31">
        <v>395.0</v>
      </c>
      <c r="I45" s="32"/>
      <c r="J45" s="32"/>
      <c r="K45" s="32"/>
      <c r="L45" s="32"/>
      <c r="M45" s="32"/>
      <c r="N45" s="32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25" t="s">
        <v>17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128</v>
      </c>
      <c r="D47" s="49" t="s">
        <v>129</v>
      </c>
      <c r="E47" s="32" t="s">
        <v>130</v>
      </c>
      <c r="F47" s="50">
        <f t="shared" ref="F47:F56" si="6">H47</f>
        <v>59.95</v>
      </c>
      <c r="G47" s="51">
        <f t="shared" ref="G47:G56" si="7">H47</f>
        <v>59.95</v>
      </c>
      <c r="H47" s="52">
        <v>59.95</v>
      </c>
      <c r="I47" s="32"/>
      <c r="J47" s="32"/>
      <c r="K47" s="32"/>
      <c r="L47" s="32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131</v>
      </c>
      <c r="D48" s="15" t="s">
        <v>132</v>
      </c>
      <c r="E48" s="32" t="s">
        <v>133</v>
      </c>
      <c r="F48" s="50">
        <f t="shared" si="6"/>
        <v>59.95</v>
      </c>
      <c r="G48" s="51">
        <f t="shared" si="7"/>
        <v>59.95</v>
      </c>
      <c r="H48" s="52">
        <v>59.95</v>
      </c>
      <c r="I48" s="32"/>
      <c r="J48" s="32"/>
      <c r="K48" s="32"/>
      <c r="L48" s="32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134</v>
      </c>
      <c r="D49" s="15" t="s">
        <v>135</v>
      </c>
      <c r="E49" s="32" t="s">
        <v>136</v>
      </c>
      <c r="F49" s="50">
        <f t="shared" si="6"/>
        <v>33.95</v>
      </c>
      <c r="G49" s="51">
        <f t="shared" si="7"/>
        <v>33.95</v>
      </c>
      <c r="H49" s="52">
        <v>33.95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137</v>
      </c>
      <c r="D50" s="15" t="s">
        <v>138</v>
      </c>
      <c r="E50" s="32" t="s">
        <v>139</v>
      </c>
      <c r="F50" s="50">
        <f t="shared" si="6"/>
        <v>42.95</v>
      </c>
      <c r="G50" s="51">
        <f t="shared" si="7"/>
        <v>42.95</v>
      </c>
      <c r="H50" s="52">
        <v>42.95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140</v>
      </c>
      <c r="D51" s="15" t="s">
        <v>141</v>
      </c>
      <c r="E51" s="32" t="s">
        <v>142</v>
      </c>
      <c r="F51" s="50">
        <f t="shared" si="6"/>
        <v>79.95</v>
      </c>
      <c r="G51" s="51">
        <f t="shared" si="7"/>
        <v>79.95</v>
      </c>
      <c r="H51" s="52">
        <v>79.95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143</v>
      </c>
      <c r="D52" s="15" t="s">
        <v>144</v>
      </c>
      <c r="E52" s="15" t="s">
        <v>145</v>
      </c>
      <c r="F52" s="50">
        <f t="shared" si="6"/>
        <v>42.95</v>
      </c>
      <c r="G52" s="51">
        <f t="shared" si="7"/>
        <v>42.95</v>
      </c>
      <c r="H52" s="52">
        <v>42.95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146</v>
      </c>
      <c r="D53" s="15" t="s">
        <v>147</v>
      </c>
      <c r="E53" s="15" t="s">
        <v>148</v>
      </c>
      <c r="F53" s="50">
        <f t="shared" si="6"/>
        <v>59.95</v>
      </c>
      <c r="G53" s="51">
        <f t="shared" si="7"/>
        <v>59.95</v>
      </c>
      <c r="H53" s="52">
        <v>59.95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149</v>
      </c>
      <c r="D54" s="15" t="s">
        <v>150</v>
      </c>
      <c r="E54" s="15" t="s">
        <v>151</v>
      </c>
      <c r="F54" s="50">
        <f t="shared" si="6"/>
        <v>33.95</v>
      </c>
      <c r="G54" s="51">
        <f t="shared" si="7"/>
        <v>33.95</v>
      </c>
      <c r="H54" s="52">
        <v>33.95</v>
      </c>
      <c r="I54" s="32"/>
      <c r="J54" s="32"/>
      <c r="K54" s="32"/>
      <c r="L54" s="32"/>
      <c r="M54" s="32"/>
      <c r="N54" s="32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152</v>
      </c>
      <c r="D55" s="53" t="s">
        <v>153</v>
      </c>
      <c r="E55" s="15" t="s">
        <v>154</v>
      </c>
      <c r="F55" s="50">
        <f t="shared" si="6"/>
        <v>80</v>
      </c>
      <c r="G55" s="51">
        <f t="shared" si="7"/>
        <v>80</v>
      </c>
      <c r="H55" s="54">
        <v>80.0</v>
      </c>
      <c r="I55" s="32"/>
      <c r="J55" s="32"/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38"/>
      <c r="C56" s="28" t="s">
        <v>155</v>
      </c>
      <c r="D56" s="53" t="s">
        <v>156</v>
      </c>
      <c r="E56" s="15" t="s">
        <v>157</v>
      </c>
      <c r="F56" s="50">
        <f t="shared" si="6"/>
        <v>29.95</v>
      </c>
      <c r="G56" s="51">
        <f t="shared" si="7"/>
        <v>29.95</v>
      </c>
      <c r="H56" s="52">
        <v>29.95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0" t="s">
        <v>158</v>
      </c>
      <c r="C57" s="21" t="s">
        <v>17</v>
      </c>
      <c r="D57" s="22" t="s">
        <v>17</v>
      </c>
      <c r="E57" s="23" t="s">
        <v>159</v>
      </c>
      <c r="F57" s="24" t="s">
        <v>17</v>
      </c>
      <c r="G57" s="24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25" t="s">
        <v>17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55" t="s">
        <v>160</v>
      </c>
      <c r="D58" s="15" t="s">
        <v>161</v>
      </c>
      <c r="E58" s="15" t="s">
        <v>162</v>
      </c>
      <c r="F58" s="50">
        <f t="shared" ref="F58:F60" si="8">H58*80%</f>
        <v>208</v>
      </c>
      <c r="G58" s="56">
        <v>260.0</v>
      </c>
      <c r="H58" s="52">
        <v>260.0</v>
      </c>
      <c r="I58" s="32"/>
      <c r="J58" s="32"/>
      <c r="K58" s="32"/>
      <c r="L58" s="32"/>
      <c r="M58" s="32"/>
      <c r="N58" s="32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164</v>
      </c>
      <c r="D59" s="15" t="s">
        <v>165</v>
      </c>
      <c r="E59" s="15" t="s">
        <v>166</v>
      </c>
      <c r="F59" s="50">
        <f t="shared" si="8"/>
        <v>208</v>
      </c>
      <c r="G59" s="56">
        <v>260.0</v>
      </c>
      <c r="H59" s="52">
        <v>260.0</v>
      </c>
      <c r="I59" s="32"/>
      <c r="J59" s="32"/>
      <c r="K59" s="32"/>
      <c r="L59" s="32"/>
      <c r="M59" s="32"/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167</v>
      </c>
      <c r="D60" s="15" t="s">
        <v>168</v>
      </c>
      <c r="E60" s="15" t="s">
        <v>169</v>
      </c>
      <c r="F60" s="50">
        <f t="shared" si="8"/>
        <v>208</v>
      </c>
      <c r="G60" s="56">
        <v>260.0</v>
      </c>
      <c r="H60" s="52">
        <v>260.0</v>
      </c>
      <c r="I60" s="32"/>
      <c r="J60" s="32"/>
      <c r="K60" s="32"/>
      <c r="L60" s="32"/>
      <c r="M60" s="32"/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21" t="s">
        <v>17</v>
      </c>
      <c r="D61" s="22" t="s">
        <v>17</v>
      </c>
      <c r="E61" s="23" t="s">
        <v>170</v>
      </c>
      <c r="F61" s="24" t="s">
        <v>17</v>
      </c>
      <c r="G61" s="24" t="s">
        <v>17</v>
      </c>
      <c r="H61" s="25" t="s">
        <v>17</v>
      </c>
      <c r="I61" s="25" t="s">
        <v>17</v>
      </c>
      <c r="J61" s="25" t="s">
        <v>17</v>
      </c>
      <c r="K61" s="25" t="s">
        <v>17</v>
      </c>
      <c r="L61" s="25" t="s">
        <v>17</v>
      </c>
      <c r="M61" s="25" t="s">
        <v>17</v>
      </c>
      <c r="N61" s="25" t="s">
        <v>17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171</v>
      </c>
      <c r="D62" s="15" t="s">
        <v>172</v>
      </c>
      <c r="E62" s="15" t="s">
        <v>173</v>
      </c>
      <c r="F62" s="50">
        <f t="shared" ref="F62:F68" si="9">H62*70%</f>
        <v>51.1</v>
      </c>
      <c r="G62" s="56">
        <v>73.0</v>
      </c>
      <c r="H62" s="52">
        <v>73.0</v>
      </c>
      <c r="I62" s="32"/>
      <c r="J62" s="32"/>
      <c r="K62" s="32"/>
      <c r="L62" s="32"/>
      <c r="M62" s="32"/>
      <c r="N62" s="32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176</v>
      </c>
      <c r="D63" s="15" t="s">
        <v>177</v>
      </c>
      <c r="E63" s="15" t="s">
        <v>178</v>
      </c>
      <c r="F63" s="50">
        <f t="shared" si="9"/>
        <v>51.1</v>
      </c>
      <c r="G63" s="56">
        <v>73.0</v>
      </c>
      <c r="H63" s="52">
        <v>73.0</v>
      </c>
      <c r="I63" s="32"/>
      <c r="J63" s="32"/>
      <c r="K63" s="32"/>
      <c r="L63" s="32"/>
      <c r="M63" s="32"/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179</v>
      </c>
      <c r="D64" s="15" t="s">
        <v>180</v>
      </c>
      <c r="E64" s="15" t="s">
        <v>181</v>
      </c>
      <c r="F64" s="50">
        <f t="shared" si="9"/>
        <v>57.365</v>
      </c>
      <c r="G64" s="56">
        <v>81.95</v>
      </c>
      <c r="H64" s="52">
        <v>81.95</v>
      </c>
      <c r="I64" s="32"/>
      <c r="J64" s="32"/>
      <c r="K64" s="32"/>
      <c r="L64" s="32"/>
      <c r="M64" s="32"/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182</v>
      </c>
      <c r="D65" s="15" t="s">
        <v>183</v>
      </c>
      <c r="E65" s="15" t="s">
        <v>184</v>
      </c>
      <c r="F65" s="50">
        <f t="shared" si="9"/>
        <v>60.865</v>
      </c>
      <c r="G65" s="56">
        <v>86.95</v>
      </c>
      <c r="H65" s="52">
        <v>86.95</v>
      </c>
      <c r="I65" s="32"/>
      <c r="J65" s="32"/>
      <c r="K65" s="32"/>
      <c r="L65" s="32"/>
      <c r="M65" s="32"/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185</v>
      </c>
      <c r="D66" s="15" t="s">
        <v>186</v>
      </c>
      <c r="E66" s="15" t="s">
        <v>187</v>
      </c>
      <c r="F66" s="50">
        <f t="shared" si="9"/>
        <v>67.165</v>
      </c>
      <c r="G66" s="56">
        <v>95.95</v>
      </c>
      <c r="H66" s="52">
        <v>95.95</v>
      </c>
      <c r="I66" s="32"/>
      <c r="J66" s="32"/>
      <c r="K66" s="32"/>
      <c r="L66" s="32"/>
      <c r="M66" s="32"/>
      <c r="N66" s="32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188</v>
      </c>
      <c r="D67" s="15" t="s">
        <v>189</v>
      </c>
      <c r="E67" s="15" t="s">
        <v>190</v>
      </c>
      <c r="F67" s="50">
        <f t="shared" si="9"/>
        <v>74.865</v>
      </c>
      <c r="G67" s="56">
        <v>106.95</v>
      </c>
      <c r="H67" s="52">
        <v>106.95</v>
      </c>
      <c r="I67" s="32"/>
      <c r="J67" s="32"/>
      <c r="K67" s="32"/>
      <c r="L67" s="32"/>
      <c r="M67" s="32"/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39" t="s">
        <v>191</v>
      </c>
      <c r="D68" s="15" t="s">
        <v>192</v>
      </c>
      <c r="E68" s="15" t="s">
        <v>193</v>
      </c>
      <c r="F68" s="50">
        <f t="shared" si="9"/>
        <v>74.865</v>
      </c>
      <c r="G68" s="56">
        <v>106.95</v>
      </c>
      <c r="H68" s="52">
        <v>106.95</v>
      </c>
      <c r="I68" s="32"/>
      <c r="J68" s="32"/>
      <c r="K68" s="32"/>
      <c r="L68" s="32"/>
      <c r="M68" s="32"/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21" t="s">
        <v>17</v>
      </c>
      <c r="D69" s="22" t="s">
        <v>17</v>
      </c>
      <c r="E69" s="23" t="s">
        <v>194</v>
      </c>
      <c r="F69" s="24" t="s">
        <v>17</v>
      </c>
      <c r="G69" s="24" t="s">
        <v>17</v>
      </c>
      <c r="H69" s="25" t="s">
        <v>17</v>
      </c>
      <c r="I69" s="25" t="s">
        <v>17</v>
      </c>
      <c r="J69" s="25" t="s">
        <v>17</v>
      </c>
      <c r="K69" s="25" t="s">
        <v>17</v>
      </c>
      <c r="L69" s="25" t="s">
        <v>17</v>
      </c>
      <c r="M69" s="25" t="s">
        <v>17</v>
      </c>
      <c r="N69" s="25" t="s">
        <v>17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195</v>
      </c>
      <c r="D70" s="15" t="s">
        <v>196</v>
      </c>
      <c r="E70" s="15" t="s">
        <v>197</v>
      </c>
      <c r="F70" s="50">
        <f t="shared" ref="F70:F78" si="10">H70*70%</f>
        <v>18.2</v>
      </c>
      <c r="G70" s="56">
        <v>26.0</v>
      </c>
      <c r="H70" s="54">
        <v>26.0</v>
      </c>
      <c r="I70" s="32"/>
      <c r="J70" s="32"/>
      <c r="K70" s="32"/>
      <c r="L70" s="32"/>
      <c r="M70" s="32"/>
      <c r="N70" s="32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198</v>
      </c>
      <c r="D71" s="15" t="s">
        <v>199</v>
      </c>
      <c r="E71" s="15" t="s">
        <v>200</v>
      </c>
      <c r="F71" s="50">
        <f t="shared" si="10"/>
        <v>18.2</v>
      </c>
      <c r="G71" s="56">
        <v>26.0</v>
      </c>
      <c r="H71" s="54">
        <v>26.0</v>
      </c>
      <c r="I71" s="32"/>
      <c r="J71" s="32"/>
      <c r="K71" s="32"/>
      <c r="L71" s="32"/>
      <c r="M71" s="32"/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201</v>
      </c>
      <c r="D72" s="15" t="s">
        <v>202</v>
      </c>
      <c r="E72" s="15" t="s">
        <v>203</v>
      </c>
      <c r="F72" s="50">
        <f t="shared" si="10"/>
        <v>21</v>
      </c>
      <c r="G72" s="56">
        <v>30.0</v>
      </c>
      <c r="H72" s="54">
        <v>30.0</v>
      </c>
      <c r="I72" s="32"/>
      <c r="J72" s="32"/>
      <c r="K72" s="32"/>
      <c r="L72" s="32"/>
      <c r="M72" s="32"/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204</v>
      </c>
      <c r="D73" s="15" t="s">
        <v>205</v>
      </c>
      <c r="E73" s="15" t="s">
        <v>206</v>
      </c>
      <c r="F73" s="50">
        <f t="shared" si="10"/>
        <v>12.6</v>
      </c>
      <c r="G73" s="56">
        <v>18.0</v>
      </c>
      <c r="H73" s="52">
        <v>18.0</v>
      </c>
      <c r="I73" s="32"/>
      <c r="J73" s="32"/>
      <c r="K73" s="32"/>
      <c r="L73" s="32"/>
      <c r="M73" s="32"/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207</v>
      </c>
      <c r="D74" s="15" t="s">
        <v>208</v>
      </c>
      <c r="E74" s="15" t="s">
        <v>209</v>
      </c>
      <c r="F74" s="50">
        <f t="shared" si="10"/>
        <v>15.4</v>
      </c>
      <c r="G74" s="56">
        <v>22.0</v>
      </c>
      <c r="H74" s="54">
        <v>22.0</v>
      </c>
      <c r="I74" s="32"/>
      <c r="J74" s="32"/>
      <c r="K74" s="32"/>
      <c r="L74" s="32"/>
      <c r="M74" s="32"/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210</v>
      </c>
      <c r="D75" s="15" t="s">
        <v>211</v>
      </c>
      <c r="E75" s="15" t="s">
        <v>212</v>
      </c>
      <c r="F75" s="50">
        <f t="shared" si="10"/>
        <v>11.2</v>
      </c>
      <c r="G75" s="56">
        <v>16.0</v>
      </c>
      <c r="H75" s="52">
        <v>16.0</v>
      </c>
      <c r="I75" s="32"/>
      <c r="J75" s="32"/>
      <c r="K75" s="32"/>
      <c r="L75" s="32"/>
      <c r="M75" s="32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213</v>
      </c>
      <c r="D76" s="15" t="s">
        <v>214</v>
      </c>
      <c r="E76" s="15" t="s">
        <v>215</v>
      </c>
      <c r="F76" s="50">
        <f t="shared" si="10"/>
        <v>11.2</v>
      </c>
      <c r="G76" s="56">
        <v>16.0</v>
      </c>
      <c r="H76" s="52">
        <v>16.0</v>
      </c>
      <c r="I76" s="32"/>
      <c r="J76" s="32"/>
      <c r="K76" s="32"/>
      <c r="L76" s="32"/>
      <c r="M76" s="32"/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216</v>
      </c>
      <c r="D77" s="15" t="s">
        <v>217</v>
      </c>
      <c r="E77" s="15" t="s">
        <v>218</v>
      </c>
      <c r="F77" s="50">
        <f t="shared" si="10"/>
        <v>14.7</v>
      </c>
      <c r="G77" s="56">
        <v>21.0</v>
      </c>
      <c r="H77" s="54">
        <v>21.0</v>
      </c>
      <c r="I77" s="32"/>
      <c r="J77" s="32"/>
      <c r="K77" s="32"/>
      <c r="L77" s="32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38"/>
      <c r="C78" s="55" t="s">
        <v>219</v>
      </c>
      <c r="D78" s="49" t="s">
        <v>220</v>
      </c>
      <c r="E78" s="15" t="s">
        <v>221</v>
      </c>
      <c r="F78" s="50">
        <f t="shared" si="10"/>
        <v>15.4</v>
      </c>
      <c r="G78" s="56">
        <v>22.0</v>
      </c>
      <c r="H78" s="54">
        <v>22.0</v>
      </c>
      <c r="I78" s="32"/>
      <c r="J78" s="32"/>
      <c r="K78" s="32"/>
      <c r="L78" s="32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0" t="s">
        <v>222</v>
      </c>
      <c r="C79" s="21" t="s">
        <v>17</v>
      </c>
      <c r="D79" s="22" t="s">
        <v>17</v>
      </c>
      <c r="E79" s="23" t="s">
        <v>223</v>
      </c>
      <c r="F79" s="24" t="s">
        <v>17</v>
      </c>
      <c r="G79" s="24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  <c r="N79" s="25" t="s">
        <v>17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224</v>
      </c>
      <c r="D80" s="15" t="s">
        <v>225</v>
      </c>
      <c r="E80" s="15" t="s">
        <v>226</v>
      </c>
      <c r="F80" s="58">
        <v>45.49</v>
      </c>
      <c r="G80" s="56">
        <v>69.95</v>
      </c>
      <c r="H80" s="52">
        <v>69.95</v>
      </c>
      <c r="I80" s="32"/>
      <c r="J80" s="32"/>
      <c r="K80" s="32"/>
      <c r="L80" s="32"/>
      <c r="M80" s="32"/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227</v>
      </c>
      <c r="D81" s="15" t="s">
        <v>228</v>
      </c>
      <c r="E81" s="15" t="s">
        <v>229</v>
      </c>
      <c r="F81" s="58">
        <v>58.84</v>
      </c>
      <c r="G81" s="56">
        <v>79.95</v>
      </c>
      <c r="H81" s="52">
        <v>79.95</v>
      </c>
      <c r="I81" s="32"/>
      <c r="J81" s="32"/>
      <c r="K81" s="32"/>
      <c r="L81" s="32"/>
      <c r="M81" s="32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230</v>
      </c>
      <c r="D82" s="15" t="s">
        <v>231</v>
      </c>
      <c r="E82" s="15" t="s">
        <v>232</v>
      </c>
      <c r="F82" s="58">
        <v>92.41</v>
      </c>
      <c r="G82" s="56">
        <v>114.95</v>
      </c>
      <c r="H82" s="54">
        <v>119.0</v>
      </c>
      <c r="I82" s="32"/>
      <c r="J82" s="32"/>
      <c r="K82" s="32"/>
      <c r="L82" s="32"/>
      <c r="M82" s="32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233</v>
      </c>
      <c r="D83" s="15" t="s">
        <v>234</v>
      </c>
      <c r="E83" s="15" t="s">
        <v>235</v>
      </c>
      <c r="F83" s="58">
        <v>17.99</v>
      </c>
      <c r="G83" s="56">
        <v>24.95</v>
      </c>
      <c r="H83" s="52">
        <v>24.95</v>
      </c>
      <c r="I83" s="32"/>
      <c r="J83" s="32"/>
      <c r="K83" s="32"/>
      <c r="L83" s="32"/>
      <c r="M83" s="32"/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236</v>
      </c>
      <c r="D84" s="15" t="s">
        <v>237</v>
      </c>
      <c r="E84" s="15" t="s">
        <v>238</v>
      </c>
      <c r="F84" s="58">
        <v>27.99</v>
      </c>
      <c r="G84" s="59">
        <v>32.95</v>
      </c>
      <c r="H84" s="52">
        <v>32.95</v>
      </c>
      <c r="I84" s="32"/>
      <c r="J84" s="32"/>
      <c r="K84" s="32"/>
      <c r="L84" s="32"/>
      <c r="M84" s="32"/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239</v>
      </c>
      <c r="D85" s="15" t="s">
        <v>240</v>
      </c>
      <c r="E85" s="15" t="s">
        <v>241</v>
      </c>
      <c r="F85" s="58">
        <v>19.95</v>
      </c>
      <c r="G85" s="59">
        <v>19.95</v>
      </c>
      <c r="H85" s="52">
        <v>19.95</v>
      </c>
      <c r="I85" s="32"/>
      <c r="J85" s="32"/>
      <c r="K85" s="32"/>
      <c r="L85" s="32"/>
      <c r="M85" s="32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242</v>
      </c>
      <c r="D86" s="15" t="s">
        <v>243</v>
      </c>
      <c r="E86" s="15" t="s">
        <v>244</v>
      </c>
      <c r="F86" s="58">
        <v>33.71</v>
      </c>
      <c r="G86" s="59">
        <v>44.95</v>
      </c>
      <c r="H86" s="52">
        <v>44.95</v>
      </c>
      <c r="I86" s="32"/>
      <c r="J86" s="32"/>
      <c r="K86" s="32"/>
      <c r="L86" s="32"/>
      <c r="M86" s="32"/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245</v>
      </c>
      <c r="D87" s="15" t="s">
        <v>246</v>
      </c>
      <c r="E87" s="15" t="s">
        <v>247</v>
      </c>
      <c r="F87" s="58">
        <v>33.71</v>
      </c>
      <c r="G87" s="59">
        <v>44.95</v>
      </c>
      <c r="H87" s="52">
        <v>44.95</v>
      </c>
      <c r="I87" s="32"/>
      <c r="J87" s="32"/>
      <c r="K87" s="32"/>
      <c r="L87" s="32"/>
      <c r="M87" s="32"/>
      <c r="N87" s="32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248</v>
      </c>
      <c r="D88" s="15" t="s">
        <v>249</v>
      </c>
      <c r="E88" s="15" t="s">
        <v>250</v>
      </c>
      <c r="F88" s="58">
        <v>104.99</v>
      </c>
      <c r="G88" s="59">
        <v>129.95</v>
      </c>
      <c r="H88" s="52">
        <v>129.95</v>
      </c>
      <c r="I88" s="32"/>
      <c r="J88" s="32"/>
      <c r="K88" s="32"/>
      <c r="L88" s="32"/>
      <c r="M88" s="32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251</v>
      </c>
      <c r="D89" s="15" t="s">
        <v>252</v>
      </c>
      <c r="E89" s="15" t="s">
        <v>253</v>
      </c>
      <c r="F89" s="58">
        <v>21.24</v>
      </c>
      <c r="G89" s="59">
        <v>24.95</v>
      </c>
      <c r="H89" s="52">
        <v>24.95</v>
      </c>
      <c r="I89" s="32"/>
      <c r="J89" s="32"/>
      <c r="K89" s="32"/>
      <c r="L89" s="32"/>
      <c r="M89" s="32"/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21" t="s">
        <v>17</v>
      </c>
      <c r="D90" s="22" t="s">
        <v>17</v>
      </c>
      <c r="E90" s="23" t="s">
        <v>254</v>
      </c>
      <c r="F90" s="24" t="s">
        <v>17</v>
      </c>
      <c r="G90" s="24" t="s">
        <v>17</v>
      </c>
      <c r="H90" s="25" t="s">
        <v>17</v>
      </c>
      <c r="I90" s="25" t="s">
        <v>17</v>
      </c>
      <c r="J90" s="25" t="s">
        <v>17</v>
      </c>
      <c r="K90" s="25" t="s">
        <v>17</v>
      </c>
      <c r="L90" s="25" t="s">
        <v>17</v>
      </c>
      <c r="M90" s="25" t="s">
        <v>17</v>
      </c>
      <c r="N90" s="25" t="s">
        <v>17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255</v>
      </c>
      <c r="D91" s="15" t="s">
        <v>256</v>
      </c>
      <c r="E91" s="15" t="s">
        <v>257</v>
      </c>
      <c r="F91" s="58">
        <v>84.4</v>
      </c>
      <c r="G91" s="59">
        <v>99.95</v>
      </c>
      <c r="H91" s="52">
        <v>99.95</v>
      </c>
      <c r="I91" s="32"/>
      <c r="J91" s="32"/>
      <c r="K91" s="32"/>
      <c r="L91" s="32"/>
      <c r="M91" s="32"/>
      <c r="N91" s="32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258</v>
      </c>
      <c r="D92" s="15" t="s">
        <v>259</v>
      </c>
      <c r="E92" s="15" t="s">
        <v>260</v>
      </c>
      <c r="F92" s="58">
        <v>126.82</v>
      </c>
      <c r="G92" s="59">
        <v>163.95</v>
      </c>
      <c r="H92" s="52">
        <v>163.95</v>
      </c>
      <c r="I92" s="32"/>
      <c r="J92" s="32"/>
      <c r="K92" s="32"/>
      <c r="L92" s="32"/>
      <c r="M92" s="32"/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261</v>
      </c>
      <c r="D93" s="15" t="s">
        <v>262</v>
      </c>
      <c r="E93" s="15" t="s">
        <v>263</v>
      </c>
      <c r="F93" s="58">
        <v>24.95</v>
      </c>
      <c r="G93" s="59">
        <v>24.95</v>
      </c>
      <c r="H93" s="52">
        <v>24.95</v>
      </c>
      <c r="I93" s="32"/>
      <c r="J93" s="32"/>
      <c r="K93" s="32"/>
      <c r="L93" s="32"/>
      <c r="M93" s="32"/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21" t="s">
        <v>17</v>
      </c>
      <c r="D94" s="22" t="s">
        <v>17</v>
      </c>
      <c r="E94" s="23" t="s">
        <v>264</v>
      </c>
      <c r="F94" s="24" t="s">
        <v>17</v>
      </c>
      <c r="G94" s="24" t="s">
        <v>17</v>
      </c>
      <c r="H94" s="25" t="s">
        <v>17</v>
      </c>
      <c r="I94" s="25" t="s">
        <v>17</v>
      </c>
      <c r="J94" s="25" t="s">
        <v>17</v>
      </c>
      <c r="K94" s="25" t="s">
        <v>17</v>
      </c>
      <c r="L94" s="25" t="s">
        <v>17</v>
      </c>
      <c r="M94" s="25" t="s">
        <v>17</v>
      </c>
      <c r="N94" s="25" t="s">
        <v>17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265</v>
      </c>
      <c r="D95" s="15" t="s">
        <v>266</v>
      </c>
      <c r="E95" s="15" t="s">
        <v>267</v>
      </c>
      <c r="F95" s="58">
        <v>104.97</v>
      </c>
      <c r="G95" s="56">
        <v>199.95</v>
      </c>
      <c r="H95" s="52">
        <v>149.95</v>
      </c>
      <c r="I95" s="32"/>
      <c r="J95" s="32"/>
      <c r="K95" s="32"/>
      <c r="L95" s="32"/>
      <c r="M95" s="32"/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268</v>
      </c>
      <c r="D96" s="15" t="s">
        <v>269</v>
      </c>
      <c r="E96" s="15" t="s">
        <v>270</v>
      </c>
      <c r="F96" s="58">
        <v>136.5</v>
      </c>
      <c r="G96" s="56">
        <v>244.95</v>
      </c>
      <c r="H96" s="54">
        <v>195.0</v>
      </c>
      <c r="I96" s="32"/>
      <c r="J96" s="32"/>
      <c r="K96" s="32"/>
      <c r="L96" s="32"/>
      <c r="M96" s="32"/>
      <c r="N96" s="32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271</v>
      </c>
      <c r="D97" s="15" t="s">
        <v>272</v>
      </c>
      <c r="E97" s="15" t="s">
        <v>273</v>
      </c>
      <c r="F97" s="58">
        <v>19.95</v>
      </c>
      <c r="G97" s="56">
        <v>49.95</v>
      </c>
      <c r="H97" s="52">
        <v>29.95</v>
      </c>
      <c r="I97" s="32"/>
      <c r="J97" s="32"/>
      <c r="K97" s="32"/>
      <c r="L97" s="32"/>
      <c r="M97" s="32"/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274</v>
      </c>
      <c r="D98" s="15" t="s">
        <v>275</v>
      </c>
      <c r="E98" s="15" t="s">
        <v>276</v>
      </c>
      <c r="F98" s="58">
        <v>19.95</v>
      </c>
      <c r="G98" s="56">
        <v>29.95</v>
      </c>
      <c r="H98" s="52">
        <v>29.95</v>
      </c>
      <c r="I98" s="32"/>
      <c r="J98" s="32"/>
      <c r="K98" s="32"/>
      <c r="L98" s="32"/>
      <c r="M98" s="32"/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277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278</v>
      </c>
      <c r="D100" s="15" t="s">
        <v>279</v>
      </c>
      <c r="E100" s="15" t="s">
        <v>280</v>
      </c>
      <c r="F100" s="58">
        <v>52.61</v>
      </c>
      <c r="G100" s="59">
        <v>79.95</v>
      </c>
      <c r="H100" s="52">
        <v>79.95</v>
      </c>
      <c r="I100" s="32"/>
      <c r="J100" s="32"/>
      <c r="K100" s="32"/>
      <c r="L100" s="32"/>
      <c r="M100" s="32"/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281</v>
      </c>
      <c r="D101" s="15" t="s">
        <v>282</v>
      </c>
      <c r="E101" s="15" t="s">
        <v>283</v>
      </c>
      <c r="F101" s="58">
        <v>64.5</v>
      </c>
      <c r="G101" s="59">
        <v>129.0</v>
      </c>
      <c r="H101" s="52">
        <v>129.0</v>
      </c>
      <c r="I101" s="32"/>
      <c r="J101" s="32"/>
      <c r="K101" s="32"/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21" t="s">
        <v>17</v>
      </c>
      <c r="D102" s="22" t="s">
        <v>17</v>
      </c>
      <c r="E102" s="23" t="s">
        <v>284</v>
      </c>
      <c r="F102" s="24" t="s">
        <v>17</v>
      </c>
      <c r="G102" s="24" t="s">
        <v>17</v>
      </c>
      <c r="H102" s="25" t="s">
        <v>17</v>
      </c>
      <c r="I102" s="25" t="s">
        <v>17</v>
      </c>
      <c r="J102" s="25" t="s">
        <v>17</v>
      </c>
      <c r="K102" s="25" t="s">
        <v>17</v>
      </c>
      <c r="L102" s="25" t="s">
        <v>17</v>
      </c>
      <c r="M102" s="25" t="s">
        <v>17</v>
      </c>
      <c r="N102" s="25" t="s">
        <v>17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285</v>
      </c>
      <c r="D103" s="60" t="s">
        <v>286</v>
      </c>
      <c r="E103" s="15" t="s">
        <v>287</v>
      </c>
      <c r="F103" s="58">
        <v>34.68</v>
      </c>
      <c r="G103" s="59">
        <v>39.95</v>
      </c>
      <c r="H103" s="52">
        <v>39.95</v>
      </c>
      <c r="I103" s="32"/>
      <c r="J103" s="32"/>
      <c r="K103" s="32"/>
      <c r="L103" s="32"/>
      <c r="M103" s="32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288</v>
      </c>
      <c r="D104" s="60" t="s">
        <v>289</v>
      </c>
      <c r="E104" s="15" t="s">
        <v>290</v>
      </c>
      <c r="F104" s="58">
        <v>34.68</v>
      </c>
      <c r="G104" s="59">
        <v>39.95</v>
      </c>
      <c r="H104" s="52">
        <v>39.95</v>
      </c>
      <c r="I104" s="32"/>
      <c r="J104" s="32"/>
      <c r="K104" s="32"/>
      <c r="L104" s="32"/>
      <c r="M104" s="32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291</v>
      </c>
      <c r="D105" s="60" t="s">
        <v>292</v>
      </c>
      <c r="E105" s="15" t="s">
        <v>293</v>
      </c>
      <c r="F105" s="58">
        <v>34.68</v>
      </c>
      <c r="G105" s="59">
        <v>39.95</v>
      </c>
      <c r="H105" s="52">
        <v>39.95</v>
      </c>
      <c r="I105" s="32"/>
      <c r="J105" s="32"/>
      <c r="K105" s="32"/>
      <c r="L105" s="32"/>
      <c r="M105" s="32"/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294</v>
      </c>
      <c r="D106" s="61" t="s">
        <v>295</v>
      </c>
      <c r="E106" s="15" t="s">
        <v>296</v>
      </c>
      <c r="F106" s="58">
        <v>34.68</v>
      </c>
      <c r="G106" s="59">
        <v>39.95</v>
      </c>
      <c r="H106" s="52">
        <v>39.95</v>
      </c>
      <c r="I106" s="32"/>
      <c r="J106" s="32"/>
      <c r="K106" s="32"/>
      <c r="L106" s="32"/>
      <c r="M106" s="32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297</v>
      </c>
      <c r="D107" s="60" t="s">
        <v>298</v>
      </c>
      <c r="E107" s="15" t="s">
        <v>299</v>
      </c>
      <c r="F107" s="58">
        <v>34.68</v>
      </c>
      <c r="G107" s="59">
        <v>39.95</v>
      </c>
      <c r="H107" s="52">
        <v>39.95</v>
      </c>
      <c r="I107" s="32"/>
      <c r="J107" s="32"/>
      <c r="K107" s="32"/>
      <c r="L107" s="32"/>
      <c r="M107" s="32"/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300</v>
      </c>
      <c r="D108" s="60" t="s">
        <v>301</v>
      </c>
      <c r="E108" s="15" t="s">
        <v>302</v>
      </c>
      <c r="F108" s="58">
        <v>34.68</v>
      </c>
      <c r="G108" s="59">
        <v>39.95</v>
      </c>
      <c r="H108" s="52">
        <v>39.95</v>
      </c>
      <c r="I108" s="32"/>
      <c r="J108" s="32"/>
      <c r="K108" s="32"/>
      <c r="L108" s="32"/>
      <c r="M108" s="32"/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303</v>
      </c>
      <c r="D109" s="60" t="s">
        <v>304</v>
      </c>
      <c r="E109" s="15" t="s">
        <v>305</v>
      </c>
      <c r="F109" s="58">
        <v>34.68</v>
      </c>
      <c r="G109" s="59">
        <v>39.95</v>
      </c>
      <c r="H109" s="52">
        <v>39.95</v>
      </c>
      <c r="I109" s="32"/>
      <c r="J109" s="32"/>
      <c r="K109" s="32"/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306</v>
      </c>
      <c r="D110" s="62" t="s">
        <v>307</v>
      </c>
      <c r="E110" s="15" t="s">
        <v>308</v>
      </c>
      <c r="F110" s="58">
        <v>34.68</v>
      </c>
      <c r="G110" s="59">
        <v>39.95</v>
      </c>
      <c r="H110" s="52">
        <v>39.95</v>
      </c>
      <c r="I110" s="32"/>
      <c r="J110" s="32"/>
      <c r="K110" s="32"/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309</v>
      </c>
      <c r="D111" s="60" t="s">
        <v>310</v>
      </c>
      <c r="E111" s="15" t="s">
        <v>311</v>
      </c>
      <c r="F111" s="58">
        <v>34.68</v>
      </c>
      <c r="G111" s="59">
        <v>39.95</v>
      </c>
      <c r="H111" s="52">
        <v>39.95</v>
      </c>
      <c r="I111" s="32"/>
      <c r="J111" s="32"/>
      <c r="K111" s="32"/>
      <c r="L111" s="32"/>
      <c r="M111" s="32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312</v>
      </c>
      <c r="D112" s="60" t="s">
        <v>313</v>
      </c>
      <c r="E112" s="15" t="s">
        <v>314</v>
      </c>
      <c r="F112" s="58">
        <v>34.68</v>
      </c>
      <c r="G112" s="59">
        <v>39.95</v>
      </c>
      <c r="H112" s="52">
        <v>39.95</v>
      </c>
      <c r="I112" s="32"/>
      <c r="J112" s="32"/>
      <c r="K112" s="32"/>
      <c r="L112" s="32"/>
      <c r="M112" s="32"/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315</v>
      </c>
      <c r="D113" s="60" t="s">
        <v>316</v>
      </c>
      <c r="E113" s="15" t="s">
        <v>317</v>
      </c>
      <c r="F113" s="58">
        <v>34.68</v>
      </c>
      <c r="G113" s="59">
        <v>39.95</v>
      </c>
      <c r="H113" s="52">
        <v>39.95</v>
      </c>
      <c r="I113" s="32"/>
      <c r="J113" s="32"/>
      <c r="K113" s="32"/>
      <c r="L113" s="32"/>
      <c r="M113" s="32"/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21" t="s">
        <v>17</v>
      </c>
      <c r="D114" s="22" t="s">
        <v>17</v>
      </c>
      <c r="E114" s="23" t="s">
        <v>331</v>
      </c>
      <c r="F114" s="24" t="s">
        <v>17</v>
      </c>
      <c r="G114" s="24" t="s">
        <v>17</v>
      </c>
      <c r="H114" s="25" t="s">
        <v>17</v>
      </c>
      <c r="I114" s="25" t="s">
        <v>17</v>
      </c>
      <c r="J114" s="25" t="s">
        <v>17</v>
      </c>
      <c r="K114" s="25" t="s">
        <v>17</v>
      </c>
      <c r="L114" s="25" t="s">
        <v>17</v>
      </c>
      <c r="M114" s="25" t="s">
        <v>17</v>
      </c>
      <c r="N114" s="25" t="s">
        <v>17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332</v>
      </c>
      <c r="D115" s="15" t="s">
        <v>333</v>
      </c>
      <c r="E115" s="15" t="s">
        <v>334</v>
      </c>
      <c r="F115" s="58">
        <v>41.97</v>
      </c>
      <c r="G115" s="56">
        <v>79.95</v>
      </c>
      <c r="H115" s="52">
        <v>59.95</v>
      </c>
      <c r="I115" s="32"/>
      <c r="J115" s="32"/>
      <c r="K115" s="32"/>
      <c r="L115" s="32"/>
      <c r="M115" s="32"/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335</v>
      </c>
      <c r="D116" s="15" t="s">
        <v>336</v>
      </c>
      <c r="E116" s="15" t="s">
        <v>337</v>
      </c>
      <c r="F116" s="58">
        <v>41.97</v>
      </c>
      <c r="G116" s="56">
        <v>79.95</v>
      </c>
      <c r="H116" s="52">
        <v>59.95</v>
      </c>
      <c r="I116" s="32"/>
      <c r="J116" s="32"/>
      <c r="K116" s="32"/>
      <c r="L116" s="32"/>
      <c r="M116" s="32"/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338</v>
      </c>
      <c r="D117" s="15" t="s">
        <v>339</v>
      </c>
      <c r="E117" s="15" t="s">
        <v>340</v>
      </c>
      <c r="F117" s="58">
        <v>41.97</v>
      </c>
      <c r="G117" s="56">
        <v>79.95</v>
      </c>
      <c r="H117" s="52">
        <v>59.95</v>
      </c>
      <c r="I117" s="32"/>
      <c r="J117" s="32"/>
      <c r="K117" s="32"/>
      <c r="L117" s="32"/>
      <c r="M117" s="32"/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341</v>
      </c>
      <c r="D118" s="15" t="s">
        <v>342</v>
      </c>
      <c r="E118" s="15" t="s">
        <v>340</v>
      </c>
      <c r="F118" s="58">
        <v>41.97</v>
      </c>
      <c r="G118" s="56">
        <v>79.95</v>
      </c>
      <c r="H118" s="52">
        <v>59.95</v>
      </c>
      <c r="I118" s="32"/>
      <c r="J118" s="32"/>
      <c r="K118" s="32"/>
      <c r="L118" s="32"/>
      <c r="M118" s="32"/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343</v>
      </c>
      <c r="D119" s="15" t="s">
        <v>344</v>
      </c>
      <c r="E119" s="15" t="s">
        <v>345</v>
      </c>
      <c r="F119" s="58">
        <v>41.97</v>
      </c>
      <c r="G119" s="56">
        <v>79.95</v>
      </c>
      <c r="H119" s="52">
        <v>59.95</v>
      </c>
      <c r="I119" s="32"/>
      <c r="J119" s="32"/>
      <c r="K119" s="32"/>
      <c r="L119" s="32"/>
      <c r="M119" s="32"/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346</v>
      </c>
      <c r="D120" s="15" t="s">
        <v>347</v>
      </c>
      <c r="E120" s="15" t="s">
        <v>340</v>
      </c>
      <c r="F120" s="58">
        <v>41.97</v>
      </c>
      <c r="G120" s="56">
        <v>79.95</v>
      </c>
      <c r="H120" s="52">
        <v>59.95</v>
      </c>
      <c r="I120" s="32"/>
      <c r="J120" s="32"/>
      <c r="K120" s="32"/>
      <c r="L120" s="32"/>
      <c r="M120" s="32"/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348</v>
      </c>
      <c r="D121" s="15" t="s">
        <v>349</v>
      </c>
      <c r="E121" s="15" t="s">
        <v>340</v>
      </c>
      <c r="F121" s="58">
        <v>41.97</v>
      </c>
      <c r="G121" s="56">
        <v>79.95</v>
      </c>
      <c r="H121" s="52">
        <v>59.95</v>
      </c>
      <c r="I121" s="32"/>
      <c r="J121" s="32"/>
      <c r="K121" s="32"/>
      <c r="L121" s="32"/>
      <c r="M121" s="32"/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350</v>
      </c>
      <c r="D122" s="15" t="s">
        <v>351</v>
      </c>
      <c r="E122" s="15" t="s">
        <v>352</v>
      </c>
      <c r="F122" s="58">
        <v>41.97</v>
      </c>
      <c r="G122" s="56">
        <v>79.95</v>
      </c>
      <c r="H122" s="52">
        <v>59.95</v>
      </c>
      <c r="I122" s="32"/>
      <c r="J122" s="32"/>
      <c r="K122" s="32"/>
      <c r="L122" s="32"/>
      <c r="M122" s="32"/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38"/>
      <c r="C123" s="64" t="s">
        <v>353</v>
      </c>
      <c r="D123" s="65" t="s">
        <v>354</v>
      </c>
      <c r="E123" s="65" t="s">
        <v>355</v>
      </c>
      <c r="F123" s="58">
        <v>41.97</v>
      </c>
      <c r="G123" s="56">
        <v>79.95</v>
      </c>
      <c r="H123" s="52">
        <v>59.95</v>
      </c>
      <c r="I123" s="32"/>
      <c r="J123" s="32"/>
      <c r="K123" s="32"/>
      <c r="L123" s="32"/>
      <c r="M123" s="32"/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0" t="s">
        <v>356</v>
      </c>
      <c r="C124" s="66" t="s">
        <v>17</v>
      </c>
      <c r="D124" s="67" t="s">
        <v>17</v>
      </c>
      <c r="E124" s="23" t="s">
        <v>357</v>
      </c>
      <c r="F124" s="68" t="s">
        <v>17</v>
      </c>
      <c r="G124" s="68" t="s">
        <v>17</v>
      </c>
      <c r="H124" s="25" t="s">
        <v>17</v>
      </c>
      <c r="I124" s="25" t="s">
        <v>17</v>
      </c>
      <c r="J124" s="25" t="s">
        <v>17</v>
      </c>
      <c r="K124" s="25" t="s">
        <v>17</v>
      </c>
      <c r="L124" s="25" t="s">
        <v>17</v>
      </c>
      <c r="M124" s="25" t="s">
        <v>17</v>
      </c>
      <c r="N124" s="25" t="s">
        <v>17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69" t="s">
        <v>358</v>
      </c>
      <c r="D125" s="70" t="s">
        <v>359</v>
      </c>
      <c r="E125" s="70" t="s">
        <v>360</v>
      </c>
      <c r="F125" s="71">
        <v>35.95</v>
      </c>
      <c r="G125" s="72">
        <v>69.95</v>
      </c>
      <c r="H125" s="52">
        <v>54.95</v>
      </c>
      <c r="I125" s="32"/>
      <c r="J125" s="32"/>
      <c r="K125" s="32"/>
      <c r="L125" s="32"/>
      <c r="M125" s="32"/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66" t="s">
        <v>17</v>
      </c>
      <c r="D126" s="67" t="s">
        <v>17</v>
      </c>
      <c r="E126" s="23" t="s">
        <v>361</v>
      </c>
      <c r="F126" s="68" t="s">
        <v>17</v>
      </c>
      <c r="G126" s="68" t="s">
        <v>17</v>
      </c>
      <c r="H126" s="25" t="s">
        <v>17</v>
      </c>
      <c r="I126" s="25" t="s">
        <v>17</v>
      </c>
      <c r="J126" s="25" t="s">
        <v>17</v>
      </c>
      <c r="K126" s="25" t="s">
        <v>17</v>
      </c>
      <c r="L126" s="25" t="s">
        <v>17</v>
      </c>
      <c r="M126" s="25" t="s">
        <v>17</v>
      </c>
      <c r="N126" s="25" t="s">
        <v>17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73" t="s">
        <v>362</v>
      </c>
      <c r="D127" s="70" t="s">
        <v>363</v>
      </c>
      <c r="E127" s="70" t="s">
        <v>364</v>
      </c>
      <c r="F127" s="71">
        <v>35.95</v>
      </c>
      <c r="G127" s="72">
        <v>59.95</v>
      </c>
      <c r="H127" s="52">
        <v>59.95</v>
      </c>
      <c r="I127" s="32"/>
      <c r="J127" s="32"/>
      <c r="K127" s="32"/>
      <c r="L127" s="32"/>
      <c r="M127" s="32"/>
      <c r="N127" s="32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73" t="s">
        <v>365</v>
      </c>
      <c r="D128" s="70" t="s">
        <v>366</v>
      </c>
      <c r="E128" s="70" t="s">
        <v>367</v>
      </c>
      <c r="F128" s="71">
        <v>71.9</v>
      </c>
      <c r="G128" s="72">
        <v>79.9</v>
      </c>
      <c r="H128" s="52">
        <v>97.12</v>
      </c>
      <c r="I128" s="32"/>
      <c r="J128" s="32"/>
      <c r="K128" s="32"/>
      <c r="L128" s="32"/>
      <c r="M128" s="32"/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73" t="s">
        <v>368</v>
      </c>
      <c r="D129" s="70" t="s">
        <v>369</v>
      </c>
      <c r="E129" s="70" t="s">
        <v>370</v>
      </c>
      <c r="F129" s="71">
        <v>45.95</v>
      </c>
      <c r="G129" s="72">
        <v>69.95</v>
      </c>
      <c r="H129" s="52">
        <v>69.95</v>
      </c>
      <c r="I129" s="32"/>
      <c r="J129" s="32"/>
      <c r="K129" s="32"/>
      <c r="L129" s="32"/>
      <c r="M129" s="32"/>
      <c r="N129" s="32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73" t="s">
        <v>371</v>
      </c>
      <c r="D130" s="70" t="s">
        <v>372</v>
      </c>
      <c r="E130" s="70" t="s">
        <v>373</v>
      </c>
      <c r="F130" s="71">
        <v>91.9</v>
      </c>
      <c r="G130" s="72">
        <v>99.9</v>
      </c>
      <c r="H130" s="52">
        <v>107.03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6" t="s">
        <v>17</v>
      </c>
      <c r="D131" s="67" t="s">
        <v>17</v>
      </c>
      <c r="E131" s="23" t="s">
        <v>374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25" t="s">
        <v>17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4" t="s">
        <v>375</v>
      </c>
      <c r="D132" s="70" t="s">
        <v>376</v>
      </c>
      <c r="E132" s="70" t="s">
        <v>374</v>
      </c>
      <c r="F132" s="71">
        <v>35.95</v>
      </c>
      <c r="G132" s="72">
        <v>36.0</v>
      </c>
      <c r="H132" s="54">
        <v>36.0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69" t="s">
        <v>377</v>
      </c>
      <c r="D133" s="70" t="s">
        <v>378</v>
      </c>
      <c r="E133" s="70" t="s">
        <v>379</v>
      </c>
      <c r="F133" s="71">
        <v>45.95</v>
      </c>
      <c r="G133" s="72">
        <v>58.65</v>
      </c>
      <c r="H133" s="52">
        <v>58.65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6" t="s">
        <v>17</v>
      </c>
      <c r="D134" s="67" t="s">
        <v>17</v>
      </c>
      <c r="E134" s="23" t="s">
        <v>380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4" t="s">
        <v>381</v>
      </c>
      <c r="D135" s="70" t="s">
        <v>382</v>
      </c>
      <c r="E135" s="70" t="s">
        <v>380</v>
      </c>
      <c r="F135" s="71">
        <v>35.95</v>
      </c>
      <c r="G135" s="72">
        <v>59.95</v>
      </c>
      <c r="H135" s="54">
        <v>55.0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4" t="s">
        <v>383</v>
      </c>
      <c r="D136" s="70" t="s">
        <v>384</v>
      </c>
      <c r="E136" s="70" t="s">
        <v>385</v>
      </c>
      <c r="F136" s="71">
        <v>45.95</v>
      </c>
      <c r="G136" s="72">
        <v>69.95</v>
      </c>
      <c r="H136" s="54">
        <v>69.95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66" t="s">
        <v>17</v>
      </c>
      <c r="D137" s="67" t="s">
        <v>17</v>
      </c>
      <c r="E137" s="23" t="s">
        <v>386</v>
      </c>
      <c r="F137" s="68" t="s">
        <v>17</v>
      </c>
      <c r="G137" s="68" t="s">
        <v>17</v>
      </c>
      <c r="H137" s="25" t="s">
        <v>17</v>
      </c>
      <c r="I137" s="66" t="s">
        <v>17</v>
      </c>
      <c r="J137" s="67" t="s">
        <v>17</v>
      </c>
      <c r="K137" s="67" t="s">
        <v>17</v>
      </c>
      <c r="L137" s="68" t="s">
        <v>17</v>
      </c>
      <c r="M137" s="68" t="s">
        <v>17</v>
      </c>
      <c r="N137" s="25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387</v>
      </c>
      <c r="D138" s="70" t="s">
        <v>388</v>
      </c>
      <c r="E138" s="70" t="s">
        <v>389</v>
      </c>
      <c r="F138" s="71">
        <v>19.99</v>
      </c>
      <c r="G138" s="72">
        <v>24.99</v>
      </c>
      <c r="H138" s="52">
        <v>34.95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390</v>
      </c>
      <c r="D139" s="70" t="s">
        <v>391</v>
      </c>
      <c r="E139" s="70" t="s">
        <v>392</v>
      </c>
      <c r="F139" s="71">
        <v>39.95</v>
      </c>
      <c r="G139" s="72">
        <v>49.95</v>
      </c>
      <c r="H139" s="52">
        <v>59.99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393</v>
      </c>
      <c r="D140" s="70" t="s">
        <v>394</v>
      </c>
      <c r="E140" s="70" t="s">
        <v>395</v>
      </c>
      <c r="F140" s="71">
        <v>79.9</v>
      </c>
      <c r="G140" s="72">
        <v>99.9</v>
      </c>
      <c r="H140" s="52">
        <v>124.95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3" t="s">
        <v>396</v>
      </c>
      <c r="D141" s="70" t="s">
        <v>397</v>
      </c>
      <c r="E141" s="70" t="s">
        <v>398</v>
      </c>
      <c r="F141" s="71">
        <v>49.95</v>
      </c>
      <c r="G141" s="72">
        <v>59.95</v>
      </c>
      <c r="H141" s="52">
        <v>69.95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6" t="s">
        <v>17</v>
      </c>
      <c r="D142" s="67" t="s">
        <v>17</v>
      </c>
      <c r="E142" s="23" t="s">
        <v>399</v>
      </c>
      <c r="F142" s="68" t="s">
        <v>17</v>
      </c>
      <c r="G142" s="68" t="s">
        <v>17</v>
      </c>
      <c r="H142" s="25" t="s">
        <v>17</v>
      </c>
      <c r="I142" s="66" t="s">
        <v>17</v>
      </c>
      <c r="J142" s="67" t="s">
        <v>17</v>
      </c>
      <c r="K142" s="67" t="s">
        <v>17</v>
      </c>
      <c r="L142" s="68" t="s">
        <v>17</v>
      </c>
      <c r="M142" s="68" t="s">
        <v>17</v>
      </c>
      <c r="N142" s="25" t="s">
        <v>17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3" t="s">
        <v>400</v>
      </c>
      <c r="D143" s="70" t="s">
        <v>401</v>
      </c>
      <c r="E143" s="70" t="s">
        <v>399</v>
      </c>
      <c r="F143" s="71">
        <v>29.95</v>
      </c>
      <c r="G143" s="72">
        <v>39.95</v>
      </c>
      <c r="H143" s="52">
        <v>29.95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66" t="s">
        <v>17</v>
      </c>
      <c r="D144" s="67" t="s">
        <v>17</v>
      </c>
      <c r="E144" s="23" t="s">
        <v>402</v>
      </c>
      <c r="F144" s="68" t="s">
        <v>17</v>
      </c>
      <c r="G144" s="68" t="s">
        <v>17</v>
      </c>
      <c r="H144" s="25" t="s">
        <v>17</v>
      </c>
      <c r="I144" s="66" t="s">
        <v>17</v>
      </c>
      <c r="J144" s="67" t="s">
        <v>17</v>
      </c>
      <c r="K144" s="67" t="s">
        <v>17</v>
      </c>
      <c r="L144" s="68" t="s">
        <v>17</v>
      </c>
      <c r="M144" s="68" t="s">
        <v>17</v>
      </c>
      <c r="N144" s="25" t="s">
        <v>17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69" t="s">
        <v>403</v>
      </c>
      <c r="D145" s="70" t="s">
        <v>404</v>
      </c>
      <c r="E145" s="70" t="s">
        <v>405</v>
      </c>
      <c r="F145" s="71">
        <v>69.95</v>
      </c>
      <c r="G145" s="72">
        <v>69.95</v>
      </c>
      <c r="H145" s="52">
        <v>69.95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66" t="s">
        <v>17</v>
      </c>
      <c r="D146" s="67" t="s">
        <v>17</v>
      </c>
      <c r="E146" s="23" t="s">
        <v>406</v>
      </c>
      <c r="F146" s="68" t="s">
        <v>17</v>
      </c>
      <c r="G146" s="68" t="s">
        <v>17</v>
      </c>
      <c r="H146" s="25" t="s">
        <v>17</v>
      </c>
      <c r="I146" s="66" t="s">
        <v>17</v>
      </c>
      <c r="J146" s="67" t="s">
        <v>17</v>
      </c>
      <c r="K146" s="67" t="s">
        <v>17</v>
      </c>
      <c r="L146" s="68" t="s">
        <v>17</v>
      </c>
      <c r="M146" s="68" t="s">
        <v>17</v>
      </c>
      <c r="N146" s="25" t="s">
        <v>17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3" t="s">
        <v>407</v>
      </c>
      <c r="D147" s="70" t="s">
        <v>408</v>
      </c>
      <c r="E147" s="70" t="s">
        <v>409</v>
      </c>
      <c r="F147" s="71">
        <v>79.9</v>
      </c>
      <c r="G147" s="72">
        <v>79.9</v>
      </c>
      <c r="H147" s="52">
        <v>109.9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4" t="s">
        <v>410</v>
      </c>
      <c r="D148" s="70" t="s">
        <v>411</v>
      </c>
      <c r="E148" s="70" t="s">
        <v>412</v>
      </c>
      <c r="F148" s="71">
        <v>39.95</v>
      </c>
      <c r="G148" s="72">
        <v>49.95</v>
      </c>
      <c r="H148" s="52">
        <v>59.95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5" t="s">
        <v>413</v>
      </c>
      <c r="D149" s="70" t="s">
        <v>414</v>
      </c>
      <c r="E149" s="70" t="s">
        <v>415</v>
      </c>
      <c r="F149" s="71">
        <v>99.9</v>
      </c>
      <c r="G149" s="72">
        <v>99.9</v>
      </c>
      <c r="H149" s="52">
        <v>129.95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38"/>
      <c r="C150" s="39" t="s">
        <v>416</v>
      </c>
      <c r="D150" s="15" t="s">
        <v>417</v>
      </c>
      <c r="E150" s="15" t="s">
        <v>418</v>
      </c>
      <c r="F150" s="58">
        <v>49.95</v>
      </c>
      <c r="G150" s="56">
        <v>59.95</v>
      </c>
      <c r="H150" s="52">
        <v>69.95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I151" s="18"/>
      <c r="J151" s="18"/>
      <c r="K151" s="18"/>
      <c r="L151" s="18"/>
      <c r="M151" s="18"/>
    </row>
    <row r="152">
      <c r="I152" s="18"/>
      <c r="J152" s="18"/>
      <c r="K152" s="18"/>
      <c r="L152" s="18"/>
      <c r="M152" s="18"/>
    </row>
    <row r="153">
      <c r="I153" s="18"/>
      <c r="J153" s="18"/>
      <c r="K153" s="18"/>
      <c r="L153" s="18"/>
      <c r="M153" s="18"/>
    </row>
    <row r="154">
      <c r="I154" s="18"/>
      <c r="J154" s="18"/>
      <c r="K154" s="18"/>
      <c r="L154" s="18"/>
      <c r="M154" s="18"/>
    </row>
    <row r="155">
      <c r="I155" s="18"/>
      <c r="J155" s="18"/>
      <c r="K155" s="18"/>
      <c r="L155" s="18"/>
      <c r="M155" s="18"/>
    </row>
    <row r="156">
      <c r="I156" s="18"/>
      <c r="J156" s="18"/>
      <c r="K156" s="18"/>
      <c r="L156" s="18"/>
      <c r="M156" s="18"/>
    </row>
    <row r="157">
      <c r="I157" s="18"/>
      <c r="J157" s="18"/>
      <c r="K157" s="18"/>
      <c r="L157" s="18"/>
      <c r="M157" s="18"/>
    </row>
    <row r="158">
      <c r="I158" s="18"/>
      <c r="J158" s="18"/>
      <c r="K158" s="18"/>
      <c r="L158" s="18"/>
      <c r="M158" s="18"/>
    </row>
    <row r="159">
      <c r="I159" s="18"/>
      <c r="J159" s="18"/>
      <c r="K159" s="18"/>
      <c r="L159" s="18"/>
      <c r="M159" s="18"/>
    </row>
    <row r="160">
      <c r="I160" s="18"/>
      <c r="J160" s="18"/>
      <c r="K160" s="18"/>
      <c r="L160" s="18"/>
      <c r="M160" s="18"/>
    </row>
    <row r="161">
      <c r="I161" s="18"/>
      <c r="J161" s="18"/>
      <c r="K161" s="18"/>
      <c r="L161" s="18"/>
      <c r="M161" s="18"/>
    </row>
    <row r="162">
      <c r="I162" s="18"/>
      <c r="J162" s="18"/>
      <c r="K162" s="18"/>
      <c r="L162" s="18"/>
      <c r="M162" s="18"/>
    </row>
    <row r="163">
      <c r="I163" s="18"/>
      <c r="J163" s="18"/>
      <c r="K163" s="18"/>
      <c r="L163" s="18"/>
      <c r="M163" s="18"/>
    </row>
    <row r="164">
      <c r="I164" s="18"/>
      <c r="J164" s="18"/>
      <c r="K164" s="18"/>
      <c r="L164" s="18"/>
      <c r="M164" s="18"/>
    </row>
    <row r="165">
      <c r="I165" s="18"/>
      <c r="J165" s="18"/>
      <c r="K165" s="18"/>
      <c r="L165" s="18"/>
      <c r="M165" s="18"/>
    </row>
    <row r="166">
      <c r="I166" s="18"/>
      <c r="J166" s="18"/>
      <c r="K166" s="18"/>
      <c r="L166" s="18"/>
      <c r="M166" s="18"/>
    </row>
    <row r="167">
      <c r="I167" s="18"/>
      <c r="J167" s="18"/>
      <c r="K167" s="18"/>
      <c r="L167" s="18"/>
      <c r="M167" s="18"/>
    </row>
    <row r="168">
      <c r="I168" s="18"/>
      <c r="J168" s="18"/>
      <c r="K168" s="18"/>
      <c r="L168" s="18"/>
      <c r="M168" s="18"/>
    </row>
    <row r="169">
      <c r="I169" s="18"/>
      <c r="J169" s="18"/>
      <c r="K169" s="18"/>
      <c r="L169" s="18"/>
      <c r="M169" s="18"/>
    </row>
    <row r="170">
      <c r="I170" s="18"/>
      <c r="J170" s="18"/>
      <c r="K170" s="18"/>
      <c r="L170" s="18"/>
      <c r="M170" s="18"/>
    </row>
    <row r="171">
      <c r="I171" s="18"/>
      <c r="J171" s="18"/>
      <c r="K171" s="18"/>
      <c r="L171" s="18"/>
      <c r="M171" s="18"/>
    </row>
    <row r="172">
      <c r="I172" s="18"/>
      <c r="J172" s="18"/>
      <c r="K172" s="18"/>
      <c r="L172" s="18"/>
      <c r="M172" s="18"/>
    </row>
    <row r="173">
      <c r="I173" s="18"/>
      <c r="J173" s="18"/>
      <c r="K173" s="18"/>
      <c r="L173" s="18"/>
      <c r="M173" s="18"/>
    </row>
    <row r="174">
      <c r="I174" s="18"/>
      <c r="J174" s="18"/>
      <c r="K174" s="18"/>
      <c r="L174" s="18"/>
      <c r="M174" s="18"/>
    </row>
    <row r="175">
      <c r="I175" s="18"/>
      <c r="J175" s="18"/>
      <c r="K175" s="18"/>
      <c r="L175" s="18"/>
      <c r="M175" s="18"/>
    </row>
    <row r="176">
      <c r="I176" s="18"/>
      <c r="J176" s="18"/>
      <c r="K176" s="18"/>
      <c r="L176" s="18"/>
      <c r="M176" s="18"/>
    </row>
    <row r="177">
      <c r="I177" s="18"/>
      <c r="J177" s="18"/>
      <c r="K177" s="18"/>
      <c r="L177" s="18"/>
      <c r="M177" s="18"/>
    </row>
    <row r="178">
      <c r="I178" s="18"/>
      <c r="J178" s="18"/>
      <c r="K178" s="18"/>
      <c r="L178" s="18"/>
      <c r="M178" s="18"/>
    </row>
    <row r="179">
      <c r="I179" s="18"/>
      <c r="J179" s="18"/>
      <c r="K179" s="18"/>
      <c r="L179" s="18"/>
      <c r="M179" s="18"/>
    </row>
    <row r="180">
      <c r="I180" s="18"/>
      <c r="J180" s="18"/>
      <c r="K180" s="18"/>
      <c r="L180" s="18"/>
      <c r="M180" s="18"/>
    </row>
    <row r="181">
      <c r="I181" s="18"/>
      <c r="J181" s="18"/>
      <c r="K181" s="18"/>
      <c r="L181" s="18"/>
      <c r="M181" s="18"/>
    </row>
    <row r="182">
      <c r="I182" s="18"/>
      <c r="J182" s="18"/>
      <c r="K182" s="18"/>
      <c r="L182" s="18"/>
      <c r="M182" s="18"/>
    </row>
    <row r="183">
      <c r="I183" s="18"/>
      <c r="J183" s="18"/>
      <c r="K183" s="18"/>
      <c r="L183" s="18"/>
      <c r="M183" s="18"/>
    </row>
    <row r="184">
      <c r="I184" s="18"/>
      <c r="J184" s="18"/>
      <c r="K184" s="18"/>
      <c r="L184" s="18"/>
      <c r="M184" s="18"/>
    </row>
    <row r="185">
      <c r="I185" s="18"/>
      <c r="J185" s="18"/>
      <c r="K185" s="18"/>
      <c r="L185" s="18"/>
      <c r="M185" s="18"/>
    </row>
    <row r="186">
      <c r="I186" s="18"/>
      <c r="J186" s="18"/>
      <c r="K186" s="18"/>
      <c r="L186" s="18"/>
      <c r="M186" s="18"/>
    </row>
    <row r="187">
      <c r="I187" s="18"/>
      <c r="J187" s="18"/>
      <c r="K187" s="18"/>
      <c r="L187" s="18"/>
      <c r="M187" s="18"/>
    </row>
    <row r="188">
      <c r="I188" s="18"/>
      <c r="J188" s="18"/>
      <c r="K188" s="18"/>
      <c r="L188" s="18"/>
      <c r="M188" s="18"/>
    </row>
    <row r="189">
      <c r="I189" s="18"/>
      <c r="J189" s="18"/>
      <c r="K189" s="18"/>
      <c r="L189" s="18"/>
      <c r="M189" s="18"/>
    </row>
    <row r="190">
      <c r="I190" s="18"/>
      <c r="J190" s="18"/>
      <c r="K190" s="18"/>
      <c r="L190" s="18"/>
      <c r="M190" s="18"/>
    </row>
    <row r="191">
      <c r="I191" s="18"/>
      <c r="J191" s="18"/>
      <c r="K191" s="18"/>
      <c r="L191" s="18"/>
      <c r="M191" s="18"/>
    </row>
    <row r="192">
      <c r="I192" s="18"/>
      <c r="J192" s="18"/>
      <c r="K192" s="18"/>
      <c r="L192" s="18"/>
      <c r="M192" s="18"/>
    </row>
    <row r="193">
      <c r="I193" s="18"/>
      <c r="J193" s="18"/>
      <c r="K193" s="18"/>
      <c r="L193" s="18"/>
      <c r="M193" s="18"/>
    </row>
    <row r="194">
      <c r="I194" s="18"/>
      <c r="J194" s="18"/>
      <c r="K194" s="18"/>
      <c r="L194" s="18"/>
      <c r="M194" s="18"/>
    </row>
    <row r="195">
      <c r="I195" s="18"/>
      <c r="J195" s="18"/>
      <c r="K195" s="18"/>
      <c r="L195" s="18"/>
      <c r="M195" s="18"/>
    </row>
    <row r="196">
      <c r="I196" s="18"/>
      <c r="J196" s="18"/>
      <c r="K196" s="18"/>
      <c r="L196" s="18"/>
      <c r="M196" s="18"/>
    </row>
    <row r="197">
      <c r="I197" s="18"/>
      <c r="J197" s="18"/>
      <c r="K197" s="18"/>
      <c r="L197" s="18"/>
      <c r="M197" s="18"/>
    </row>
    <row r="198">
      <c r="I198" s="18"/>
      <c r="J198" s="18"/>
      <c r="K198" s="18"/>
      <c r="L198" s="18"/>
      <c r="M198" s="18"/>
    </row>
    <row r="199">
      <c r="I199" s="18"/>
      <c r="J199" s="18"/>
      <c r="K199" s="18"/>
      <c r="L199" s="18"/>
      <c r="M199" s="18"/>
    </row>
    <row r="200">
      <c r="I200" s="18"/>
      <c r="J200" s="18"/>
      <c r="K200" s="18"/>
      <c r="L200" s="18"/>
      <c r="M200" s="18"/>
    </row>
    <row r="201">
      <c r="I201" s="18"/>
      <c r="J201" s="18"/>
      <c r="K201" s="18"/>
      <c r="L201" s="18"/>
      <c r="M201" s="18"/>
    </row>
    <row r="202">
      <c r="I202" s="18"/>
      <c r="J202" s="18"/>
      <c r="K202" s="18"/>
      <c r="L202" s="18"/>
      <c r="M202" s="18"/>
    </row>
    <row r="203">
      <c r="I203" s="18"/>
      <c r="J203" s="18"/>
      <c r="K203" s="18"/>
      <c r="L203" s="18"/>
      <c r="M203" s="18"/>
    </row>
    <row r="204">
      <c r="I204" s="18"/>
      <c r="J204" s="18"/>
      <c r="K204" s="18"/>
      <c r="L204" s="18"/>
      <c r="M204" s="18"/>
    </row>
    <row r="205">
      <c r="I205" s="18"/>
      <c r="J205" s="18"/>
      <c r="K205" s="18"/>
      <c r="L205" s="18"/>
      <c r="M205" s="18"/>
    </row>
    <row r="206">
      <c r="I206" s="18"/>
      <c r="J206" s="18"/>
      <c r="K206" s="18"/>
      <c r="L206" s="18"/>
      <c r="M206" s="18"/>
    </row>
    <row r="207">
      <c r="I207" s="18"/>
      <c r="J207" s="18"/>
      <c r="K207" s="18"/>
      <c r="L207" s="18"/>
      <c r="M207" s="18"/>
    </row>
    <row r="208">
      <c r="I208" s="18"/>
      <c r="J208" s="18"/>
      <c r="K208" s="18"/>
      <c r="L208" s="18"/>
      <c r="M208" s="18"/>
    </row>
    <row r="209">
      <c r="I209" s="18"/>
      <c r="J209" s="18"/>
      <c r="K209" s="18"/>
      <c r="L209" s="18"/>
      <c r="M209" s="18"/>
    </row>
    <row r="210">
      <c r="I210" s="18"/>
      <c r="J210" s="18"/>
      <c r="K210" s="18"/>
      <c r="L210" s="18"/>
      <c r="M210" s="18"/>
    </row>
    <row r="211">
      <c r="I211" s="18"/>
      <c r="J211" s="18"/>
      <c r="K211" s="18"/>
      <c r="L211" s="18"/>
      <c r="M211" s="18"/>
    </row>
    <row r="212">
      <c r="I212" s="18"/>
      <c r="J212" s="18"/>
      <c r="K212" s="18"/>
      <c r="L212" s="18"/>
      <c r="M212" s="18"/>
    </row>
    <row r="213">
      <c r="I213" s="18"/>
      <c r="J213" s="18"/>
      <c r="K213" s="18"/>
      <c r="L213" s="18"/>
      <c r="M213" s="18"/>
    </row>
    <row r="214">
      <c r="I214" s="18"/>
      <c r="J214" s="18"/>
      <c r="K214" s="18"/>
      <c r="L214" s="18"/>
      <c r="M214" s="18"/>
    </row>
    <row r="215">
      <c r="I215" s="18"/>
      <c r="J215" s="18"/>
      <c r="K215" s="18"/>
      <c r="L215" s="18"/>
      <c r="M215" s="18"/>
    </row>
    <row r="216">
      <c r="I216" s="18"/>
      <c r="J216" s="18"/>
      <c r="K216" s="18"/>
      <c r="L216" s="18"/>
      <c r="M216" s="18"/>
    </row>
    <row r="217">
      <c r="I217" s="18"/>
      <c r="J217" s="18"/>
      <c r="K217" s="18"/>
      <c r="L217" s="18"/>
      <c r="M217" s="18"/>
    </row>
    <row r="218">
      <c r="I218" s="18"/>
      <c r="J218" s="18"/>
      <c r="K218" s="18"/>
      <c r="L218" s="18"/>
      <c r="M218" s="18"/>
    </row>
    <row r="219">
      <c r="I219" s="18"/>
      <c r="J219" s="18"/>
      <c r="K219" s="18"/>
      <c r="L219" s="18"/>
      <c r="M219" s="18"/>
    </row>
    <row r="220">
      <c r="I220" s="18"/>
      <c r="J220" s="18"/>
      <c r="K220" s="18"/>
      <c r="L220" s="18"/>
      <c r="M220" s="18"/>
    </row>
    <row r="221">
      <c r="I221" s="18"/>
      <c r="J221" s="18"/>
      <c r="K221" s="18"/>
      <c r="L221" s="18"/>
      <c r="M221" s="18"/>
    </row>
    <row r="222">
      <c r="I222" s="18"/>
      <c r="J222" s="18"/>
      <c r="K222" s="18"/>
      <c r="L222" s="18"/>
      <c r="M222" s="18"/>
    </row>
    <row r="223">
      <c r="I223" s="18"/>
      <c r="J223" s="18"/>
      <c r="K223" s="18"/>
      <c r="L223" s="18"/>
      <c r="M223" s="18"/>
    </row>
    <row r="224">
      <c r="I224" s="18"/>
      <c r="J224" s="18"/>
      <c r="K224" s="18"/>
      <c r="L224" s="18"/>
      <c r="M224" s="18"/>
    </row>
    <row r="225">
      <c r="I225" s="18"/>
      <c r="J225" s="18"/>
      <c r="K225" s="18"/>
      <c r="L225" s="18"/>
      <c r="M225" s="18"/>
    </row>
    <row r="226">
      <c r="I226" s="18"/>
      <c r="J226" s="18"/>
      <c r="K226" s="18"/>
      <c r="L226" s="18"/>
      <c r="M226" s="18"/>
    </row>
    <row r="227">
      <c r="I227" s="18"/>
      <c r="J227" s="18"/>
      <c r="K227" s="18"/>
      <c r="L227" s="18"/>
      <c r="M227" s="18"/>
    </row>
    <row r="228">
      <c r="I228" s="18"/>
      <c r="J228" s="18"/>
      <c r="K228" s="18"/>
      <c r="L228" s="18"/>
      <c r="M228" s="18"/>
    </row>
    <row r="229">
      <c r="I229" s="18"/>
      <c r="J229" s="18"/>
      <c r="K229" s="18"/>
      <c r="L229" s="18"/>
      <c r="M229" s="18"/>
    </row>
    <row r="230">
      <c r="I230" s="18"/>
      <c r="J230" s="18"/>
      <c r="K230" s="18"/>
      <c r="L230" s="18"/>
      <c r="M230" s="18"/>
    </row>
    <row r="231">
      <c r="I231" s="18"/>
      <c r="J231" s="18"/>
      <c r="K231" s="18"/>
      <c r="L231" s="18"/>
      <c r="M231" s="18"/>
    </row>
    <row r="232">
      <c r="I232" s="18"/>
      <c r="J232" s="18"/>
      <c r="K232" s="18"/>
      <c r="L232" s="18"/>
      <c r="M232" s="18"/>
    </row>
    <row r="233">
      <c r="I233" s="18"/>
      <c r="J233" s="18"/>
      <c r="K233" s="18"/>
      <c r="L233" s="18"/>
      <c r="M233" s="18"/>
    </row>
    <row r="234">
      <c r="I234" s="18"/>
      <c r="J234" s="18"/>
      <c r="K234" s="18"/>
      <c r="L234" s="18"/>
      <c r="M234" s="18"/>
    </row>
    <row r="235">
      <c r="I235" s="18"/>
      <c r="J235" s="18"/>
      <c r="K235" s="18"/>
      <c r="L235" s="18"/>
      <c r="M235" s="18"/>
    </row>
    <row r="236">
      <c r="I236" s="18"/>
      <c r="J236" s="18"/>
      <c r="K236" s="18"/>
      <c r="L236" s="18"/>
      <c r="M236" s="18"/>
    </row>
    <row r="237">
      <c r="I237" s="18"/>
      <c r="J237" s="18"/>
      <c r="K237" s="18"/>
      <c r="L237" s="18"/>
      <c r="M237" s="18"/>
    </row>
    <row r="238">
      <c r="I238" s="18"/>
      <c r="J238" s="18"/>
      <c r="K238" s="18"/>
      <c r="L238" s="18"/>
      <c r="M238" s="18"/>
    </row>
    <row r="239">
      <c r="I239" s="18"/>
      <c r="J239" s="18"/>
      <c r="K239" s="18"/>
      <c r="L239" s="18"/>
      <c r="M239" s="18"/>
    </row>
    <row r="240">
      <c r="I240" s="18"/>
      <c r="J240" s="18"/>
      <c r="K240" s="18"/>
      <c r="L240" s="18"/>
      <c r="M240" s="18"/>
    </row>
    <row r="241">
      <c r="I241" s="18"/>
      <c r="J241" s="18"/>
      <c r="K241" s="18"/>
      <c r="L241" s="18"/>
      <c r="M241" s="18"/>
    </row>
    <row r="242">
      <c r="I242" s="18"/>
      <c r="J242" s="18"/>
      <c r="K242" s="18"/>
      <c r="L242" s="18"/>
      <c r="M242" s="18"/>
    </row>
    <row r="243">
      <c r="I243" s="18"/>
      <c r="J243" s="18"/>
      <c r="K243" s="18"/>
      <c r="L243" s="18"/>
      <c r="M243" s="18"/>
    </row>
    <row r="244">
      <c r="I244" s="18"/>
      <c r="J244" s="18"/>
      <c r="K244" s="18"/>
      <c r="L244" s="18"/>
      <c r="M244" s="18"/>
    </row>
    <row r="245">
      <c r="I245" s="18"/>
      <c r="J245" s="18"/>
      <c r="K245" s="18"/>
      <c r="L245" s="18"/>
      <c r="M245" s="18"/>
    </row>
    <row r="246">
      <c r="I246" s="18"/>
      <c r="J246" s="18"/>
      <c r="K246" s="18"/>
      <c r="L246" s="18"/>
      <c r="M246" s="18"/>
    </row>
    <row r="247">
      <c r="I247" s="18"/>
      <c r="J247" s="18"/>
      <c r="K247" s="18"/>
      <c r="L247" s="18"/>
      <c r="M247" s="18"/>
    </row>
    <row r="248">
      <c r="I248" s="18"/>
      <c r="J248" s="18"/>
      <c r="K248" s="18"/>
      <c r="L248" s="18"/>
      <c r="M248" s="18"/>
    </row>
    <row r="249">
      <c r="I249" s="18"/>
      <c r="J249" s="18"/>
      <c r="K249" s="18"/>
      <c r="L249" s="18"/>
      <c r="M249" s="18"/>
    </row>
    <row r="250">
      <c r="I250" s="18"/>
      <c r="J250" s="18"/>
      <c r="K250" s="18"/>
      <c r="L250" s="18"/>
      <c r="M250" s="18"/>
    </row>
    <row r="251">
      <c r="I251" s="18"/>
      <c r="J251" s="18"/>
      <c r="K251" s="18"/>
      <c r="L251" s="18"/>
      <c r="M251" s="18"/>
    </row>
    <row r="252">
      <c r="I252" s="18"/>
      <c r="J252" s="18"/>
      <c r="K252" s="18"/>
      <c r="L252" s="18"/>
      <c r="M252" s="18"/>
    </row>
    <row r="253">
      <c r="I253" s="18"/>
      <c r="J253" s="18"/>
      <c r="K253" s="18"/>
      <c r="L253" s="18"/>
      <c r="M253" s="18"/>
    </row>
    <row r="254">
      <c r="I254" s="18"/>
      <c r="J254" s="18"/>
      <c r="K254" s="18"/>
      <c r="L254" s="18"/>
      <c r="M254" s="18"/>
    </row>
    <row r="255">
      <c r="I255" s="18"/>
      <c r="J255" s="18"/>
      <c r="K255" s="18"/>
      <c r="L255" s="18"/>
      <c r="M255" s="18"/>
    </row>
    <row r="256">
      <c r="I256" s="18"/>
      <c r="J256" s="18"/>
      <c r="K256" s="18"/>
      <c r="L256" s="18"/>
      <c r="M256" s="18"/>
    </row>
    <row r="257">
      <c r="I257" s="18"/>
      <c r="J257" s="18"/>
      <c r="K257" s="18"/>
      <c r="L257" s="18"/>
      <c r="M257" s="18"/>
    </row>
    <row r="258">
      <c r="I258" s="18"/>
      <c r="J258" s="18"/>
      <c r="K258" s="18"/>
      <c r="L258" s="18"/>
      <c r="M258" s="18"/>
    </row>
    <row r="259">
      <c r="I259" s="18"/>
      <c r="J259" s="18"/>
      <c r="K259" s="18"/>
      <c r="L259" s="18"/>
      <c r="M259" s="18"/>
    </row>
    <row r="260">
      <c r="I260" s="18"/>
      <c r="J260" s="18"/>
      <c r="K260" s="18"/>
      <c r="L260" s="18"/>
      <c r="M260" s="18"/>
    </row>
    <row r="261">
      <c r="I261" s="18"/>
      <c r="J261" s="18"/>
      <c r="K261" s="18"/>
      <c r="L261" s="18"/>
      <c r="M261" s="18"/>
    </row>
    <row r="262">
      <c r="I262" s="18"/>
      <c r="J262" s="18"/>
      <c r="K262" s="18"/>
      <c r="L262" s="18"/>
      <c r="M262" s="18"/>
    </row>
    <row r="263">
      <c r="I263" s="18"/>
      <c r="J263" s="18"/>
      <c r="K263" s="18"/>
      <c r="L263" s="18"/>
      <c r="M263" s="18"/>
    </row>
    <row r="264">
      <c r="I264" s="18"/>
      <c r="J264" s="18"/>
      <c r="K264" s="18"/>
      <c r="L264" s="18"/>
      <c r="M264" s="18"/>
    </row>
    <row r="265">
      <c r="I265" s="18"/>
      <c r="J265" s="18"/>
      <c r="K265" s="18"/>
      <c r="L265" s="18"/>
      <c r="M265" s="18"/>
    </row>
    <row r="266">
      <c r="I266" s="18"/>
      <c r="J266" s="18"/>
      <c r="K266" s="18"/>
      <c r="L266" s="18"/>
      <c r="M266" s="18"/>
    </row>
    <row r="267">
      <c r="I267" s="18"/>
      <c r="J267" s="18"/>
      <c r="K267" s="18"/>
      <c r="L267" s="18"/>
      <c r="M267" s="18"/>
    </row>
    <row r="268">
      <c r="I268" s="18"/>
      <c r="J268" s="18"/>
      <c r="K268" s="18"/>
      <c r="L268" s="18"/>
      <c r="M268" s="18"/>
    </row>
    <row r="269">
      <c r="I269" s="18"/>
      <c r="J269" s="18"/>
      <c r="K269" s="18"/>
      <c r="L269" s="18"/>
      <c r="M269" s="18"/>
    </row>
    <row r="270">
      <c r="I270" s="18"/>
      <c r="J270" s="18"/>
      <c r="K270" s="18"/>
      <c r="L270" s="18"/>
      <c r="M270" s="18"/>
    </row>
    <row r="271">
      <c r="I271" s="18"/>
      <c r="J271" s="18"/>
      <c r="K271" s="18"/>
      <c r="L271" s="18"/>
      <c r="M271" s="18"/>
    </row>
    <row r="272">
      <c r="I272" s="18"/>
      <c r="J272" s="18"/>
      <c r="K272" s="18"/>
      <c r="L272" s="18"/>
      <c r="M272" s="18"/>
    </row>
    <row r="273">
      <c r="I273" s="18"/>
      <c r="J273" s="18"/>
      <c r="K273" s="18"/>
      <c r="L273" s="18"/>
      <c r="M273" s="18"/>
    </row>
    <row r="274">
      <c r="I274" s="18"/>
      <c r="J274" s="18"/>
      <c r="K274" s="18"/>
      <c r="L274" s="18"/>
      <c r="M274" s="18"/>
    </row>
    <row r="275">
      <c r="I275" s="18"/>
      <c r="J275" s="18"/>
      <c r="K275" s="18"/>
      <c r="L275" s="18"/>
      <c r="M275" s="18"/>
    </row>
    <row r="276">
      <c r="I276" s="18"/>
      <c r="J276" s="18"/>
      <c r="K276" s="18"/>
      <c r="L276" s="18"/>
      <c r="M276" s="18"/>
    </row>
    <row r="277">
      <c r="I277" s="18"/>
      <c r="J277" s="18"/>
      <c r="K277" s="18"/>
      <c r="L277" s="18"/>
      <c r="M277" s="18"/>
    </row>
    <row r="278">
      <c r="I278" s="18"/>
      <c r="J278" s="18"/>
      <c r="K278" s="18"/>
      <c r="L278" s="18"/>
      <c r="M278" s="18"/>
    </row>
    <row r="279">
      <c r="I279" s="18"/>
      <c r="J279" s="18"/>
      <c r="K279" s="18"/>
      <c r="L279" s="18"/>
      <c r="M279" s="18"/>
    </row>
    <row r="280">
      <c r="I280" s="18"/>
      <c r="J280" s="18"/>
      <c r="K280" s="18"/>
      <c r="L280" s="18"/>
      <c r="M280" s="18"/>
    </row>
    <row r="281">
      <c r="I281" s="18"/>
      <c r="J281" s="18"/>
      <c r="K281" s="18"/>
      <c r="L281" s="18"/>
      <c r="M281" s="18"/>
    </row>
    <row r="282">
      <c r="I282" s="18"/>
      <c r="J282" s="18"/>
      <c r="K282" s="18"/>
      <c r="L282" s="18"/>
      <c r="M282" s="18"/>
    </row>
    <row r="283">
      <c r="I283" s="18"/>
      <c r="J283" s="18"/>
      <c r="K283" s="18"/>
      <c r="L283" s="18"/>
      <c r="M283" s="18"/>
    </row>
    <row r="284">
      <c r="I284" s="18"/>
      <c r="J284" s="18"/>
      <c r="K284" s="18"/>
      <c r="L284" s="18"/>
      <c r="M284" s="18"/>
    </row>
    <row r="285">
      <c r="I285" s="18"/>
      <c r="J285" s="18"/>
      <c r="K285" s="18"/>
      <c r="L285" s="18"/>
      <c r="M285" s="18"/>
    </row>
    <row r="286">
      <c r="I286" s="18"/>
      <c r="J286" s="18"/>
      <c r="K286" s="18"/>
      <c r="L286" s="18"/>
      <c r="M286" s="18"/>
    </row>
    <row r="287">
      <c r="I287" s="18"/>
      <c r="J287" s="18"/>
      <c r="K287" s="18"/>
      <c r="L287" s="18"/>
      <c r="M287" s="18"/>
    </row>
    <row r="288">
      <c r="I288" s="18"/>
      <c r="J288" s="18"/>
      <c r="K288" s="18"/>
      <c r="L288" s="18"/>
      <c r="M288" s="18"/>
    </row>
    <row r="289">
      <c r="I289" s="18"/>
      <c r="J289" s="18"/>
      <c r="K289" s="18"/>
      <c r="L289" s="18"/>
      <c r="M289" s="18"/>
    </row>
    <row r="290">
      <c r="I290" s="18"/>
      <c r="J290" s="18"/>
      <c r="K290" s="18"/>
      <c r="L290" s="18"/>
      <c r="M290" s="18"/>
    </row>
    <row r="291">
      <c r="I291" s="18"/>
      <c r="J291" s="18"/>
      <c r="K291" s="18"/>
      <c r="L291" s="18"/>
      <c r="M291" s="18"/>
    </row>
    <row r="292">
      <c r="I292" s="18"/>
      <c r="J292" s="18"/>
      <c r="K292" s="18"/>
      <c r="L292" s="18"/>
      <c r="M292" s="18"/>
    </row>
    <row r="293">
      <c r="I293" s="18"/>
      <c r="J293" s="18"/>
      <c r="K293" s="18"/>
      <c r="L293" s="18"/>
      <c r="M293" s="18"/>
    </row>
    <row r="294">
      <c r="I294" s="18"/>
      <c r="J294" s="18"/>
      <c r="K294" s="18"/>
      <c r="L294" s="18"/>
      <c r="M294" s="18"/>
    </row>
    <row r="295">
      <c r="I295" s="18"/>
      <c r="J295" s="18"/>
      <c r="K295" s="18"/>
      <c r="L295" s="18"/>
      <c r="M295" s="18"/>
    </row>
    <row r="296">
      <c r="I296" s="18"/>
      <c r="J296" s="18"/>
      <c r="K296" s="18"/>
      <c r="L296" s="18"/>
      <c r="M296" s="18"/>
    </row>
    <row r="297">
      <c r="I297" s="18"/>
      <c r="J297" s="18"/>
      <c r="K297" s="18"/>
      <c r="L297" s="18"/>
      <c r="M297" s="18"/>
    </row>
    <row r="298">
      <c r="I298" s="18"/>
      <c r="J298" s="18"/>
      <c r="K298" s="18"/>
      <c r="L298" s="18"/>
      <c r="M298" s="18"/>
    </row>
    <row r="299">
      <c r="I299" s="18"/>
      <c r="J299" s="18"/>
      <c r="K299" s="18"/>
      <c r="L299" s="18"/>
      <c r="M299" s="18"/>
    </row>
    <row r="300">
      <c r="I300" s="18"/>
      <c r="J300" s="18"/>
      <c r="K300" s="18"/>
      <c r="L300" s="18"/>
      <c r="M300" s="18"/>
    </row>
    <row r="301">
      <c r="I301" s="18"/>
      <c r="J301" s="18"/>
      <c r="K301" s="18"/>
      <c r="L301" s="18"/>
      <c r="M301" s="18"/>
    </row>
    <row r="302">
      <c r="I302" s="18"/>
      <c r="J302" s="18"/>
      <c r="K302" s="18"/>
      <c r="L302" s="18"/>
      <c r="M302" s="18"/>
    </row>
    <row r="303">
      <c r="I303" s="18"/>
      <c r="J303" s="18"/>
      <c r="K303" s="18"/>
      <c r="L303" s="18"/>
      <c r="M303" s="18"/>
    </row>
    <row r="304">
      <c r="I304" s="18"/>
      <c r="J304" s="18"/>
      <c r="K304" s="18"/>
      <c r="L304" s="18"/>
      <c r="M304" s="18"/>
    </row>
    <row r="305">
      <c r="I305" s="18"/>
      <c r="J305" s="18"/>
      <c r="K305" s="18"/>
      <c r="L305" s="18"/>
      <c r="M305" s="18"/>
    </row>
    <row r="306">
      <c r="I306" s="18"/>
      <c r="J306" s="18"/>
      <c r="K306" s="18"/>
      <c r="L306" s="18"/>
      <c r="M306" s="18"/>
    </row>
    <row r="307">
      <c r="I307" s="18"/>
      <c r="J307" s="18"/>
      <c r="K307" s="18"/>
      <c r="L307" s="18"/>
      <c r="M307" s="18"/>
    </row>
    <row r="308">
      <c r="I308" s="18"/>
      <c r="J308" s="18"/>
      <c r="K308" s="18"/>
      <c r="L308" s="18"/>
      <c r="M308" s="18"/>
    </row>
    <row r="309">
      <c r="I309" s="18"/>
      <c r="J309" s="18"/>
      <c r="K309" s="18"/>
      <c r="L309" s="18"/>
      <c r="M309" s="18"/>
    </row>
    <row r="310">
      <c r="I310" s="18"/>
      <c r="J310" s="18"/>
      <c r="K310" s="18"/>
      <c r="L310" s="18"/>
      <c r="M310" s="18"/>
    </row>
    <row r="311">
      <c r="I311" s="18"/>
      <c r="J311" s="18"/>
      <c r="K311" s="18"/>
      <c r="L311" s="18"/>
      <c r="M311" s="18"/>
    </row>
    <row r="312">
      <c r="I312" s="18"/>
      <c r="J312" s="18"/>
      <c r="K312" s="18"/>
      <c r="L312" s="18"/>
      <c r="M312" s="18"/>
    </row>
    <row r="313">
      <c r="I313" s="18"/>
      <c r="J313" s="18"/>
      <c r="K313" s="18"/>
      <c r="L313" s="18"/>
      <c r="M313" s="18"/>
    </row>
    <row r="314">
      <c r="I314" s="18"/>
      <c r="J314" s="18"/>
      <c r="K314" s="18"/>
      <c r="L314" s="18"/>
      <c r="M314" s="18"/>
    </row>
    <row r="315">
      <c r="I315" s="18"/>
      <c r="J315" s="18"/>
      <c r="K315" s="18"/>
      <c r="L315" s="18"/>
      <c r="M315" s="18"/>
    </row>
    <row r="316">
      <c r="I316" s="18"/>
      <c r="J316" s="18"/>
      <c r="K316" s="18"/>
      <c r="L316" s="18"/>
      <c r="M316" s="18"/>
    </row>
    <row r="317">
      <c r="I317" s="18"/>
      <c r="J317" s="18"/>
      <c r="K317" s="18"/>
      <c r="L317" s="18"/>
      <c r="M317" s="18"/>
    </row>
    <row r="318">
      <c r="I318" s="18"/>
      <c r="J318" s="18"/>
      <c r="K318" s="18"/>
      <c r="L318" s="18"/>
      <c r="M318" s="18"/>
    </row>
    <row r="319">
      <c r="I319" s="18"/>
      <c r="J319" s="18"/>
      <c r="K319" s="18"/>
      <c r="L319" s="18"/>
      <c r="M319" s="18"/>
    </row>
    <row r="320">
      <c r="I320" s="18"/>
      <c r="J320" s="18"/>
      <c r="K320" s="18"/>
      <c r="L320" s="18"/>
      <c r="M320" s="18"/>
    </row>
    <row r="321">
      <c r="I321" s="18"/>
      <c r="J321" s="18"/>
      <c r="K321" s="18"/>
      <c r="L321" s="18"/>
      <c r="M321" s="18"/>
    </row>
    <row r="322">
      <c r="I322" s="18"/>
      <c r="J322" s="18"/>
      <c r="K322" s="18"/>
      <c r="L322" s="18"/>
      <c r="M322" s="18"/>
    </row>
    <row r="323">
      <c r="I323" s="18"/>
      <c r="J323" s="18"/>
      <c r="K323" s="18"/>
      <c r="L323" s="18"/>
      <c r="M323" s="18"/>
    </row>
    <row r="324">
      <c r="I324" s="18"/>
      <c r="J324" s="18"/>
      <c r="K324" s="18"/>
      <c r="L324" s="18"/>
      <c r="M324" s="18"/>
    </row>
    <row r="325">
      <c r="I325" s="18"/>
      <c r="J325" s="18"/>
      <c r="K325" s="18"/>
      <c r="L325" s="18"/>
      <c r="M325" s="18"/>
    </row>
    <row r="326">
      <c r="I326" s="18"/>
      <c r="J326" s="18"/>
      <c r="K326" s="18"/>
      <c r="L326" s="18"/>
      <c r="M326" s="18"/>
    </row>
    <row r="327">
      <c r="I327" s="18"/>
      <c r="J327" s="18"/>
      <c r="K327" s="18"/>
      <c r="L327" s="18"/>
      <c r="M327" s="18"/>
    </row>
    <row r="328">
      <c r="I328" s="18"/>
      <c r="J328" s="18"/>
      <c r="K328" s="18"/>
      <c r="L328" s="18"/>
      <c r="M328" s="18"/>
    </row>
    <row r="329">
      <c r="I329" s="18"/>
      <c r="J329" s="18"/>
      <c r="K329" s="18"/>
      <c r="L329" s="18"/>
      <c r="M329" s="18"/>
    </row>
    <row r="330">
      <c r="I330" s="18"/>
      <c r="J330" s="18"/>
      <c r="K330" s="18"/>
      <c r="L330" s="18"/>
      <c r="M330" s="18"/>
    </row>
    <row r="331">
      <c r="I331" s="18"/>
      <c r="J331" s="18"/>
      <c r="K331" s="18"/>
      <c r="L331" s="18"/>
      <c r="M331" s="18"/>
    </row>
    <row r="332">
      <c r="I332" s="18"/>
      <c r="J332" s="18"/>
      <c r="K332" s="18"/>
      <c r="L332" s="18"/>
      <c r="M332" s="18"/>
    </row>
    <row r="333">
      <c r="I333" s="18"/>
      <c r="J333" s="18"/>
      <c r="K333" s="18"/>
      <c r="L333" s="18"/>
      <c r="M333" s="18"/>
    </row>
    <row r="334">
      <c r="I334" s="18"/>
      <c r="J334" s="18"/>
      <c r="K334" s="18"/>
      <c r="L334" s="18"/>
      <c r="M334" s="18"/>
    </row>
    <row r="335">
      <c r="I335" s="18"/>
      <c r="J335" s="18"/>
      <c r="K335" s="18"/>
      <c r="L335" s="18"/>
      <c r="M335" s="18"/>
    </row>
    <row r="336">
      <c r="I336" s="18"/>
      <c r="J336" s="18"/>
      <c r="K336" s="18"/>
      <c r="L336" s="18"/>
      <c r="M336" s="18"/>
    </row>
    <row r="337">
      <c r="I337" s="18"/>
      <c r="J337" s="18"/>
      <c r="K337" s="18"/>
      <c r="L337" s="18"/>
      <c r="M337" s="18"/>
    </row>
    <row r="338">
      <c r="I338" s="18"/>
      <c r="J338" s="18"/>
      <c r="K338" s="18"/>
      <c r="L338" s="18"/>
      <c r="M338" s="18"/>
    </row>
    <row r="339">
      <c r="I339" s="18"/>
      <c r="J339" s="18"/>
      <c r="K339" s="18"/>
      <c r="L339" s="18"/>
      <c r="M339" s="18"/>
    </row>
    <row r="340">
      <c r="I340" s="18"/>
      <c r="J340" s="18"/>
      <c r="K340" s="18"/>
      <c r="L340" s="18"/>
      <c r="M340" s="18"/>
    </row>
    <row r="341">
      <c r="I341" s="18"/>
      <c r="J341" s="18"/>
      <c r="K341" s="18"/>
      <c r="L341" s="18"/>
      <c r="M341" s="18"/>
    </row>
    <row r="342">
      <c r="I342" s="18"/>
      <c r="J342" s="18"/>
      <c r="K342" s="18"/>
      <c r="L342" s="18"/>
      <c r="M342" s="18"/>
    </row>
    <row r="343">
      <c r="I343" s="18"/>
      <c r="J343" s="18"/>
      <c r="K343" s="18"/>
      <c r="L343" s="18"/>
      <c r="M343" s="18"/>
    </row>
    <row r="344">
      <c r="I344" s="18"/>
      <c r="J344" s="18"/>
      <c r="K344" s="18"/>
      <c r="L344" s="18"/>
      <c r="M344" s="18"/>
    </row>
    <row r="345">
      <c r="I345" s="18"/>
      <c r="J345" s="18"/>
      <c r="K345" s="18"/>
      <c r="L345" s="18"/>
      <c r="M345" s="18"/>
    </row>
    <row r="346">
      <c r="I346" s="18"/>
      <c r="J346" s="18"/>
      <c r="K346" s="18"/>
      <c r="L346" s="18"/>
      <c r="M346" s="18"/>
    </row>
    <row r="347">
      <c r="I347" s="18"/>
      <c r="J347" s="18"/>
      <c r="K347" s="18"/>
      <c r="L347" s="18"/>
      <c r="M347" s="18"/>
    </row>
    <row r="348">
      <c r="I348" s="18"/>
      <c r="J348" s="18"/>
      <c r="K348" s="18"/>
      <c r="L348" s="18"/>
      <c r="M348" s="18"/>
    </row>
    <row r="349">
      <c r="I349" s="18"/>
      <c r="J349" s="18"/>
      <c r="K349" s="18"/>
      <c r="L349" s="18"/>
      <c r="M349" s="18"/>
    </row>
    <row r="350">
      <c r="I350" s="18"/>
      <c r="J350" s="18"/>
      <c r="K350" s="18"/>
      <c r="L350" s="18"/>
      <c r="M350" s="18"/>
    </row>
    <row r="351">
      <c r="I351" s="18"/>
      <c r="J351" s="18"/>
      <c r="K351" s="18"/>
      <c r="L351" s="18"/>
      <c r="M351" s="18"/>
    </row>
    <row r="352">
      <c r="I352" s="18"/>
      <c r="J352" s="18"/>
      <c r="K352" s="18"/>
      <c r="L352" s="18"/>
      <c r="M352" s="18"/>
    </row>
    <row r="353">
      <c r="I353" s="18"/>
      <c r="J353" s="18"/>
      <c r="K353" s="18"/>
      <c r="L353" s="18"/>
      <c r="M353" s="18"/>
    </row>
    <row r="354">
      <c r="I354" s="18"/>
      <c r="J354" s="18"/>
      <c r="K354" s="18"/>
      <c r="L354" s="18"/>
      <c r="M354" s="18"/>
    </row>
    <row r="355">
      <c r="I355" s="18"/>
      <c r="J355" s="18"/>
      <c r="K355" s="18"/>
      <c r="L355" s="18"/>
      <c r="M355" s="18"/>
    </row>
    <row r="356">
      <c r="I356" s="18"/>
      <c r="J356" s="18"/>
      <c r="K356" s="18"/>
      <c r="L356" s="18"/>
      <c r="M356" s="18"/>
    </row>
    <row r="357">
      <c r="I357" s="18"/>
      <c r="J357" s="18"/>
      <c r="K357" s="18"/>
      <c r="L357" s="18"/>
      <c r="M357" s="18"/>
    </row>
    <row r="358">
      <c r="I358" s="18"/>
      <c r="J358" s="18"/>
      <c r="K358" s="18"/>
      <c r="L358" s="18"/>
      <c r="M358" s="18"/>
    </row>
    <row r="359">
      <c r="I359" s="18"/>
      <c r="J359" s="18"/>
      <c r="K359" s="18"/>
      <c r="L359" s="18"/>
      <c r="M359" s="18"/>
    </row>
    <row r="360">
      <c r="I360" s="18"/>
      <c r="J360" s="18"/>
      <c r="K360" s="18"/>
      <c r="L360" s="18"/>
      <c r="M360" s="18"/>
    </row>
    <row r="361">
      <c r="I361" s="18"/>
      <c r="J361" s="18"/>
      <c r="K361" s="18"/>
      <c r="L361" s="18"/>
      <c r="M361" s="18"/>
    </row>
    <row r="362">
      <c r="I362" s="18"/>
      <c r="J362" s="18"/>
      <c r="K362" s="18"/>
      <c r="L362" s="18"/>
      <c r="M362" s="18"/>
    </row>
    <row r="363">
      <c r="I363" s="18"/>
      <c r="J363" s="18"/>
      <c r="K363" s="18"/>
      <c r="L363" s="18"/>
      <c r="M363" s="18"/>
    </row>
    <row r="364">
      <c r="I364" s="18"/>
      <c r="J364" s="18"/>
      <c r="K364" s="18"/>
      <c r="L364" s="18"/>
      <c r="M364" s="18"/>
    </row>
    <row r="365">
      <c r="I365" s="18"/>
      <c r="J365" s="18"/>
      <c r="K365" s="18"/>
      <c r="L365" s="18"/>
      <c r="M365" s="18"/>
    </row>
    <row r="366">
      <c r="I366" s="18"/>
      <c r="J366" s="18"/>
      <c r="K366" s="18"/>
      <c r="L366" s="18"/>
      <c r="M366" s="18"/>
    </row>
    <row r="367">
      <c r="I367" s="18"/>
      <c r="J367" s="18"/>
      <c r="K367" s="18"/>
      <c r="L367" s="18"/>
      <c r="M367" s="18"/>
    </row>
    <row r="368">
      <c r="I368" s="18"/>
      <c r="J368" s="18"/>
      <c r="K368" s="18"/>
      <c r="L368" s="18"/>
      <c r="M368" s="18"/>
    </row>
    <row r="369">
      <c r="I369" s="18"/>
      <c r="J369" s="18"/>
      <c r="K369" s="18"/>
      <c r="L369" s="18"/>
      <c r="M369" s="18"/>
    </row>
    <row r="370">
      <c r="I370" s="18"/>
      <c r="J370" s="18"/>
      <c r="K370" s="18"/>
      <c r="L370" s="18"/>
      <c r="M370" s="18"/>
    </row>
    <row r="371">
      <c r="I371" s="18"/>
      <c r="J371" s="18"/>
      <c r="K371" s="18"/>
      <c r="L371" s="18"/>
      <c r="M371" s="18"/>
    </row>
    <row r="372">
      <c r="I372" s="18"/>
      <c r="J372" s="18"/>
      <c r="K372" s="18"/>
      <c r="L372" s="18"/>
      <c r="M372" s="18"/>
    </row>
    <row r="373">
      <c r="I373" s="18"/>
      <c r="J373" s="18"/>
      <c r="K373" s="18"/>
      <c r="L373" s="18"/>
      <c r="M373" s="18"/>
    </row>
    <row r="374">
      <c r="I374" s="18"/>
      <c r="J374" s="18"/>
      <c r="K374" s="18"/>
      <c r="L374" s="18"/>
      <c r="M374" s="18"/>
    </row>
    <row r="375">
      <c r="I375" s="18"/>
      <c r="J375" s="18"/>
      <c r="K375" s="18"/>
      <c r="L375" s="18"/>
      <c r="M375" s="18"/>
    </row>
    <row r="376">
      <c r="I376" s="18"/>
      <c r="J376" s="18"/>
      <c r="K376" s="18"/>
      <c r="L376" s="18"/>
      <c r="M376" s="18"/>
    </row>
    <row r="377">
      <c r="I377" s="18"/>
      <c r="J377" s="18"/>
      <c r="K377" s="18"/>
      <c r="L377" s="18"/>
      <c r="M377" s="18"/>
    </row>
    <row r="378">
      <c r="I378" s="18"/>
      <c r="J378" s="18"/>
      <c r="K378" s="18"/>
      <c r="L378" s="18"/>
      <c r="M378" s="18"/>
    </row>
    <row r="379">
      <c r="I379" s="18"/>
      <c r="J379" s="18"/>
      <c r="K379" s="18"/>
      <c r="L379" s="18"/>
      <c r="M379" s="18"/>
    </row>
    <row r="380">
      <c r="I380" s="18"/>
      <c r="J380" s="18"/>
      <c r="K380" s="18"/>
      <c r="L380" s="18"/>
      <c r="M380" s="18"/>
    </row>
    <row r="381">
      <c r="I381" s="18"/>
      <c r="J381" s="18"/>
      <c r="K381" s="18"/>
      <c r="L381" s="18"/>
      <c r="M381" s="18"/>
    </row>
    <row r="382">
      <c r="I382" s="18"/>
      <c r="J382" s="18"/>
      <c r="K382" s="18"/>
      <c r="L382" s="18"/>
      <c r="M382" s="18"/>
    </row>
    <row r="383">
      <c r="I383" s="18"/>
      <c r="J383" s="18"/>
      <c r="K383" s="18"/>
      <c r="L383" s="18"/>
      <c r="M383" s="18"/>
    </row>
    <row r="384">
      <c r="I384" s="18"/>
      <c r="J384" s="18"/>
      <c r="K384" s="18"/>
      <c r="L384" s="18"/>
      <c r="M384" s="18"/>
    </row>
    <row r="385">
      <c r="I385" s="18"/>
      <c r="J385" s="18"/>
      <c r="K385" s="18"/>
      <c r="L385" s="18"/>
      <c r="M385" s="18"/>
    </row>
    <row r="386">
      <c r="I386" s="18"/>
      <c r="J386" s="18"/>
      <c r="K386" s="18"/>
      <c r="L386" s="18"/>
      <c r="M386" s="18"/>
    </row>
    <row r="387">
      <c r="I387" s="18"/>
      <c r="J387" s="18"/>
      <c r="K387" s="18"/>
      <c r="L387" s="18"/>
      <c r="M387" s="18"/>
    </row>
    <row r="388">
      <c r="I388" s="18"/>
      <c r="J388" s="18"/>
      <c r="K388" s="18"/>
      <c r="L388" s="18"/>
      <c r="M388" s="18"/>
    </row>
    <row r="389">
      <c r="I389" s="18"/>
      <c r="J389" s="18"/>
      <c r="K389" s="18"/>
      <c r="L389" s="18"/>
      <c r="M389" s="18"/>
    </row>
    <row r="390">
      <c r="I390" s="18"/>
      <c r="J390" s="18"/>
      <c r="K390" s="18"/>
      <c r="L390" s="18"/>
      <c r="M390" s="18"/>
    </row>
    <row r="391">
      <c r="I391" s="18"/>
      <c r="J391" s="18"/>
      <c r="K391" s="18"/>
      <c r="L391" s="18"/>
      <c r="M391" s="18"/>
    </row>
    <row r="392">
      <c r="I392" s="18"/>
      <c r="J392" s="18"/>
      <c r="K392" s="18"/>
      <c r="L392" s="18"/>
      <c r="M392" s="18"/>
    </row>
    <row r="393">
      <c r="I393" s="18"/>
      <c r="J393" s="18"/>
      <c r="K393" s="18"/>
      <c r="L393" s="18"/>
      <c r="M393" s="18"/>
    </row>
    <row r="394">
      <c r="I394" s="18"/>
      <c r="J394" s="18"/>
      <c r="K394" s="18"/>
      <c r="L394" s="18"/>
      <c r="M394" s="18"/>
    </row>
    <row r="395">
      <c r="I395" s="18"/>
      <c r="J395" s="18"/>
      <c r="K395" s="18"/>
      <c r="L395" s="18"/>
      <c r="M395" s="18"/>
    </row>
    <row r="396">
      <c r="I396" s="18"/>
      <c r="J396" s="18"/>
      <c r="K396" s="18"/>
      <c r="L396" s="18"/>
      <c r="M396" s="18"/>
    </row>
    <row r="397">
      <c r="I397" s="18"/>
      <c r="J397" s="18"/>
      <c r="K397" s="18"/>
      <c r="L397" s="18"/>
      <c r="M397" s="18"/>
    </row>
    <row r="398">
      <c r="I398" s="18"/>
      <c r="J398" s="18"/>
      <c r="K398" s="18"/>
      <c r="L398" s="18"/>
      <c r="M398" s="18"/>
    </row>
    <row r="399">
      <c r="I399" s="18"/>
      <c r="J399" s="18"/>
      <c r="K399" s="18"/>
      <c r="L399" s="18"/>
      <c r="M399" s="18"/>
    </row>
    <row r="400">
      <c r="I400" s="18"/>
      <c r="J400" s="18"/>
      <c r="K400" s="18"/>
      <c r="L400" s="18"/>
      <c r="M400" s="18"/>
    </row>
    <row r="401">
      <c r="I401" s="18"/>
      <c r="J401" s="18"/>
      <c r="K401" s="18"/>
      <c r="L401" s="18"/>
      <c r="M401" s="18"/>
    </row>
    <row r="402">
      <c r="I402" s="18"/>
      <c r="J402" s="18"/>
      <c r="K402" s="18"/>
      <c r="L402" s="18"/>
      <c r="M402" s="18"/>
    </row>
    <row r="403">
      <c r="I403" s="18"/>
      <c r="J403" s="18"/>
      <c r="K403" s="18"/>
      <c r="L403" s="18"/>
      <c r="M403" s="18"/>
    </row>
    <row r="404">
      <c r="I404" s="18"/>
      <c r="J404" s="18"/>
      <c r="K404" s="18"/>
      <c r="L404" s="18"/>
      <c r="M404" s="18"/>
    </row>
    <row r="405">
      <c r="I405" s="18"/>
      <c r="J405" s="18"/>
      <c r="K405" s="18"/>
      <c r="L405" s="18"/>
      <c r="M405" s="18"/>
    </row>
    <row r="406">
      <c r="I406" s="18"/>
      <c r="J406" s="18"/>
      <c r="K406" s="18"/>
      <c r="L406" s="18"/>
      <c r="M406" s="18"/>
    </row>
    <row r="407">
      <c r="I407" s="18"/>
      <c r="J407" s="18"/>
      <c r="K407" s="18"/>
      <c r="L407" s="18"/>
      <c r="M407" s="18"/>
    </row>
    <row r="408">
      <c r="I408" s="18"/>
      <c r="J408" s="18"/>
      <c r="K408" s="18"/>
      <c r="L408" s="18"/>
      <c r="M408" s="18"/>
    </row>
    <row r="409">
      <c r="I409" s="18"/>
      <c r="J409" s="18"/>
      <c r="K409" s="18"/>
      <c r="L409" s="18"/>
      <c r="M409" s="18"/>
    </row>
    <row r="410">
      <c r="I410" s="18"/>
      <c r="J410" s="18"/>
      <c r="K410" s="18"/>
      <c r="L410" s="18"/>
      <c r="M410" s="18"/>
    </row>
    <row r="411">
      <c r="I411" s="18"/>
      <c r="J411" s="18"/>
      <c r="K411" s="18"/>
      <c r="L411" s="18"/>
      <c r="M411" s="18"/>
    </row>
    <row r="412">
      <c r="I412" s="18"/>
      <c r="J412" s="18"/>
      <c r="K412" s="18"/>
      <c r="L412" s="18"/>
      <c r="M412" s="18"/>
    </row>
    <row r="413">
      <c r="I413" s="18"/>
      <c r="J413" s="18"/>
      <c r="K413" s="18"/>
      <c r="L413" s="18"/>
      <c r="M413" s="18"/>
    </row>
    <row r="414">
      <c r="I414" s="18"/>
      <c r="J414" s="18"/>
      <c r="K414" s="18"/>
      <c r="L414" s="18"/>
      <c r="M414" s="18"/>
    </row>
    <row r="415">
      <c r="I415" s="18"/>
      <c r="J415" s="18"/>
      <c r="K415" s="18"/>
      <c r="L415" s="18"/>
      <c r="M415" s="18"/>
    </row>
    <row r="416">
      <c r="I416" s="18"/>
      <c r="J416" s="18"/>
      <c r="K416" s="18"/>
      <c r="L416" s="18"/>
      <c r="M416" s="18"/>
    </row>
    <row r="417">
      <c r="I417" s="18"/>
      <c r="J417" s="18"/>
      <c r="K417" s="18"/>
      <c r="L417" s="18"/>
      <c r="M417" s="18"/>
    </row>
    <row r="418">
      <c r="I418" s="18"/>
      <c r="J418" s="18"/>
      <c r="K418" s="18"/>
      <c r="L418" s="18"/>
      <c r="M418" s="18"/>
    </row>
    <row r="419">
      <c r="I419" s="18"/>
      <c r="J419" s="18"/>
      <c r="K419" s="18"/>
      <c r="L419" s="18"/>
      <c r="M419" s="18"/>
    </row>
    <row r="420">
      <c r="I420" s="18"/>
      <c r="J420" s="18"/>
      <c r="K420" s="18"/>
      <c r="L420" s="18"/>
      <c r="M420" s="18"/>
    </row>
    <row r="421">
      <c r="I421" s="18"/>
      <c r="J421" s="18"/>
      <c r="K421" s="18"/>
      <c r="L421" s="18"/>
      <c r="M421" s="18"/>
    </row>
    <row r="422">
      <c r="I422" s="18"/>
      <c r="J422" s="18"/>
      <c r="K422" s="18"/>
      <c r="L422" s="18"/>
      <c r="M422" s="18"/>
    </row>
    <row r="423">
      <c r="I423" s="18"/>
      <c r="J423" s="18"/>
      <c r="K423" s="18"/>
      <c r="L423" s="18"/>
      <c r="M423" s="18"/>
    </row>
    <row r="424">
      <c r="I424" s="18"/>
      <c r="J424" s="18"/>
      <c r="K424" s="18"/>
      <c r="L424" s="18"/>
      <c r="M424" s="18"/>
    </row>
    <row r="425">
      <c r="I425" s="18"/>
      <c r="J425" s="18"/>
      <c r="K425" s="18"/>
      <c r="L425" s="18"/>
      <c r="M425" s="18"/>
    </row>
    <row r="426">
      <c r="I426" s="18"/>
      <c r="J426" s="18"/>
      <c r="K426" s="18"/>
      <c r="L426" s="18"/>
      <c r="M426" s="18"/>
    </row>
    <row r="427">
      <c r="I427" s="18"/>
      <c r="J427" s="18"/>
      <c r="K427" s="18"/>
      <c r="L427" s="18"/>
      <c r="M427" s="18"/>
    </row>
    <row r="428">
      <c r="I428" s="18"/>
      <c r="J428" s="18"/>
      <c r="K428" s="18"/>
      <c r="L428" s="18"/>
      <c r="M428" s="18"/>
    </row>
    <row r="429">
      <c r="I429" s="18"/>
      <c r="J429" s="18"/>
      <c r="K429" s="18"/>
      <c r="L429" s="18"/>
      <c r="M429" s="18"/>
    </row>
    <row r="430">
      <c r="I430" s="18"/>
      <c r="J430" s="18"/>
      <c r="K430" s="18"/>
      <c r="L430" s="18"/>
      <c r="M430" s="18"/>
    </row>
    <row r="431">
      <c r="I431" s="18"/>
      <c r="J431" s="18"/>
      <c r="K431" s="18"/>
      <c r="L431" s="18"/>
      <c r="M431" s="18"/>
    </row>
    <row r="432">
      <c r="I432" s="18"/>
      <c r="J432" s="18"/>
      <c r="K432" s="18"/>
      <c r="L432" s="18"/>
      <c r="M432" s="18"/>
    </row>
    <row r="433">
      <c r="I433" s="18"/>
      <c r="J433" s="18"/>
      <c r="K433" s="18"/>
      <c r="L433" s="18"/>
      <c r="M433" s="18"/>
    </row>
    <row r="434">
      <c r="I434" s="18"/>
      <c r="J434" s="18"/>
      <c r="K434" s="18"/>
      <c r="L434" s="18"/>
      <c r="M434" s="18"/>
    </row>
    <row r="435">
      <c r="I435" s="18"/>
      <c r="J435" s="18"/>
      <c r="K435" s="18"/>
      <c r="L435" s="18"/>
      <c r="M435" s="18"/>
    </row>
    <row r="436">
      <c r="I436" s="18"/>
      <c r="J436" s="18"/>
      <c r="K436" s="18"/>
      <c r="L436" s="18"/>
      <c r="M436" s="18"/>
    </row>
    <row r="437">
      <c r="I437" s="18"/>
      <c r="J437" s="18"/>
      <c r="K437" s="18"/>
      <c r="L437" s="18"/>
      <c r="M437" s="18"/>
    </row>
    <row r="438">
      <c r="I438" s="18"/>
      <c r="J438" s="18"/>
      <c r="K438" s="18"/>
      <c r="L438" s="18"/>
      <c r="M438" s="18"/>
    </row>
    <row r="439">
      <c r="I439" s="18"/>
      <c r="J439" s="18"/>
      <c r="K439" s="18"/>
      <c r="L439" s="18"/>
      <c r="M439" s="18"/>
    </row>
    <row r="440">
      <c r="I440" s="18"/>
      <c r="J440" s="18"/>
      <c r="K440" s="18"/>
      <c r="L440" s="18"/>
      <c r="M440" s="18"/>
    </row>
    <row r="441">
      <c r="I441" s="18"/>
      <c r="J441" s="18"/>
      <c r="K441" s="18"/>
      <c r="L441" s="18"/>
      <c r="M441" s="18"/>
    </row>
    <row r="442">
      <c r="I442" s="18"/>
      <c r="J442" s="18"/>
      <c r="K442" s="18"/>
      <c r="L442" s="18"/>
      <c r="M442" s="18"/>
    </row>
    <row r="443">
      <c r="I443" s="18"/>
      <c r="J443" s="18"/>
      <c r="K443" s="18"/>
      <c r="L443" s="18"/>
      <c r="M443" s="18"/>
    </row>
    <row r="444">
      <c r="I444" s="18"/>
      <c r="J444" s="18"/>
      <c r="K444" s="18"/>
      <c r="L444" s="18"/>
      <c r="M444" s="18"/>
    </row>
    <row r="445">
      <c r="I445" s="18"/>
      <c r="J445" s="18"/>
      <c r="K445" s="18"/>
      <c r="L445" s="18"/>
      <c r="M445" s="18"/>
    </row>
    <row r="446">
      <c r="I446" s="18"/>
      <c r="J446" s="18"/>
      <c r="K446" s="18"/>
      <c r="L446" s="18"/>
      <c r="M446" s="18"/>
    </row>
    <row r="447">
      <c r="I447" s="18"/>
      <c r="J447" s="18"/>
      <c r="K447" s="18"/>
      <c r="L447" s="18"/>
      <c r="M447" s="18"/>
    </row>
    <row r="448">
      <c r="I448" s="18"/>
      <c r="J448" s="18"/>
      <c r="K448" s="18"/>
      <c r="L448" s="18"/>
      <c r="M448" s="18"/>
    </row>
    <row r="449">
      <c r="I449" s="18"/>
      <c r="J449" s="18"/>
      <c r="K449" s="18"/>
      <c r="L449" s="18"/>
      <c r="M449" s="18"/>
    </row>
    <row r="450">
      <c r="I450" s="18"/>
      <c r="J450" s="18"/>
      <c r="K450" s="18"/>
      <c r="L450" s="18"/>
      <c r="M450" s="18"/>
    </row>
    <row r="451">
      <c r="I451" s="18"/>
      <c r="J451" s="18"/>
      <c r="K451" s="18"/>
      <c r="L451" s="18"/>
      <c r="M451" s="18"/>
    </row>
    <row r="452">
      <c r="I452" s="18"/>
      <c r="J452" s="18"/>
      <c r="K452" s="18"/>
      <c r="L452" s="18"/>
      <c r="M452" s="18"/>
    </row>
    <row r="453">
      <c r="I453" s="18"/>
      <c r="J453" s="18"/>
      <c r="K453" s="18"/>
      <c r="L453" s="18"/>
      <c r="M453" s="18"/>
    </row>
    <row r="454">
      <c r="I454" s="18"/>
      <c r="J454" s="18"/>
      <c r="K454" s="18"/>
      <c r="L454" s="18"/>
      <c r="M454" s="18"/>
    </row>
    <row r="455">
      <c r="I455" s="18"/>
      <c r="J455" s="18"/>
      <c r="K455" s="18"/>
      <c r="L455" s="18"/>
      <c r="M455" s="18"/>
    </row>
    <row r="456">
      <c r="I456" s="18"/>
      <c r="J456" s="18"/>
      <c r="K456" s="18"/>
      <c r="L456" s="18"/>
      <c r="M456" s="18"/>
    </row>
    <row r="457">
      <c r="I457" s="18"/>
      <c r="J457" s="18"/>
      <c r="K457" s="18"/>
      <c r="L457" s="18"/>
      <c r="M457" s="18"/>
    </row>
    <row r="458">
      <c r="I458" s="18"/>
      <c r="J458" s="18"/>
      <c r="K458" s="18"/>
      <c r="L458" s="18"/>
      <c r="M458" s="18"/>
    </row>
    <row r="459">
      <c r="I459" s="18"/>
      <c r="J459" s="18"/>
      <c r="K459" s="18"/>
      <c r="L459" s="18"/>
      <c r="M459" s="18"/>
    </row>
    <row r="460">
      <c r="I460" s="18"/>
      <c r="J460" s="18"/>
      <c r="K460" s="18"/>
      <c r="L460" s="18"/>
      <c r="M460" s="18"/>
    </row>
    <row r="461">
      <c r="I461" s="18"/>
      <c r="J461" s="18"/>
      <c r="K461" s="18"/>
      <c r="L461" s="18"/>
      <c r="M461" s="18"/>
    </row>
    <row r="462">
      <c r="I462" s="18"/>
      <c r="J462" s="18"/>
      <c r="K462" s="18"/>
      <c r="L462" s="18"/>
      <c r="M462" s="18"/>
    </row>
    <row r="463">
      <c r="I463" s="18"/>
      <c r="J463" s="18"/>
      <c r="K463" s="18"/>
      <c r="L463" s="18"/>
      <c r="M463" s="18"/>
    </row>
    <row r="464">
      <c r="I464" s="18"/>
      <c r="J464" s="18"/>
      <c r="K464" s="18"/>
      <c r="L464" s="18"/>
      <c r="M464" s="18"/>
    </row>
    <row r="465">
      <c r="I465" s="18"/>
      <c r="J465" s="18"/>
      <c r="K465" s="18"/>
      <c r="L465" s="18"/>
      <c r="M465" s="18"/>
    </row>
    <row r="466">
      <c r="I466" s="18"/>
      <c r="J466" s="18"/>
      <c r="K466" s="18"/>
      <c r="L466" s="18"/>
      <c r="M466" s="18"/>
    </row>
    <row r="467">
      <c r="I467" s="18"/>
      <c r="J467" s="18"/>
      <c r="K467" s="18"/>
      <c r="L467" s="18"/>
      <c r="M467" s="18"/>
    </row>
    <row r="468">
      <c r="I468" s="18"/>
      <c r="J468" s="18"/>
      <c r="K468" s="18"/>
      <c r="L468" s="18"/>
      <c r="M468" s="18"/>
    </row>
    <row r="469">
      <c r="I469" s="18"/>
      <c r="J469" s="18"/>
      <c r="K469" s="18"/>
      <c r="L469" s="18"/>
      <c r="M469" s="18"/>
    </row>
    <row r="470">
      <c r="I470" s="18"/>
      <c r="J470" s="18"/>
      <c r="K470" s="18"/>
      <c r="L470" s="18"/>
      <c r="M470" s="18"/>
    </row>
    <row r="471">
      <c r="I471" s="18"/>
      <c r="J471" s="18"/>
      <c r="K471" s="18"/>
      <c r="L471" s="18"/>
      <c r="M471" s="18"/>
    </row>
    <row r="472">
      <c r="I472" s="18"/>
      <c r="J472" s="18"/>
      <c r="K472" s="18"/>
      <c r="L472" s="18"/>
      <c r="M472" s="18"/>
    </row>
    <row r="473">
      <c r="I473" s="18"/>
      <c r="J473" s="18"/>
      <c r="K473" s="18"/>
      <c r="L473" s="18"/>
      <c r="M473" s="18"/>
    </row>
    <row r="474">
      <c r="I474" s="18"/>
      <c r="J474" s="18"/>
      <c r="K474" s="18"/>
      <c r="L474" s="18"/>
      <c r="M474" s="18"/>
    </row>
    <row r="475">
      <c r="I475" s="18"/>
      <c r="J475" s="18"/>
      <c r="K475" s="18"/>
      <c r="L475" s="18"/>
      <c r="M475" s="18"/>
    </row>
    <row r="476">
      <c r="I476" s="18"/>
      <c r="J476" s="18"/>
      <c r="K476" s="18"/>
      <c r="L476" s="18"/>
      <c r="M476" s="18"/>
    </row>
    <row r="477">
      <c r="I477" s="18"/>
      <c r="J477" s="18"/>
      <c r="K477" s="18"/>
      <c r="L477" s="18"/>
      <c r="M477" s="18"/>
    </row>
    <row r="478">
      <c r="I478" s="18"/>
      <c r="J478" s="18"/>
      <c r="K478" s="18"/>
      <c r="L478" s="18"/>
      <c r="M478" s="18"/>
    </row>
    <row r="479">
      <c r="I479" s="18"/>
      <c r="J479" s="18"/>
      <c r="K479" s="18"/>
      <c r="L479" s="18"/>
      <c r="M479" s="18"/>
    </row>
    <row r="480">
      <c r="I480" s="18"/>
      <c r="J480" s="18"/>
      <c r="K480" s="18"/>
      <c r="L480" s="18"/>
      <c r="M480" s="18"/>
    </row>
    <row r="481">
      <c r="I481" s="18"/>
      <c r="J481" s="18"/>
      <c r="K481" s="18"/>
      <c r="L481" s="18"/>
      <c r="M481" s="18"/>
    </row>
    <row r="482">
      <c r="I482" s="18"/>
      <c r="J482" s="18"/>
      <c r="K482" s="18"/>
      <c r="L482" s="18"/>
      <c r="M482" s="18"/>
    </row>
    <row r="483">
      <c r="I483" s="18"/>
      <c r="J483" s="18"/>
      <c r="K483" s="18"/>
      <c r="L483" s="18"/>
      <c r="M483" s="18"/>
    </row>
    <row r="484">
      <c r="I484" s="18"/>
      <c r="J484" s="18"/>
      <c r="K484" s="18"/>
      <c r="L484" s="18"/>
      <c r="M484" s="18"/>
    </row>
    <row r="485">
      <c r="I485" s="18"/>
      <c r="J485" s="18"/>
      <c r="K485" s="18"/>
      <c r="L485" s="18"/>
      <c r="M485" s="18"/>
    </row>
    <row r="486">
      <c r="I486" s="18"/>
      <c r="J486" s="18"/>
      <c r="K486" s="18"/>
      <c r="L486" s="18"/>
      <c r="M486" s="18"/>
    </row>
    <row r="487">
      <c r="I487" s="18"/>
      <c r="J487" s="18"/>
      <c r="K487" s="18"/>
      <c r="L487" s="18"/>
      <c r="M487" s="18"/>
    </row>
    <row r="488">
      <c r="I488" s="18"/>
      <c r="J488" s="18"/>
      <c r="K488" s="18"/>
      <c r="L488" s="18"/>
      <c r="M488" s="18"/>
    </row>
    <row r="489">
      <c r="I489" s="18"/>
      <c r="J489" s="18"/>
      <c r="K489" s="18"/>
      <c r="L489" s="18"/>
      <c r="M489" s="18"/>
    </row>
    <row r="490">
      <c r="I490" s="18"/>
      <c r="J490" s="18"/>
      <c r="K490" s="18"/>
      <c r="L490" s="18"/>
      <c r="M490" s="18"/>
    </row>
    <row r="491">
      <c r="I491" s="18"/>
      <c r="J491" s="18"/>
      <c r="K491" s="18"/>
      <c r="L491" s="18"/>
      <c r="M491" s="18"/>
    </row>
    <row r="492">
      <c r="I492" s="18"/>
      <c r="J492" s="18"/>
      <c r="K492" s="18"/>
      <c r="L492" s="18"/>
      <c r="M492" s="18"/>
    </row>
    <row r="493">
      <c r="I493" s="18"/>
      <c r="J493" s="18"/>
      <c r="K493" s="18"/>
      <c r="L493" s="18"/>
      <c r="M493" s="18"/>
    </row>
    <row r="494">
      <c r="I494" s="18"/>
      <c r="J494" s="18"/>
      <c r="K494" s="18"/>
      <c r="L494" s="18"/>
      <c r="M494" s="18"/>
    </row>
    <row r="495">
      <c r="I495" s="18"/>
      <c r="J495" s="18"/>
      <c r="K495" s="18"/>
      <c r="L495" s="18"/>
      <c r="M495" s="18"/>
    </row>
    <row r="496">
      <c r="I496" s="18"/>
      <c r="J496" s="18"/>
      <c r="K496" s="18"/>
      <c r="L496" s="18"/>
      <c r="M496" s="18"/>
    </row>
    <row r="497">
      <c r="I497" s="18"/>
      <c r="J497" s="18"/>
      <c r="K497" s="18"/>
      <c r="L497" s="18"/>
      <c r="M497" s="18"/>
    </row>
    <row r="498">
      <c r="I498" s="18"/>
      <c r="J498" s="18"/>
      <c r="K498" s="18"/>
      <c r="L498" s="18"/>
      <c r="M498" s="18"/>
    </row>
    <row r="499">
      <c r="I499" s="18"/>
      <c r="J499" s="18"/>
      <c r="K499" s="18"/>
      <c r="L499" s="18"/>
      <c r="M499" s="18"/>
    </row>
    <row r="500">
      <c r="I500" s="18"/>
      <c r="J500" s="18"/>
      <c r="K500" s="18"/>
      <c r="L500" s="18"/>
      <c r="M500" s="18"/>
    </row>
    <row r="501">
      <c r="I501" s="18"/>
      <c r="J501" s="18"/>
      <c r="K501" s="18"/>
      <c r="L501" s="18"/>
      <c r="M501" s="18"/>
    </row>
    <row r="502">
      <c r="I502" s="18"/>
      <c r="J502" s="18"/>
      <c r="K502" s="18"/>
      <c r="L502" s="18"/>
      <c r="M502" s="18"/>
    </row>
    <row r="503">
      <c r="I503" s="18"/>
      <c r="J503" s="18"/>
      <c r="K503" s="18"/>
      <c r="L503" s="18"/>
      <c r="M503" s="18"/>
    </row>
    <row r="504">
      <c r="I504" s="18"/>
      <c r="J504" s="18"/>
      <c r="K504" s="18"/>
      <c r="L504" s="18"/>
      <c r="M504" s="18"/>
    </row>
    <row r="505">
      <c r="I505" s="18"/>
      <c r="J505" s="18"/>
      <c r="K505" s="18"/>
      <c r="L505" s="18"/>
      <c r="M505" s="18"/>
    </row>
    <row r="506">
      <c r="I506" s="18"/>
      <c r="J506" s="18"/>
      <c r="K506" s="18"/>
      <c r="L506" s="18"/>
      <c r="M506" s="18"/>
    </row>
    <row r="507">
      <c r="I507" s="18"/>
      <c r="J507" s="18"/>
      <c r="K507" s="18"/>
      <c r="L507" s="18"/>
      <c r="M507" s="18"/>
    </row>
    <row r="508">
      <c r="I508" s="18"/>
      <c r="J508" s="18"/>
      <c r="K508" s="18"/>
      <c r="L508" s="18"/>
      <c r="M508" s="18"/>
    </row>
    <row r="509">
      <c r="I509" s="18"/>
      <c r="J509" s="18"/>
      <c r="K509" s="18"/>
      <c r="L509" s="18"/>
      <c r="M509" s="18"/>
    </row>
    <row r="510">
      <c r="I510" s="18"/>
      <c r="J510" s="18"/>
      <c r="K510" s="18"/>
      <c r="L510" s="18"/>
      <c r="M510" s="18"/>
    </row>
    <row r="511">
      <c r="I511" s="18"/>
      <c r="J511" s="18"/>
      <c r="K511" s="18"/>
      <c r="L511" s="18"/>
      <c r="M511" s="18"/>
    </row>
    <row r="512">
      <c r="I512" s="18"/>
      <c r="J512" s="18"/>
      <c r="K512" s="18"/>
      <c r="L512" s="18"/>
      <c r="M512" s="18"/>
    </row>
    <row r="513">
      <c r="I513" s="18"/>
      <c r="J513" s="18"/>
      <c r="K513" s="18"/>
      <c r="L513" s="18"/>
      <c r="M513" s="18"/>
    </row>
    <row r="514">
      <c r="I514" s="18"/>
      <c r="J514" s="18"/>
      <c r="K514" s="18"/>
      <c r="L514" s="18"/>
      <c r="M514" s="18"/>
    </row>
    <row r="515">
      <c r="I515" s="18"/>
      <c r="J515" s="18"/>
      <c r="K515" s="18"/>
      <c r="L515" s="18"/>
      <c r="M515" s="18"/>
    </row>
    <row r="516">
      <c r="I516" s="18"/>
      <c r="J516" s="18"/>
      <c r="K516" s="18"/>
      <c r="L516" s="18"/>
      <c r="M516" s="18"/>
    </row>
    <row r="517">
      <c r="I517" s="18"/>
      <c r="J517" s="18"/>
      <c r="K517" s="18"/>
      <c r="L517" s="18"/>
      <c r="M517" s="18"/>
    </row>
    <row r="518">
      <c r="I518" s="18"/>
      <c r="J518" s="18"/>
      <c r="K518" s="18"/>
      <c r="L518" s="18"/>
      <c r="M518" s="18"/>
    </row>
    <row r="519">
      <c r="I519" s="18"/>
      <c r="J519" s="18"/>
      <c r="K519" s="18"/>
      <c r="L519" s="18"/>
      <c r="M519" s="18"/>
    </row>
    <row r="520">
      <c r="I520" s="18"/>
      <c r="J520" s="18"/>
      <c r="K520" s="18"/>
      <c r="L520" s="18"/>
      <c r="M520" s="18"/>
    </row>
    <row r="521">
      <c r="I521" s="18"/>
      <c r="J521" s="18"/>
      <c r="K521" s="18"/>
      <c r="L521" s="18"/>
      <c r="M521" s="18"/>
    </row>
    <row r="522">
      <c r="I522" s="18"/>
      <c r="J522" s="18"/>
      <c r="K522" s="18"/>
      <c r="L522" s="18"/>
      <c r="M522" s="18"/>
    </row>
    <row r="523">
      <c r="I523" s="18"/>
      <c r="J523" s="18"/>
      <c r="K523" s="18"/>
      <c r="L523" s="18"/>
      <c r="M523" s="18"/>
    </row>
    <row r="524">
      <c r="I524" s="18"/>
      <c r="J524" s="18"/>
      <c r="K524" s="18"/>
      <c r="L524" s="18"/>
      <c r="M524" s="18"/>
    </row>
    <row r="525">
      <c r="I525" s="18"/>
      <c r="J525" s="18"/>
      <c r="K525" s="18"/>
      <c r="L525" s="18"/>
      <c r="M525" s="18"/>
    </row>
    <row r="526">
      <c r="I526" s="18"/>
      <c r="J526" s="18"/>
      <c r="K526" s="18"/>
      <c r="L526" s="18"/>
      <c r="M526" s="18"/>
    </row>
    <row r="527">
      <c r="I527" s="18"/>
      <c r="J527" s="18"/>
      <c r="K527" s="18"/>
      <c r="L527" s="18"/>
      <c r="M527" s="18"/>
    </row>
    <row r="528">
      <c r="I528" s="18"/>
      <c r="J528" s="18"/>
      <c r="K528" s="18"/>
      <c r="L528" s="18"/>
      <c r="M528" s="18"/>
    </row>
    <row r="529">
      <c r="I529" s="18"/>
      <c r="J529" s="18"/>
      <c r="K529" s="18"/>
      <c r="L529" s="18"/>
      <c r="M529" s="18"/>
    </row>
    <row r="530">
      <c r="I530" s="18"/>
      <c r="J530" s="18"/>
      <c r="K530" s="18"/>
      <c r="L530" s="18"/>
      <c r="M530" s="18"/>
    </row>
    <row r="531">
      <c r="I531" s="18"/>
      <c r="J531" s="18"/>
      <c r="K531" s="18"/>
      <c r="L531" s="18"/>
      <c r="M531" s="18"/>
    </row>
    <row r="532">
      <c r="I532" s="18"/>
      <c r="J532" s="18"/>
      <c r="K532" s="18"/>
      <c r="L532" s="18"/>
      <c r="M532" s="18"/>
    </row>
    <row r="533">
      <c r="I533" s="18"/>
      <c r="J533" s="18"/>
      <c r="K533" s="18"/>
      <c r="L533" s="18"/>
      <c r="M533" s="18"/>
    </row>
    <row r="534">
      <c r="I534" s="18"/>
      <c r="J534" s="18"/>
      <c r="K534" s="18"/>
      <c r="L534" s="18"/>
      <c r="M534" s="18"/>
    </row>
    <row r="535">
      <c r="I535" s="18"/>
      <c r="J535" s="18"/>
      <c r="K535" s="18"/>
      <c r="L535" s="18"/>
      <c r="M535" s="18"/>
    </row>
    <row r="536">
      <c r="I536" s="18"/>
      <c r="J536" s="18"/>
      <c r="K536" s="18"/>
      <c r="L536" s="18"/>
      <c r="M536" s="18"/>
    </row>
    <row r="537">
      <c r="I537" s="18"/>
      <c r="J537" s="18"/>
      <c r="K537" s="18"/>
      <c r="L537" s="18"/>
      <c r="M537" s="18"/>
    </row>
    <row r="538">
      <c r="I538" s="18"/>
      <c r="J538" s="18"/>
      <c r="K538" s="18"/>
      <c r="L538" s="18"/>
      <c r="M538" s="18"/>
    </row>
    <row r="539">
      <c r="I539" s="18"/>
      <c r="J539" s="18"/>
      <c r="K539" s="18"/>
      <c r="L539" s="18"/>
      <c r="M539" s="18"/>
    </row>
    <row r="540">
      <c r="I540" s="18"/>
      <c r="J540" s="18"/>
      <c r="K540" s="18"/>
      <c r="L540" s="18"/>
      <c r="M540" s="18"/>
    </row>
    <row r="541">
      <c r="I541" s="18"/>
      <c r="J541" s="18"/>
      <c r="K541" s="18"/>
      <c r="L541" s="18"/>
      <c r="M541" s="18"/>
    </row>
    <row r="542">
      <c r="I542" s="18"/>
      <c r="J542" s="18"/>
      <c r="K542" s="18"/>
      <c r="L542" s="18"/>
      <c r="M542" s="18"/>
    </row>
    <row r="543">
      <c r="I543" s="18"/>
      <c r="J543" s="18"/>
      <c r="K543" s="18"/>
      <c r="L543" s="18"/>
      <c r="M543" s="18"/>
    </row>
    <row r="544">
      <c r="I544" s="18"/>
      <c r="J544" s="18"/>
      <c r="K544" s="18"/>
      <c r="L544" s="18"/>
      <c r="M544" s="18"/>
    </row>
    <row r="545">
      <c r="I545" s="18"/>
      <c r="J545" s="18"/>
      <c r="K545" s="18"/>
      <c r="L545" s="18"/>
      <c r="M545" s="18"/>
    </row>
    <row r="546">
      <c r="I546" s="18"/>
      <c r="J546" s="18"/>
      <c r="K546" s="18"/>
      <c r="L546" s="18"/>
      <c r="M546" s="18"/>
    </row>
    <row r="547">
      <c r="I547" s="18"/>
      <c r="J547" s="18"/>
      <c r="K547" s="18"/>
      <c r="L547" s="18"/>
      <c r="M547" s="18"/>
    </row>
    <row r="548">
      <c r="I548" s="18"/>
      <c r="J548" s="18"/>
      <c r="K548" s="18"/>
      <c r="L548" s="18"/>
      <c r="M548" s="18"/>
    </row>
    <row r="549">
      <c r="I549" s="18"/>
      <c r="J549" s="18"/>
      <c r="K549" s="18"/>
      <c r="L549" s="18"/>
      <c r="M549" s="18"/>
    </row>
    <row r="550">
      <c r="I550" s="18"/>
      <c r="J550" s="18"/>
      <c r="K550" s="18"/>
      <c r="L550" s="18"/>
      <c r="M550" s="18"/>
    </row>
    <row r="551">
      <c r="I551" s="18"/>
      <c r="J551" s="18"/>
      <c r="K551" s="18"/>
      <c r="L551" s="18"/>
      <c r="M551" s="18"/>
    </row>
    <row r="552">
      <c r="I552" s="18"/>
      <c r="J552" s="18"/>
      <c r="K552" s="18"/>
      <c r="L552" s="18"/>
      <c r="M552" s="18"/>
    </row>
    <row r="553">
      <c r="I553" s="18"/>
      <c r="J553" s="18"/>
      <c r="K553" s="18"/>
      <c r="L553" s="18"/>
      <c r="M553" s="18"/>
    </row>
    <row r="554">
      <c r="I554" s="18"/>
      <c r="J554" s="18"/>
      <c r="K554" s="18"/>
      <c r="L554" s="18"/>
      <c r="M554" s="18"/>
    </row>
    <row r="555">
      <c r="I555" s="18"/>
      <c r="J555" s="18"/>
      <c r="K555" s="18"/>
      <c r="L555" s="18"/>
      <c r="M555" s="18"/>
    </row>
    <row r="556">
      <c r="I556" s="18"/>
      <c r="J556" s="18"/>
      <c r="K556" s="18"/>
      <c r="L556" s="18"/>
      <c r="M556" s="18"/>
    </row>
    <row r="557">
      <c r="I557" s="18"/>
      <c r="J557" s="18"/>
      <c r="K557" s="18"/>
      <c r="L557" s="18"/>
      <c r="M557" s="18"/>
    </row>
    <row r="558">
      <c r="I558" s="18"/>
      <c r="J558" s="18"/>
      <c r="K558" s="18"/>
      <c r="L558" s="18"/>
      <c r="M558" s="18"/>
    </row>
    <row r="559">
      <c r="I559" s="18"/>
      <c r="J559" s="18"/>
      <c r="K559" s="18"/>
      <c r="L559" s="18"/>
      <c r="M559" s="18"/>
    </row>
    <row r="560">
      <c r="I560" s="18"/>
      <c r="J560" s="18"/>
      <c r="K560" s="18"/>
      <c r="L560" s="18"/>
      <c r="M560" s="18"/>
    </row>
    <row r="561">
      <c r="I561" s="18"/>
      <c r="J561" s="18"/>
      <c r="K561" s="18"/>
      <c r="L561" s="18"/>
      <c r="M561" s="18"/>
    </row>
    <row r="562">
      <c r="I562" s="18"/>
      <c r="J562" s="18"/>
      <c r="K562" s="18"/>
      <c r="L562" s="18"/>
      <c r="M562" s="18"/>
    </row>
    <row r="563">
      <c r="I563" s="18"/>
      <c r="J563" s="18"/>
      <c r="K563" s="18"/>
      <c r="L563" s="18"/>
      <c r="M563" s="18"/>
    </row>
    <row r="564">
      <c r="I564" s="18"/>
      <c r="J564" s="18"/>
      <c r="K564" s="18"/>
      <c r="L564" s="18"/>
      <c r="M564" s="18"/>
    </row>
    <row r="565">
      <c r="I565" s="18"/>
      <c r="J565" s="18"/>
      <c r="K565" s="18"/>
      <c r="L565" s="18"/>
      <c r="M565" s="18"/>
    </row>
    <row r="566">
      <c r="I566" s="18"/>
      <c r="J566" s="18"/>
      <c r="K566" s="18"/>
      <c r="L566" s="18"/>
      <c r="M566" s="18"/>
    </row>
    <row r="567">
      <c r="I567" s="18"/>
      <c r="J567" s="18"/>
      <c r="K567" s="18"/>
      <c r="L567" s="18"/>
      <c r="M567" s="18"/>
    </row>
    <row r="568">
      <c r="I568" s="18"/>
      <c r="J568" s="18"/>
      <c r="K568" s="18"/>
      <c r="L568" s="18"/>
      <c r="M568" s="18"/>
    </row>
    <row r="569">
      <c r="I569" s="18"/>
      <c r="J569" s="18"/>
      <c r="K569" s="18"/>
      <c r="L569" s="18"/>
      <c r="M569" s="18"/>
    </row>
    <row r="570">
      <c r="I570" s="18"/>
      <c r="J570" s="18"/>
      <c r="K570" s="18"/>
      <c r="L570" s="18"/>
      <c r="M570" s="18"/>
    </row>
    <row r="571">
      <c r="I571" s="18"/>
      <c r="J571" s="18"/>
      <c r="K571" s="18"/>
      <c r="L571" s="18"/>
      <c r="M571" s="18"/>
    </row>
    <row r="572">
      <c r="I572" s="18"/>
      <c r="J572" s="18"/>
      <c r="K572" s="18"/>
      <c r="L572" s="18"/>
      <c r="M572" s="18"/>
    </row>
    <row r="573">
      <c r="I573" s="18"/>
      <c r="J573" s="18"/>
      <c r="K573" s="18"/>
      <c r="L573" s="18"/>
      <c r="M573" s="18"/>
    </row>
    <row r="574">
      <c r="I574" s="18"/>
      <c r="J574" s="18"/>
      <c r="K574" s="18"/>
      <c r="L574" s="18"/>
      <c r="M574" s="18"/>
    </row>
    <row r="575">
      <c r="I575" s="18"/>
      <c r="J575" s="18"/>
      <c r="K575" s="18"/>
      <c r="L575" s="18"/>
      <c r="M575" s="18"/>
    </row>
    <row r="576">
      <c r="I576" s="18"/>
      <c r="J576" s="18"/>
      <c r="K576" s="18"/>
      <c r="L576" s="18"/>
      <c r="M576" s="18"/>
    </row>
    <row r="577">
      <c r="I577" s="18"/>
      <c r="J577" s="18"/>
      <c r="K577" s="18"/>
      <c r="L577" s="18"/>
      <c r="M577" s="18"/>
    </row>
    <row r="578">
      <c r="I578" s="18"/>
      <c r="J578" s="18"/>
      <c r="K578" s="18"/>
      <c r="L578" s="18"/>
      <c r="M578" s="18"/>
    </row>
    <row r="579">
      <c r="I579" s="18"/>
      <c r="J579" s="18"/>
      <c r="K579" s="18"/>
      <c r="L579" s="18"/>
      <c r="M579" s="18"/>
    </row>
    <row r="580">
      <c r="I580" s="18"/>
      <c r="J580" s="18"/>
      <c r="K580" s="18"/>
      <c r="L580" s="18"/>
      <c r="M580" s="18"/>
    </row>
    <row r="581">
      <c r="I581" s="18"/>
      <c r="J581" s="18"/>
      <c r="K581" s="18"/>
      <c r="L581" s="18"/>
      <c r="M581" s="18"/>
    </row>
    <row r="582">
      <c r="I582" s="18"/>
      <c r="J582" s="18"/>
      <c r="K582" s="18"/>
      <c r="L582" s="18"/>
      <c r="M582" s="18"/>
    </row>
    <row r="583">
      <c r="I583" s="18"/>
      <c r="J583" s="18"/>
      <c r="K583" s="18"/>
      <c r="L583" s="18"/>
      <c r="M583" s="18"/>
    </row>
    <row r="584">
      <c r="I584" s="18"/>
      <c r="J584" s="18"/>
      <c r="K584" s="18"/>
      <c r="L584" s="18"/>
      <c r="M584" s="18"/>
    </row>
    <row r="585">
      <c r="I585" s="18"/>
      <c r="J585" s="18"/>
      <c r="K585" s="18"/>
      <c r="L585" s="18"/>
      <c r="M585" s="18"/>
    </row>
    <row r="586">
      <c r="I586" s="18"/>
      <c r="J586" s="18"/>
      <c r="K586" s="18"/>
      <c r="L586" s="18"/>
      <c r="M586" s="18"/>
    </row>
    <row r="587">
      <c r="I587" s="18"/>
      <c r="J587" s="18"/>
      <c r="K587" s="18"/>
      <c r="L587" s="18"/>
      <c r="M587" s="18"/>
    </row>
    <row r="588">
      <c r="I588" s="18"/>
      <c r="J588" s="18"/>
      <c r="K588" s="18"/>
      <c r="L588" s="18"/>
      <c r="M588" s="18"/>
    </row>
    <row r="589">
      <c r="I589" s="18"/>
      <c r="J589" s="18"/>
      <c r="K589" s="18"/>
      <c r="L589" s="18"/>
      <c r="M589" s="18"/>
    </row>
    <row r="590">
      <c r="I590" s="18"/>
      <c r="J590" s="18"/>
      <c r="K590" s="18"/>
      <c r="L590" s="18"/>
      <c r="M590" s="18"/>
    </row>
    <row r="591">
      <c r="I591" s="18"/>
      <c r="J591" s="18"/>
      <c r="K591" s="18"/>
      <c r="L591" s="18"/>
      <c r="M591" s="18"/>
    </row>
    <row r="592">
      <c r="I592" s="18"/>
      <c r="J592" s="18"/>
      <c r="K592" s="18"/>
      <c r="L592" s="18"/>
      <c r="M592" s="18"/>
    </row>
    <row r="593">
      <c r="I593" s="18"/>
      <c r="J593" s="18"/>
      <c r="K593" s="18"/>
      <c r="L593" s="18"/>
      <c r="M593" s="18"/>
    </row>
    <row r="594">
      <c r="I594" s="18"/>
      <c r="J594" s="18"/>
      <c r="K594" s="18"/>
      <c r="L594" s="18"/>
      <c r="M594" s="18"/>
    </row>
    <row r="595">
      <c r="I595" s="18"/>
      <c r="J595" s="18"/>
      <c r="K595" s="18"/>
      <c r="L595" s="18"/>
      <c r="M595" s="18"/>
    </row>
    <row r="596">
      <c r="I596" s="18"/>
      <c r="J596" s="18"/>
      <c r="K596" s="18"/>
      <c r="L596" s="18"/>
      <c r="M596" s="18"/>
    </row>
    <row r="597">
      <c r="I597" s="18"/>
      <c r="J597" s="18"/>
      <c r="K597" s="18"/>
      <c r="L597" s="18"/>
      <c r="M597" s="18"/>
    </row>
    <row r="598">
      <c r="I598" s="18"/>
      <c r="J598" s="18"/>
      <c r="K598" s="18"/>
      <c r="L598" s="18"/>
      <c r="M598" s="18"/>
    </row>
    <row r="599">
      <c r="I599" s="18"/>
      <c r="J599" s="18"/>
      <c r="K599" s="18"/>
      <c r="L599" s="18"/>
      <c r="M599" s="18"/>
    </row>
    <row r="600">
      <c r="I600" s="18"/>
      <c r="J600" s="18"/>
      <c r="K600" s="18"/>
      <c r="L600" s="18"/>
      <c r="M600" s="18"/>
    </row>
    <row r="601">
      <c r="I601" s="18"/>
      <c r="J601" s="18"/>
      <c r="K601" s="18"/>
      <c r="L601" s="18"/>
      <c r="M601" s="18"/>
    </row>
    <row r="602">
      <c r="I602" s="18"/>
      <c r="J602" s="18"/>
      <c r="K602" s="18"/>
      <c r="L602" s="18"/>
      <c r="M602" s="18"/>
    </row>
    <row r="603">
      <c r="I603" s="18"/>
      <c r="J603" s="18"/>
      <c r="K603" s="18"/>
      <c r="L603" s="18"/>
      <c r="M603" s="18"/>
    </row>
    <row r="604">
      <c r="I604" s="18"/>
      <c r="J604" s="18"/>
      <c r="K604" s="18"/>
      <c r="L604" s="18"/>
      <c r="M604" s="18"/>
    </row>
    <row r="605">
      <c r="I605" s="18"/>
      <c r="J605" s="18"/>
      <c r="K605" s="18"/>
      <c r="L605" s="18"/>
      <c r="M605" s="18"/>
    </row>
    <row r="606">
      <c r="I606" s="18"/>
      <c r="J606" s="18"/>
      <c r="K606" s="18"/>
      <c r="L606" s="18"/>
      <c r="M606" s="18"/>
    </row>
    <row r="607">
      <c r="I607" s="18"/>
      <c r="J607" s="18"/>
      <c r="K607" s="18"/>
      <c r="L607" s="18"/>
      <c r="M607" s="18"/>
    </row>
    <row r="608">
      <c r="I608" s="18"/>
      <c r="J608" s="18"/>
      <c r="K608" s="18"/>
      <c r="L608" s="18"/>
      <c r="M608" s="18"/>
    </row>
    <row r="609">
      <c r="I609" s="18"/>
      <c r="J609" s="18"/>
      <c r="K609" s="18"/>
      <c r="L609" s="18"/>
      <c r="M609" s="18"/>
    </row>
    <row r="610">
      <c r="I610" s="18"/>
      <c r="J610" s="18"/>
      <c r="K610" s="18"/>
      <c r="L610" s="18"/>
      <c r="M610" s="18"/>
    </row>
    <row r="611">
      <c r="I611" s="18"/>
      <c r="J611" s="18"/>
      <c r="K611" s="18"/>
      <c r="L611" s="18"/>
      <c r="M611" s="18"/>
    </row>
    <row r="612">
      <c r="I612" s="18"/>
      <c r="J612" s="18"/>
      <c r="K612" s="18"/>
      <c r="L612" s="18"/>
      <c r="M612" s="18"/>
    </row>
    <row r="613">
      <c r="I613" s="18"/>
      <c r="J613" s="18"/>
      <c r="K613" s="18"/>
      <c r="L613" s="18"/>
      <c r="M613" s="18"/>
    </row>
    <row r="614">
      <c r="I614" s="18"/>
      <c r="J614" s="18"/>
      <c r="K614" s="18"/>
      <c r="L614" s="18"/>
      <c r="M614" s="18"/>
    </row>
    <row r="615">
      <c r="I615" s="18"/>
      <c r="J615" s="18"/>
      <c r="K615" s="18"/>
      <c r="L615" s="18"/>
      <c r="M615" s="18"/>
    </row>
    <row r="616">
      <c r="I616" s="18"/>
      <c r="J616" s="18"/>
      <c r="K616" s="18"/>
      <c r="L616" s="18"/>
      <c r="M616" s="18"/>
    </row>
    <row r="617">
      <c r="I617" s="18"/>
      <c r="J617" s="18"/>
      <c r="K617" s="18"/>
      <c r="L617" s="18"/>
      <c r="M617" s="18"/>
    </row>
    <row r="618">
      <c r="I618" s="18"/>
      <c r="J618" s="18"/>
      <c r="K618" s="18"/>
      <c r="L618" s="18"/>
      <c r="M618" s="18"/>
    </row>
    <row r="619">
      <c r="I619" s="18"/>
      <c r="J619" s="18"/>
      <c r="K619" s="18"/>
      <c r="L619" s="18"/>
      <c r="M619" s="18"/>
    </row>
    <row r="620">
      <c r="I620" s="18"/>
      <c r="J620" s="18"/>
      <c r="K620" s="18"/>
      <c r="L620" s="18"/>
      <c r="M620" s="18"/>
    </row>
    <row r="621">
      <c r="I621" s="18"/>
      <c r="J621" s="18"/>
      <c r="K621" s="18"/>
      <c r="L621" s="18"/>
      <c r="M621" s="18"/>
    </row>
    <row r="622">
      <c r="I622" s="18"/>
      <c r="J622" s="18"/>
      <c r="K622" s="18"/>
      <c r="L622" s="18"/>
      <c r="M622" s="18"/>
    </row>
    <row r="623">
      <c r="I623" s="18"/>
      <c r="J623" s="18"/>
      <c r="K623" s="18"/>
      <c r="L623" s="18"/>
      <c r="M623" s="18"/>
    </row>
    <row r="624">
      <c r="I624" s="18"/>
      <c r="J624" s="18"/>
      <c r="K624" s="18"/>
      <c r="L624" s="18"/>
      <c r="M624" s="18"/>
    </row>
    <row r="625">
      <c r="I625" s="18"/>
      <c r="J625" s="18"/>
      <c r="K625" s="18"/>
      <c r="L625" s="18"/>
      <c r="M625" s="18"/>
    </row>
    <row r="626">
      <c r="I626" s="18"/>
      <c r="J626" s="18"/>
      <c r="K626" s="18"/>
      <c r="L626" s="18"/>
      <c r="M626" s="18"/>
    </row>
    <row r="627">
      <c r="I627" s="18"/>
      <c r="J627" s="18"/>
      <c r="K627" s="18"/>
      <c r="L627" s="18"/>
      <c r="M627" s="18"/>
    </row>
    <row r="628">
      <c r="I628" s="18"/>
      <c r="J628" s="18"/>
      <c r="K628" s="18"/>
      <c r="L628" s="18"/>
      <c r="M628" s="18"/>
    </row>
    <row r="629">
      <c r="I629" s="18"/>
      <c r="J629" s="18"/>
      <c r="K629" s="18"/>
      <c r="L629" s="18"/>
      <c r="M629" s="18"/>
    </row>
    <row r="630">
      <c r="I630" s="18"/>
      <c r="J630" s="18"/>
      <c r="K630" s="18"/>
      <c r="L630" s="18"/>
      <c r="M630" s="18"/>
    </row>
    <row r="631">
      <c r="I631" s="18"/>
      <c r="J631" s="18"/>
      <c r="K631" s="18"/>
      <c r="L631" s="18"/>
      <c r="M631" s="18"/>
    </row>
    <row r="632">
      <c r="I632" s="18"/>
      <c r="J632" s="18"/>
      <c r="K632" s="18"/>
      <c r="L632" s="18"/>
      <c r="M632" s="18"/>
    </row>
    <row r="633">
      <c r="I633" s="18"/>
      <c r="J633" s="18"/>
      <c r="K633" s="18"/>
      <c r="L633" s="18"/>
      <c r="M633" s="18"/>
    </row>
    <row r="634">
      <c r="I634" s="18"/>
      <c r="J634" s="18"/>
      <c r="K634" s="18"/>
      <c r="L634" s="18"/>
      <c r="M634" s="18"/>
    </row>
    <row r="635">
      <c r="I635" s="18"/>
      <c r="J635" s="18"/>
      <c r="K635" s="18"/>
      <c r="L635" s="18"/>
      <c r="M635" s="18"/>
    </row>
    <row r="636">
      <c r="I636" s="18"/>
      <c r="J636" s="18"/>
      <c r="K636" s="18"/>
      <c r="L636" s="18"/>
      <c r="M636" s="18"/>
    </row>
    <row r="637">
      <c r="I637" s="18"/>
      <c r="J637" s="18"/>
      <c r="K637" s="18"/>
      <c r="L637" s="18"/>
      <c r="M637" s="18"/>
    </row>
    <row r="638">
      <c r="I638" s="18"/>
      <c r="J638" s="18"/>
      <c r="K638" s="18"/>
      <c r="L638" s="18"/>
      <c r="M638" s="18"/>
    </row>
    <row r="639">
      <c r="I639" s="18"/>
      <c r="J639" s="18"/>
      <c r="K639" s="18"/>
      <c r="L639" s="18"/>
      <c r="M639" s="18"/>
    </row>
    <row r="640">
      <c r="I640" s="18"/>
      <c r="J640" s="18"/>
      <c r="K640" s="18"/>
      <c r="L640" s="18"/>
      <c r="M640" s="18"/>
    </row>
    <row r="641">
      <c r="I641" s="18"/>
      <c r="J641" s="18"/>
      <c r="K641" s="18"/>
      <c r="L641" s="18"/>
      <c r="M641" s="18"/>
    </row>
    <row r="642">
      <c r="I642" s="18"/>
      <c r="J642" s="18"/>
      <c r="K642" s="18"/>
      <c r="L642" s="18"/>
      <c r="M642" s="18"/>
    </row>
    <row r="643">
      <c r="I643" s="18"/>
      <c r="J643" s="18"/>
      <c r="K643" s="18"/>
      <c r="L643" s="18"/>
      <c r="M643" s="18"/>
    </row>
    <row r="644">
      <c r="I644" s="18"/>
      <c r="J644" s="18"/>
      <c r="K644" s="18"/>
      <c r="L644" s="18"/>
      <c r="M644" s="18"/>
    </row>
    <row r="645">
      <c r="I645" s="18"/>
      <c r="J645" s="18"/>
      <c r="K645" s="18"/>
      <c r="L645" s="18"/>
      <c r="M645" s="18"/>
    </row>
    <row r="646">
      <c r="I646" s="18"/>
      <c r="J646" s="18"/>
      <c r="K646" s="18"/>
      <c r="L646" s="18"/>
      <c r="M646" s="18"/>
    </row>
    <row r="647">
      <c r="I647" s="18"/>
      <c r="J647" s="18"/>
      <c r="K647" s="18"/>
      <c r="L647" s="18"/>
      <c r="M647" s="18"/>
    </row>
    <row r="648">
      <c r="I648" s="18"/>
      <c r="J648" s="18"/>
      <c r="K648" s="18"/>
      <c r="L648" s="18"/>
      <c r="M648" s="18"/>
    </row>
    <row r="649">
      <c r="I649" s="18"/>
      <c r="J649" s="18"/>
      <c r="K649" s="18"/>
      <c r="L649" s="18"/>
      <c r="M649" s="18"/>
    </row>
    <row r="650">
      <c r="I650" s="18"/>
      <c r="J650" s="18"/>
      <c r="K650" s="18"/>
      <c r="L650" s="18"/>
      <c r="M650" s="18"/>
    </row>
    <row r="651">
      <c r="I651" s="18"/>
      <c r="J651" s="18"/>
      <c r="K651" s="18"/>
      <c r="L651" s="18"/>
      <c r="M651" s="18"/>
    </row>
    <row r="652">
      <c r="I652" s="18"/>
      <c r="J652" s="18"/>
      <c r="K652" s="18"/>
      <c r="L652" s="18"/>
      <c r="M652" s="18"/>
    </row>
    <row r="653">
      <c r="I653" s="18"/>
      <c r="J653" s="18"/>
      <c r="K653" s="18"/>
      <c r="L653" s="18"/>
      <c r="M653" s="18"/>
    </row>
    <row r="654">
      <c r="I654" s="18"/>
      <c r="J654" s="18"/>
      <c r="K654" s="18"/>
      <c r="L654" s="18"/>
      <c r="M654" s="18"/>
    </row>
    <row r="655">
      <c r="I655" s="18"/>
      <c r="J655" s="18"/>
      <c r="K655" s="18"/>
      <c r="L655" s="18"/>
      <c r="M655" s="18"/>
    </row>
    <row r="656">
      <c r="I656" s="18"/>
      <c r="J656" s="18"/>
      <c r="K656" s="18"/>
      <c r="L656" s="18"/>
      <c r="M656" s="18"/>
    </row>
    <row r="657">
      <c r="I657" s="18"/>
      <c r="J657" s="18"/>
      <c r="K657" s="18"/>
      <c r="L657" s="18"/>
      <c r="M657" s="18"/>
    </row>
    <row r="658">
      <c r="I658" s="18"/>
      <c r="J658" s="18"/>
      <c r="K658" s="18"/>
      <c r="L658" s="18"/>
      <c r="M658" s="18"/>
    </row>
    <row r="659">
      <c r="I659" s="18"/>
      <c r="J659" s="18"/>
      <c r="K659" s="18"/>
      <c r="L659" s="18"/>
      <c r="M659" s="18"/>
    </row>
    <row r="660">
      <c r="I660" s="18"/>
      <c r="J660" s="18"/>
      <c r="K660" s="18"/>
      <c r="L660" s="18"/>
      <c r="M660" s="18"/>
    </row>
    <row r="661">
      <c r="I661" s="18"/>
      <c r="J661" s="18"/>
      <c r="K661" s="18"/>
      <c r="L661" s="18"/>
      <c r="M661" s="18"/>
    </row>
    <row r="662">
      <c r="I662" s="18"/>
      <c r="J662" s="18"/>
      <c r="K662" s="18"/>
      <c r="L662" s="18"/>
      <c r="M662" s="18"/>
    </row>
    <row r="663">
      <c r="I663" s="18"/>
      <c r="J663" s="18"/>
      <c r="K663" s="18"/>
      <c r="L663" s="18"/>
      <c r="M663" s="18"/>
    </row>
    <row r="664">
      <c r="I664" s="18"/>
      <c r="J664" s="18"/>
      <c r="K664" s="18"/>
      <c r="L664" s="18"/>
      <c r="M664" s="18"/>
    </row>
    <row r="665">
      <c r="I665" s="18"/>
      <c r="J665" s="18"/>
      <c r="K665" s="18"/>
      <c r="L665" s="18"/>
      <c r="M665" s="18"/>
    </row>
    <row r="666">
      <c r="I666" s="18"/>
      <c r="J666" s="18"/>
      <c r="K666" s="18"/>
      <c r="L666" s="18"/>
      <c r="M666" s="18"/>
    </row>
    <row r="667">
      <c r="I667" s="18"/>
      <c r="J667" s="18"/>
      <c r="K667" s="18"/>
      <c r="L667" s="18"/>
      <c r="M667" s="18"/>
    </row>
    <row r="668">
      <c r="I668" s="18"/>
      <c r="J668" s="18"/>
      <c r="K668" s="18"/>
      <c r="L668" s="18"/>
      <c r="M668" s="18"/>
    </row>
    <row r="669">
      <c r="I669" s="18"/>
      <c r="J669" s="18"/>
      <c r="K669" s="18"/>
      <c r="L669" s="18"/>
      <c r="M669" s="18"/>
    </row>
    <row r="670">
      <c r="I670" s="18"/>
      <c r="J670" s="18"/>
      <c r="K670" s="18"/>
      <c r="L670" s="18"/>
      <c r="M670" s="18"/>
    </row>
    <row r="671">
      <c r="I671" s="18"/>
      <c r="J671" s="18"/>
      <c r="K671" s="18"/>
      <c r="L671" s="18"/>
      <c r="M671" s="18"/>
    </row>
    <row r="672">
      <c r="I672" s="18"/>
      <c r="J672" s="18"/>
      <c r="K672" s="18"/>
      <c r="L672" s="18"/>
      <c r="M672" s="18"/>
    </row>
    <row r="673">
      <c r="I673" s="18"/>
      <c r="J673" s="18"/>
      <c r="K673" s="18"/>
      <c r="L673" s="18"/>
      <c r="M673" s="18"/>
    </row>
    <row r="674">
      <c r="I674" s="18"/>
      <c r="J674" s="18"/>
      <c r="K674" s="18"/>
      <c r="L674" s="18"/>
      <c r="M674" s="18"/>
    </row>
    <row r="675">
      <c r="I675" s="18"/>
      <c r="J675" s="18"/>
      <c r="K675" s="18"/>
      <c r="L675" s="18"/>
      <c r="M675" s="18"/>
    </row>
    <row r="676">
      <c r="I676" s="18"/>
      <c r="J676" s="18"/>
      <c r="K676" s="18"/>
      <c r="L676" s="18"/>
      <c r="M676" s="18"/>
    </row>
    <row r="677">
      <c r="I677" s="18"/>
      <c r="J677" s="18"/>
      <c r="K677" s="18"/>
      <c r="L677" s="18"/>
      <c r="M677" s="18"/>
    </row>
    <row r="678">
      <c r="I678" s="18"/>
      <c r="J678" s="18"/>
      <c r="K678" s="18"/>
      <c r="L678" s="18"/>
      <c r="M678" s="18"/>
    </row>
    <row r="679">
      <c r="I679" s="18"/>
      <c r="J679" s="18"/>
      <c r="K679" s="18"/>
      <c r="L679" s="18"/>
      <c r="M679" s="18"/>
    </row>
    <row r="680">
      <c r="I680" s="18"/>
      <c r="J680" s="18"/>
      <c r="K680" s="18"/>
      <c r="L680" s="18"/>
      <c r="M680" s="18"/>
    </row>
    <row r="681">
      <c r="I681" s="18"/>
      <c r="J681" s="18"/>
      <c r="K681" s="18"/>
      <c r="L681" s="18"/>
      <c r="M681" s="18"/>
    </row>
    <row r="682">
      <c r="I682" s="18"/>
      <c r="J682" s="18"/>
      <c r="K682" s="18"/>
      <c r="L682" s="18"/>
      <c r="M682" s="18"/>
    </row>
    <row r="683">
      <c r="I683" s="18"/>
      <c r="J683" s="18"/>
      <c r="K683" s="18"/>
      <c r="L683" s="18"/>
      <c r="M683" s="18"/>
    </row>
    <row r="684">
      <c r="I684" s="18"/>
      <c r="J684" s="18"/>
      <c r="K684" s="18"/>
      <c r="L684" s="18"/>
      <c r="M684" s="18"/>
    </row>
    <row r="685">
      <c r="I685" s="18"/>
      <c r="J685" s="18"/>
      <c r="K685" s="18"/>
      <c r="L685" s="18"/>
      <c r="M685" s="18"/>
    </row>
    <row r="686">
      <c r="I686" s="18"/>
      <c r="J686" s="18"/>
      <c r="K686" s="18"/>
      <c r="L686" s="18"/>
      <c r="M686" s="18"/>
    </row>
    <row r="687">
      <c r="I687" s="18"/>
      <c r="J687" s="18"/>
      <c r="K687" s="18"/>
      <c r="L687" s="18"/>
      <c r="M687" s="18"/>
    </row>
    <row r="688">
      <c r="I688" s="18"/>
      <c r="J688" s="18"/>
      <c r="K688" s="18"/>
      <c r="L688" s="18"/>
      <c r="M688" s="18"/>
    </row>
    <row r="689">
      <c r="I689" s="18"/>
      <c r="J689" s="18"/>
      <c r="K689" s="18"/>
      <c r="L689" s="18"/>
      <c r="M689" s="18"/>
    </row>
    <row r="690">
      <c r="I690" s="18"/>
      <c r="J690" s="18"/>
      <c r="K690" s="18"/>
      <c r="L690" s="18"/>
      <c r="M690" s="18"/>
    </row>
    <row r="691">
      <c r="I691" s="18"/>
      <c r="J691" s="18"/>
      <c r="K691" s="18"/>
      <c r="L691" s="18"/>
      <c r="M691" s="18"/>
    </row>
    <row r="692">
      <c r="I692" s="18"/>
      <c r="J692" s="18"/>
      <c r="K692" s="18"/>
      <c r="L692" s="18"/>
      <c r="M692" s="18"/>
    </row>
    <row r="693">
      <c r="I693" s="18"/>
      <c r="J693" s="18"/>
      <c r="K693" s="18"/>
      <c r="L693" s="18"/>
      <c r="M693" s="18"/>
    </row>
    <row r="694">
      <c r="I694" s="18"/>
      <c r="J694" s="18"/>
      <c r="K694" s="18"/>
      <c r="L694" s="18"/>
      <c r="M694" s="18"/>
    </row>
    <row r="695">
      <c r="I695" s="18"/>
      <c r="J695" s="18"/>
      <c r="K695" s="18"/>
      <c r="L695" s="18"/>
      <c r="M695" s="18"/>
    </row>
    <row r="696">
      <c r="I696" s="18"/>
      <c r="J696" s="18"/>
      <c r="K696" s="18"/>
      <c r="L696" s="18"/>
      <c r="M696" s="18"/>
    </row>
    <row r="697">
      <c r="I697" s="18"/>
      <c r="J697" s="18"/>
      <c r="K697" s="18"/>
      <c r="L697" s="18"/>
      <c r="M697" s="18"/>
    </row>
    <row r="698">
      <c r="I698" s="18"/>
      <c r="J698" s="18"/>
      <c r="K698" s="18"/>
      <c r="L698" s="18"/>
      <c r="M698" s="18"/>
    </row>
    <row r="699">
      <c r="I699" s="18"/>
      <c r="J699" s="18"/>
      <c r="K699" s="18"/>
      <c r="L699" s="18"/>
      <c r="M699" s="18"/>
    </row>
    <row r="700">
      <c r="I700" s="18"/>
      <c r="J700" s="18"/>
      <c r="K700" s="18"/>
      <c r="L700" s="18"/>
      <c r="M700" s="18"/>
    </row>
    <row r="701">
      <c r="I701" s="18"/>
      <c r="J701" s="18"/>
      <c r="K701" s="18"/>
      <c r="L701" s="18"/>
      <c r="M701" s="18"/>
    </row>
    <row r="702">
      <c r="I702" s="18"/>
      <c r="J702" s="18"/>
      <c r="K702" s="18"/>
      <c r="L702" s="18"/>
      <c r="M702" s="18"/>
    </row>
    <row r="703">
      <c r="I703" s="18"/>
      <c r="J703" s="18"/>
      <c r="K703" s="18"/>
      <c r="L703" s="18"/>
      <c r="M703" s="18"/>
    </row>
    <row r="704">
      <c r="I704" s="18"/>
      <c r="J704" s="18"/>
      <c r="K704" s="18"/>
      <c r="L704" s="18"/>
      <c r="M704" s="18"/>
    </row>
    <row r="705">
      <c r="I705" s="18"/>
      <c r="J705" s="18"/>
      <c r="K705" s="18"/>
      <c r="L705" s="18"/>
      <c r="M705" s="18"/>
    </row>
    <row r="706">
      <c r="I706" s="18"/>
      <c r="J706" s="18"/>
      <c r="K706" s="18"/>
      <c r="L706" s="18"/>
      <c r="M706" s="18"/>
    </row>
    <row r="707">
      <c r="I707" s="18"/>
      <c r="J707" s="18"/>
      <c r="K707" s="18"/>
      <c r="L707" s="18"/>
      <c r="M707" s="18"/>
    </row>
    <row r="708">
      <c r="I708" s="18"/>
      <c r="J708" s="18"/>
      <c r="K708" s="18"/>
      <c r="L708" s="18"/>
      <c r="M708" s="18"/>
    </row>
    <row r="709">
      <c r="I709" s="18"/>
      <c r="J709" s="18"/>
      <c r="K709" s="18"/>
      <c r="L709" s="18"/>
      <c r="M709" s="18"/>
    </row>
    <row r="710">
      <c r="I710" s="18"/>
      <c r="J710" s="18"/>
      <c r="K710" s="18"/>
      <c r="L710" s="18"/>
      <c r="M710" s="18"/>
    </row>
    <row r="711">
      <c r="I711" s="18"/>
      <c r="J711" s="18"/>
      <c r="K711" s="18"/>
      <c r="L711" s="18"/>
      <c r="M711" s="18"/>
    </row>
    <row r="712">
      <c r="I712" s="18"/>
      <c r="J712" s="18"/>
      <c r="K712" s="18"/>
      <c r="L712" s="18"/>
      <c r="M712" s="18"/>
    </row>
    <row r="713">
      <c r="I713" s="18"/>
      <c r="J713" s="18"/>
      <c r="K713" s="18"/>
      <c r="L713" s="18"/>
      <c r="M713" s="18"/>
    </row>
    <row r="714">
      <c r="I714" s="18"/>
      <c r="J714" s="18"/>
      <c r="K714" s="18"/>
      <c r="L714" s="18"/>
      <c r="M714" s="18"/>
    </row>
    <row r="715">
      <c r="I715" s="18"/>
      <c r="J715" s="18"/>
      <c r="K715" s="18"/>
      <c r="L715" s="18"/>
      <c r="M715" s="18"/>
    </row>
    <row r="716">
      <c r="I716" s="18"/>
      <c r="J716" s="18"/>
      <c r="K716" s="18"/>
      <c r="L716" s="18"/>
      <c r="M716" s="18"/>
    </row>
    <row r="717">
      <c r="I717" s="18"/>
      <c r="J717" s="18"/>
      <c r="K717" s="18"/>
      <c r="L717" s="18"/>
      <c r="M717" s="18"/>
    </row>
    <row r="718">
      <c r="I718" s="18"/>
      <c r="J718" s="18"/>
      <c r="K718" s="18"/>
      <c r="L718" s="18"/>
      <c r="M718" s="18"/>
    </row>
    <row r="719">
      <c r="I719" s="18"/>
      <c r="J719" s="18"/>
      <c r="K719" s="18"/>
      <c r="L719" s="18"/>
      <c r="M719" s="18"/>
    </row>
    <row r="720">
      <c r="I720" s="18"/>
      <c r="J720" s="18"/>
      <c r="K720" s="18"/>
      <c r="L720" s="18"/>
      <c r="M720" s="18"/>
    </row>
    <row r="721">
      <c r="I721" s="18"/>
      <c r="J721" s="18"/>
      <c r="K721" s="18"/>
      <c r="L721" s="18"/>
      <c r="M721" s="18"/>
    </row>
    <row r="722">
      <c r="I722" s="18"/>
      <c r="J722" s="18"/>
      <c r="K722" s="18"/>
      <c r="L722" s="18"/>
      <c r="M722" s="18"/>
    </row>
    <row r="723">
      <c r="I723" s="18"/>
      <c r="J723" s="18"/>
      <c r="K723" s="18"/>
      <c r="L723" s="18"/>
      <c r="M723" s="18"/>
    </row>
    <row r="724">
      <c r="I724" s="18"/>
      <c r="J724" s="18"/>
      <c r="K724" s="18"/>
      <c r="L724" s="18"/>
      <c r="M724" s="18"/>
    </row>
    <row r="725">
      <c r="I725" s="18"/>
      <c r="J725" s="18"/>
      <c r="K725" s="18"/>
      <c r="L725" s="18"/>
      <c r="M725" s="18"/>
    </row>
    <row r="726">
      <c r="I726" s="18"/>
      <c r="J726" s="18"/>
      <c r="K726" s="18"/>
      <c r="L726" s="18"/>
      <c r="M726" s="18"/>
    </row>
    <row r="727">
      <c r="I727" s="18"/>
      <c r="J727" s="18"/>
      <c r="K727" s="18"/>
      <c r="L727" s="18"/>
      <c r="M727" s="18"/>
    </row>
    <row r="728">
      <c r="I728" s="18"/>
      <c r="J728" s="18"/>
      <c r="K728" s="18"/>
      <c r="L728" s="18"/>
      <c r="M728" s="18"/>
    </row>
    <row r="729">
      <c r="I729" s="18"/>
      <c r="J729" s="18"/>
      <c r="K729" s="18"/>
      <c r="L729" s="18"/>
      <c r="M729" s="18"/>
    </row>
    <row r="730">
      <c r="I730" s="18"/>
      <c r="J730" s="18"/>
      <c r="K730" s="18"/>
      <c r="L730" s="18"/>
      <c r="M730" s="18"/>
    </row>
    <row r="731">
      <c r="I731" s="18"/>
      <c r="J731" s="18"/>
      <c r="K731" s="18"/>
      <c r="L731" s="18"/>
      <c r="M731" s="18"/>
    </row>
    <row r="732">
      <c r="I732" s="18"/>
      <c r="J732" s="18"/>
      <c r="K732" s="18"/>
      <c r="L732" s="18"/>
      <c r="M732" s="18"/>
    </row>
    <row r="733">
      <c r="I733" s="18"/>
      <c r="J733" s="18"/>
      <c r="K733" s="18"/>
      <c r="L733" s="18"/>
      <c r="M733" s="18"/>
    </row>
    <row r="734">
      <c r="I734" s="18"/>
      <c r="J734" s="18"/>
      <c r="K734" s="18"/>
      <c r="L734" s="18"/>
      <c r="M734" s="18"/>
    </row>
    <row r="735">
      <c r="I735" s="18"/>
      <c r="J735" s="18"/>
      <c r="K735" s="18"/>
      <c r="L735" s="18"/>
      <c r="M735" s="18"/>
    </row>
    <row r="736">
      <c r="I736" s="18"/>
      <c r="J736" s="18"/>
      <c r="K736" s="18"/>
      <c r="L736" s="18"/>
      <c r="M736" s="18"/>
    </row>
    <row r="737">
      <c r="I737" s="18"/>
      <c r="J737" s="18"/>
      <c r="K737" s="18"/>
      <c r="L737" s="18"/>
      <c r="M737" s="18"/>
    </row>
    <row r="738">
      <c r="I738" s="18"/>
      <c r="J738" s="18"/>
      <c r="K738" s="18"/>
      <c r="L738" s="18"/>
      <c r="M738" s="18"/>
    </row>
    <row r="739">
      <c r="I739" s="18"/>
      <c r="J739" s="18"/>
      <c r="K739" s="18"/>
      <c r="L739" s="18"/>
      <c r="M739" s="18"/>
    </row>
    <row r="740">
      <c r="I740" s="18"/>
      <c r="J740" s="18"/>
      <c r="K740" s="18"/>
      <c r="L740" s="18"/>
      <c r="M740" s="18"/>
    </row>
    <row r="741">
      <c r="I741" s="18"/>
      <c r="J741" s="18"/>
      <c r="K741" s="18"/>
      <c r="L741" s="18"/>
      <c r="M741" s="18"/>
    </row>
    <row r="742">
      <c r="I742" s="18"/>
      <c r="J742" s="18"/>
      <c r="K742" s="18"/>
      <c r="L742" s="18"/>
      <c r="M742" s="18"/>
    </row>
    <row r="743">
      <c r="I743" s="18"/>
      <c r="J743" s="18"/>
      <c r="K743" s="18"/>
      <c r="L743" s="18"/>
      <c r="M743" s="18"/>
    </row>
    <row r="744">
      <c r="I744" s="18"/>
      <c r="J744" s="18"/>
      <c r="K744" s="18"/>
      <c r="L744" s="18"/>
      <c r="M744" s="18"/>
    </row>
    <row r="745">
      <c r="I745" s="18"/>
      <c r="J745" s="18"/>
      <c r="K745" s="18"/>
      <c r="L745" s="18"/>
      <c r="M745" s="18"/>
    </row>
    <row r="746">
      <c r="I746" s="18"/>
      <c r="J746" s="18"/>
      <c r="K746" s="18"/>
      <c r="L746" s="18"/>
      <c r="M746" s="18"/>
    </row>
    <row r="747">
      <c r="I747" s="18"/>
      <c r="J747" s="18"/>
      <c r="K747" s="18"/>
      <c r="L747" s="18"/>
      <c r="M747" s="18"/>
    </row>
    <row r="748">
      <c r="I748" s="18"/>
      <c r="J748" s="18"/>
      <c r="K748" s="18"/>
      <c r="L748" s="18"/>
      <c r="M748" s="18"/>
    </row>
    <row r="749">
      <c r="I749" s="18"/>
      <c r="J749" s="18"/>
      <c r="K749" s="18"/>
      <c r="L749" s="18"/>
      <c r="M749" s="18"/>
    </row>
    <row r="750">
      <c r="I750" s="18"/>
      <c r="J750" s="18"/>
      <c r="K750" s="18"/>
      <c r="L750" s="18"/>
      <c r="M750" s="18"/>
    </row>
    <row r="751">
      <c r="I751" s="18"/>
      <c r="J751" s="18"/>
      <c r="K751" s="18"/>
      <c r="L751" s="18"/>
      <c r="M751" s="18"/>
    </row>
    <row r="752">
      <c r="I752" s="18"/>
      <c r="J752" s="18"/>
      <c r="K752" s="18"/>
      <c r="L752" s="18"/>
      <c r="M752" s="18"/>
    </row>
    <row r="753">
      <c r="I753" s="18"/>
      <c r="J753" s="18"/>
      <c r="K753" s="18"/>
      <c r="L753" s="18"/>
      <c r="M753" s="18"/>
    </row>
    <row r="754">
      <c r="I754" s="18"/>
      <c r="J754" s="18"/>
      <c r="K754" s="18"/>
      <c r="L754" s="18"/>
      <c r="M754" s="18"/>
    </row>
    <row r="755">
      <c r="I755" s="18"/>
      <c r="J755" s="18"/>
      <c r="K755" s="18"/>
      <c r="L755" s="18"/>
      <c r="M755" s="18"/>
    </row>
    <row r="756">
      <c r="I756" s="18"/>
      <c r="J756" s="18"/>
      <c r="K756" s="18"/>
      <c r="L756" s="18"/>
      <c r="M756" s="18"/>
    </row>
    <row r="757">
      <c r="I757" s="18"/>
      <c r="J757" s="18"/>
      <c r="K757" s="18"/>
      <c r="L757" s="18"/>
      <c r="M757" s="18"/>
    </row>
    <row r="758">
      <c r="I758" s="18"/>
      <c r="J758" s="18"/>
      <c r="K758" s="18"/>
      <c r="L758" s="18"/>
      <c r="M758" s="18"/>
    </row>
    <row r="759">
      <c r="I759" s="18"/>
      <c r="J759" s="18"/>
      <c r="K759" s="18"/>
      <c r="L759" s="18"/>
      <c r="M759" s="18"/>
    </row>
    <row r="760">
      <c r="I760" s="18"/>
      <c r="J760" s="18"/>
      <c r="K760" s="18"/>
      <c r="L760" s="18"/>
      <c r="M760" s="18"/>
    </row>
    <row r="761">
      <c r="I761" s="18"/>
      <c r="J761" s="18"/>
      <c r="K761" s="18"/>
      <c r="L761" s="18"/>
      <c r="M761" s="18"/>
    </row>
    <row r="762">
      <c r="I762" s="18"/>
      <c r="J762" s="18"/>
      <c r="K762" s="18"/>
      <c r="L762" s="18"/>
      <c r="M762" s="18"/>
    </row>
    <row r="763">
      <c r="I763" s="18"/>
      <c r="J763" s="18"/>
      <c r="K763" s="18"/>
      <c r="L763" s="18"/>
      <c r="M763" s="18"/>
    </row>
    <row r="764">
      <c r="I764" s="18"/>
      <c r="J764" s="18"/>
      <c r="K764" s="18"/>
      <c r="L764" s="18"/>
      <c r="M764" s="18"/>
    </row>
    <row r="765">
      <c r="I765" s="18"/>
      <c r="J765" s="18"/>
      <c r="K765" s="18"/>
      <c r="L765" s="18"/>
      <c r="M765" s="18"/>
    </row>
    <row r="766">
      <c r="I766" s="18"/>
      <c r="J766" s="18"/>
      <c r="K766" s="18"/>
      <c r="L766" s="18"/>
      <c r="M766" s="18"/>
    </row>
    <row r="767">
      <c r="I767" s="18"/>
      <c r="J767" s="18"/>
      <c r="K767" s="18"/>
      <c r="L767" s="18"/>
      <c r="M767" s="18"/>
    </row>
    <row r="768">
      <c r="I768" s="18"/>
      <c r="J768" s="18"/>
      <c r="K768" s="18"/>
      <c r="L768" s="18"/>
      <c r="M768" s="18"/>
    </row>
    <row r="769">
      <c r="I769" s="18"/>
      <c r="J769" s="18"/>
      <c r="K769" s="18"/>
      <c r="L769" s="18"/>
      <c r="M769" s="18"/>
    </row>
    <row r="770">
      <c r="I770" s="18"/>
      <c r="J770" s="18"/>
      <c r="K770" s="18"/>
      <c r="L770" s="18"/>
      <c r="M770" s="18"/>
    </row>
    <row r="771">
      <c r="I771" s="18"/>
      <c r="J771" s="18"/>
      <c r="K771" s="18"/>
      <c r="L771" s="18"/>
      <c r="M771" s="18"/>
    </row>
    <row r="772">
      <c r="I772" s="18"/>
      <c r="J772" s="18"/>
      <c r="K772" s="18"/>
      <c r="L772" s="18"/>
      <c r="M772" s="18"/>
    </row>
    <row r="773">
      <c r="I773" s="18"/>
      <c r="J773" s="18"/>
      <c r="K773" s="18"/>
      <c r="L773" s="18"/>
      <c r="M773" s="18"/>
    </row>
    <row r="774">
      <c r="I774" s="18"/>
      <c r="J774" s="18"/>
      <c r="K774" s="18"/>
      <c r="L774" s="18"/>
      <c r="M774" s="18"/>
    </row>
    <row r="775">
      <c r="I775" s="18"/>
      <c r="J775" s="18"/>
      <c r="K775" s="18"/>
      <c r="L775" s="18"/>
      <c r="M775" s="18"/>
    </row>
    <row r="776">
      <c r="I776" s="18"/>
      <c r="J776" s="18"/>
      <c r="K776" s="18"/>
      <c r="L776" s="18"/>
      <c r="M776" s="18"/>
    </row>
    <row r="777">
      <c r="I777" s="18"/>
      <c r="J777" s="18"/>
      <c r="K777" s="18"/>
      <c r="L777" s="18"/>
      <c r="M777" s="18"/>
    </row>
    <row r="778">
      <c r="I778" s="18"/>
      <c r="J778" s="18"/>
      <c r="K778" s="18"/>
      <c r="L778" s="18"/>
      <c r="M778" s="18"/>
    </row>
    <row r="779">
      <c r="I779" s="18"/>
      <c r="J779" s="18"/>
      <c r="K779" s="18"/>
      <c r="L779" s="18"/>
      <c r="M779" s="18"/>
    </row>
    <row r="780">
      <c r="I780" s="18"/>
      <c r="J780" s="18"/>
      <c r="K780" s="18"/>
      <c r="L780" s="18"/>
      <c r="M780" s="18"/>
    </row>
    <row r="781">
      <c r="I781" s="18"/>
      <c r="J781" s="18"/>
      <c r="K781" s="18"/>
      <c r="L781" s="18"/>
      <c r="M781" s="18"/>
    </row>
    <row r="782">
      <c r="I782" s="18"/>
      <c r="J782" s="18"/>
      <c r="K782" s="18"/>
      <c r="L782" s="18"/>
      <c r="M782" s="18"/>
    </row>
    <row r="783">
      <c r="I783" s="18"/>
      <c r="J783" s="18"/>
      <c r="K783" s="18"/>
      <c r="L783" s="18"/>
      <c r="M783" s="18"/>
    </row>
    <row r="784">
      <c r="I784" s="18"/>
      <c r="J784" s="18"/>
      <c r="K784" s="18"/>
      <c r="L784" s="18"/>
      <c r="M784" s="18"/>
    </row>
    <row r="785">
      <c r="I785" s="18"/>
      <c r="J785" s="18"/>
      <c r="K785" s="18"/>
      <c r="L785" s="18"/>
      <c r="M785" s="18"/>
    </row>
    <row r="786">
      <c r="I786" s="18"/>
      <c r="J786" s="18"/>
      <c r="K786" s="18"/>
      <c r="L786" s="18"/>
      <c r="M786" s="18"/>
    </row>
    <row r="787">
      <c r="I787" s="18"/>
      <c r="J787" s="18"/>
      <c r="K787" s="18"/>
      <c r="L787" s="18"/>
      <c r="M787" s="18"/>
    </row>
    <row r="788">
      <c r="I788" s="18"/>
      <c r="J788" s="18"/>
      <c r="K788" s="18"/>
      <c r="L788" s="18"/>
      <c r="M788" s="18"/>
    </row>
    <row r="789">
      <c r="I789" s="18"/>
      <c r="J789" s="18"/>
      <c r="K789" s="18"/>
      <c r="L789" s="18"/>
      <c r="M789" s="18"/>
    </row>
    <row r="790">
      <c r="I790" s="18"/>
      <c r="J790" s="18"/>
      <c r="K790" s="18"/>
      <c r="L790" s="18"/>
      <c r="M790" s="18"/>
    </row>
    <row r="791">
      <c r="I791" s="18"/>
      <c r="J791" s="18"/>
      <c r="K791" s="18"/>
      <c r="L791" s="18"/>
      <c r="M791" s="18"/>
    </row>
    <row r="792">
      <c r="I792" s="18"/>
      <c r="J792" s="18"/>
      <c r="K792" s="18"/>
      <c r="L792" s="18"/>
      <c r="M792" s="18"/>
    </row>
    <row r="793">
      <c r="I793" s="18"/>
      <c r="J793" s="18"/>
      <c r="K793" s="18"/>
      <c r="L793" s="18"/>
      <c r="M793" s="18"/>
    </row>
    <row r="794">
      <c r="I794" s="18"/>
      <c r="J794" s="18"/>
      <c r="K794" s="18"/>
      <c r="L794" s="18"/>
      <c r="M794" s="18"/>
    </row>
    <row r="795">
      <c r="I795" s="18"/>
      <c r="J795" s="18"/>
      <c r="K795" s="18"/>
      <c r="L795" s="18"/>
      <c r="M795" s="18"/>
    </row>
    <row r="796">
      <c r="I796" s="18"/>
      <c r="J796" s="18"/>
      <c r="K796" s="18"/>
      <c r="L796" s="18"/>
      <c r="M796" s="18"/>
    </row>
    <row r="797">
      <c r="I797" s="18"/>
      <c r="J797" s="18"/>
      <c r="K797" s="18"/>
      <c r="L797" s="18"/>
      <c r="M797" s="18"/>
    </row>
    <row r="798">
      <c r="I798" s="18"/>
      <c r="J798" s="18"/>
      <c r="K798" s="18"/>
      <c r="L798" s="18"/>
      <c r="M798" s="18"/>
    </row>
    <row r="799">
      <c r="I799" s="18"/>
      <c r="J799" s="18"/>
      <c r="K799" s="18"/>
      <c r="L799" s="18"/>
      <c r="M799" s="18"/>
    </row>
    <row r="800">
      <c r="I800" s="18"/>
      <c r="J800" s="18"/>
      <c r="K800" s="18"/>
      <c r="L800" s="18"/>
      <c r="M800" s="18"/>
    </row>
    <row r="801">
      <c r="I801" s="18"/>
      <c r="J801" s="18"/>
      <c r="K801" s="18"/>
      <c r="L801" s="18"/>
      <c r="M801" s="18"/>
    </row>
    <row r="802">
      <c r="I802" s="18"/>
      <c r="J802" s="18"/>
      <c r="K802" s="18"/>
      <c r="L802" s="18"/>
      <c r="M802" s="18"/>
    </row>
    <row r="803">
      <c r="I803" s="18"/>
      <c r="J803" s="18"/>
      <c r="K803" s="18"/>
      <c r="L803" s="18"/>
      <c r="M803" s="18"/>
    </row>
    <row r="804">
      <c r="I804" s="18"/>
      <c r="J804" s="18"/>
      <c r="K804" s="18"/>
      <c r="L804" s="18"/>
      <c r="M804" s="18"/>
    </row>
    <row r="805">
      <c r="I805" s="18"/>
      <c r="J805" s="18"/>
      <c r="K805" s="18"/>
      <c r="L805" s="18"/>
      <c r="M805" s="18"/>
    </row>
    <row r="806">
      <c r="I806" s="18"/>
      <c r="J806" s="18"/>
      <c r="K806" s="18"/>
      <c r="L806" s="18"/>
      <c r="M806" s="18"/>
    </row>
    <row r="807">
      <c r="I807" s="18"/>
      <c r="J807" s="18"/>
      <c r="K807" s="18"/>
      <c r="L807" s="18"/>
      <c r="M807" s="18"/>
    </row>
    <row r="808">
      <c r="I808" s="18"/>
      <c r="J808" s="18"/>
      <c r="K808" s="18"/>
      <c r="L808" s="18"/>
      <c r="M808" s="18"/>
    </row>
    <row r="809">
      <c r="I809" s="18"/>
      <c r="J809" s="18"/>
      <c r="K809" s="18"/>
      <c r="L809" s="18"/>
      <c r="M809" s="18"/>
    </row>
    <row r="810">
      <c r="I810" s="18"/>
      <c r="J810" s="18"/>
      <c r="K810" s="18"/>
      <c r="L810" s="18"/>
      <c r="M810" s="18"/>
    </row>
    <row r="811">
      <c r="I811" s="18"/>
      <c r="J811" s="18"/>
      <c r="K811" s="18"/>
      <c r="L811" s="18"/>
      <c r="M811" s="18"/>
    </row>
    <row r="812">
      <c r="I812" s="18"/>
      <c r="J812" s="18"/>
      <c r="K812" s="18"/>
      <c r="L812" s="18"/>
      <c r="M812" s="18"/>
    </row>
    <row r="813">
      <c r="I813" s="18"/>
      <c r="J813" s="18"/>
      <c r="K813" s="18"/>
      <c r="L813" s="18"/>
      <c r="M813" s="18"/>
    </row>
    <row r="814">
      <c r="I814" s="18"/>
      <c r="J814" s="18"/>
      <c r="K814" s="18"/>
      <c r="L814" s="18"/>
      <c r="M814" s="18"/>
    </row>
    <row r="815">
      <c r="I815" s="18"/>
      <c r="J815" s="18"/>
      <c r="K815" s="18"/>
      <c r="L815" s="18"/>
      <c r="M815" s="18"/>
    </row>
    <row r="816">
      <c r="I816" s="18"/>
      <c r="J816" s="18"/>
      <c r="K816" s="18"/>
      <c r="L816" s="18"/>
      <c r="M816" s="18"/>
    </row>
    <row r="817">
      <c r="I817" s="18"/>
      <c r="J817" s="18"/>
      <c r="K817" s="18"/>
      <c r="L817" s="18"/>
      <c r="M817" s="18"/>
    </row>
    <row r="818">
      <c r="I818" s="18"/>
      <c r="J818" s="18"/>
      <c r="K818" s="18"/>
      <c r="L818" s="18"/>
      <c r="M818" s="18"/>
    </row>
    <row r="819">
      <c r="I819" s="18"/>
      <c r="J819" s="18"/>
      <c r="K819" s="18"/>
      <c r="L819" s="18"/>
      <c r="M819" s="18"/>
    </row>
    <row r="820">
      <c r="I820" s="18"/>
      <c r="J820" s="18"/>
      <c r="K820" s="18"/>
      <c r="L820" s="18"/>
      <c r="M820" s="18"/>
    </row>
    <row r="821">
      <c r="I821" s="18"/>
      <c r="J821" s="18"/>
      <c r="K821" s="18"/>
      <c r="L821" s="18"/>
      <c r="M821" s="18"/>
    </row>
    <row r="822">
      <c r="I822" s="18"/>
      <c r="J822" s="18"/>
      <c r="K822" s="18"/>
      <c r="L822" s="18"/>
      <c r="M822" s="18"/>
    </row>
    <row r="823">
      <c r="I823" s="18"/>
      <c r="J823" s="18"/>
      <c r="K823" s="18"/>
      <c r="L823" s="18"/>
      <c r="M823" s="18"/>
    </row>
    <row r="824">
      <c r="I824" s="18"/>
      <c r="J824" s="18"/>
      <c r="K824" s="18"/>
      <c r="L824" s="18"/>
      <c r="M824" s="18"/>
    </row>
    <row r="825">
      <c r="I825" s="18"/>
      <c r="J825" s="18"/>
      <c r="K825" s="18"/>
      <c r="L825" s="18"/>
      <c r="M825" s="18"/>
    </row>
    <row r="826">
      <c r="I826" s="18"/>
      <c r="J826" s="18"/>
      <c r="K826" s="18"/>
      <c r="L826" s="18"/>
      <c r="M826" s="18"/>
    </row>
    <row r="827">
      <c r="I827" s="18"/>
      <c r="J827" s="18"/>
      <c r="K827" s="18"/>
      <c r="L827" s="18"/>
      <c r="M827" s="18"/>
    </row>
    <row r="828">
      <c r="I828" s="18"/>
      <c r="J828" s="18"/>
      <c r="K828" s="18"/>
      <c r="L828" s="18"/>
      <c r="M828" s="18"/>
    </row>
    <row r="829">
      <c r="I829" s="18"/>
      <c r="J829" s="18"/>
      <c r="K829" s="18"/>
      <c r="L829" s="18"/>
      <c r="M829" s="18"/>
    </row>
    <row r="830">
      <c r="I830" s="18"/>
      <c r="J830" s="18"/>
      <c r="K830" s="18"/>
      <c r="L830" s="18"/>
      <c r="M830" s="18"/>
    </row>
    <row r="831">
      <c r="I831" s="18"/>
      <c r="J831" s="18"/>
      <c r="K831" s="18"/>
      <c r="L831" s="18"/>
      <c r="M831" s="18"/>
    </row>
    <row r="832">
      <c r="I832" s="18"/>
      <c r="J832" s="18"/>
      <c r="K832" s="18"/>
      <c r="L832" s="18"/>
      <c r="M832" s="18"/>
    </row>
    <row r="833">
      <c r="I833" s="18"/>
      <c r="J833" s="18"/>
      <c r="K833" s="18"/>
      <c r="L833" s="18"/>
      <c r="M833" s="18"/>
    </row>
    <row r="834">
      <c r="I834" s="18"/>
      <c r="J834" s="18"/>
      <c r="K834" s="18"/>
      <c r="L834" s="18"/>
      <c r="M834" s="18"/>
    </row>
    <row r="835">
      <c r="I835" s="18"/>
      <c r="J835" s="18"/>
      <c r="K835" s="18"/>
      <c r="L835" s="18"/>
      <c r="M835" s="18"/>
    </row>
    <row r="836">
      <c r="I836" s="18"/>
      <c r="J836" s="18"/>
      <c r="K836" s="18"/>
      <c r="L836" s="18"/>
      <c r="M836" s="18"/>
    </row>
    <row r="837">
      <c r="I837" s="18"/>
      <c r="J837" s="18"/>
      <c r="K837" s="18"/>
      <c r="L837" s="18"/>
      <c r="M837" s="18"/>
    </row>
    <row r="838">
      <c r="I838" s="18"/>
      <c r="J838" s="18"/>
      <c r="K838" s="18"/>
      <c r="L838" s="18"/>
      <c r="M838" s="18"/>
    </row>
    <row r="839">
      <c r="I839" s="18"/>
      <c r="J839" s="18"/>
      <c r="K839" s="18"/>
      <c r="L839" s="18"/>
      <c r="M839" s="18"/>
    </row>
    <row r="840">
      <c r="I840" s="18"/>
      <c r="J840" s="18"/>
      <c r="K840" s="18"/>
      <c r="L840" s="18"/>
      <c r="M840" s="18"/>
    </row>
    <row r="841">
      <c r="I841" s="18"/>
      <c r="J841" s="18"/>
      <c r="K841" s="18"/>
      <c r="L841" s="18"/>
      <c r="M841" s="18"/>
    </row>
    <row r="842">
      <c r="I842" s="18"/>
      <c r="J842" s="18"/>
      <c r="K842" s="18"/>
      <c r="L842" s="18"/>
      <c r="M842" s="18"/>
    </row>
    <row r="843">
      <c r="I843" s="18"/>
      <c r="J843" s="18"/>
      <c r="K843" s="18"/>
      <c r="L843" s="18"/>
      <c r="M843" s="18"/>
    </row>
    <row r="844">
      <c r="I844" s="18"/>
      <c r="J844" s="18"/>
      <c r="K844" s="18"/>
      <c r="L844" s="18"/>
      <c r="M844" s="18"/>
    </row>
    <row r="845">
      <c r="I845" s="18"/>
      <c r="J845" s="18"/>
      <c r="K845" s="18"/>
      <c r="L845" s="18"/>
      <c r="M845" s="18"/>
    </row>
    <row r="846">
      <c r="I846" s="18"/>
      <c r="J846" s="18"/>
      <c r="K846" s="18"/>
      <c r="L846" s="18"/>
      <c r="M846" s="18"/>
    </row>
    <row r="847">
      <c r="I847" s="18"/>
      <c r="J847" s="18"/>
      <c r="K847" s="18"/>
      <c r="L847" s="18"/>
      <c r="M847" s="18"/>
    </row>
    <row r="848">
      <c r="I848" s="18"/>
      <c r="J848" s="18"/>
      <c r="K848" s="18"/>
      <c r="L848" s="18"/>
      <c r="M848" s="18"/>
    </row>
    <row r="849">
      <c r="I849" s="18"/>
      <c r="J849" s="18"/>
      <c r="K849" s="18"/>
      <c r="L849" s="18"/>
      <c r="M849" s="18"/>
    </row>
    <row r="850">
      <c r="I850" s="18"/>
      <c r="J850" s="18"/>
      <c r="K850" s="18"/>
      <c r="L850" s="18"/>
      <c r="M850" s="18"/>
    </row>
    <row r="851">
      <c r="I851" s="18"/>
      <c r="J851" s="18"/>
      <c r="K851" s="18"/>
      <c r="L851" s="18"/>
      <c r="M851" s="18"/>
    </row>
    <row r="852">
      <c r="I852" s="18"/>
      <c r="J852" s="18"/>
      <c r="K852" s="18"/>
      <c r="L852" s="18"/>
      <c r="M852" s="18"/>
    </row>
    <row r="853">
      <c r="I853" s="18"/>
      <c r="J853" s="18"/>
      <c r="K853" s="18"/>
      <c r="L853" s="18"/>
      <c r="M853" s="18"/>
    </row>
    <row r="854">
      <c r="I854" s="18"/>
      <c r="J854" s="18"/>
      <c r="K854" s="18"/>
      <c r="L854" s="18"/>
      <c r="M854" s="18"/>
    </row>
    <row r="855">
      <c r="I855" s="18"/>
      <c r="J855" s="18"/>
      <c r="K855" s="18"/>
      <c r="L855" s="18"/>
      <c r="M855" s="18"/>
    </row>
    <row r="856">
      <c r="I856" s="18"/>
      <c r="J856" s="18"/>
      <c r="K856" s="18"/>
      <c r="L856" s="18"/>
      <c r="M856" s="18"/>
    </row>
    <row r="857">
      <c r="I857" s="18"/>
      <c r="J857" s="18"/>
      <c r="K857" s="18"/>
      <c r="L857" s="18"/>
      <c r="M857" s="18"/>
    </row>
    <row r="858">
      <c r="I858" s="18"/>
      <c r="J858" s="18"/>
      <c r="K858" s="18"/>
      <c r="L858" s="18"/>
      <c r="M858" s="18"/>
    </row>
    <row r="859">
      <c r="I859" s="18"/>
      <c r="J859" s="18"/>
      <c r="K859" s="18"/>
      <c r="L859" s="18"/>
      <c r="M859" s="18"/>
    </row>
    <row r="860">
      <c r="I860" s="18"/>
      <c r="J860" s="18"/>
      <c r="K860" s="18"/>
      <c r="L860" s="18"/>
      <c r="M860" s="18"/>
    </row>
    <row r="861">
      <c r="I861" s="18"/>
      <c r="J861" s="18"/>
      <c r="K861" s="18"/>
      <c r="L861" s="18"/>
      <c r="M861" s="18"/>
    </row>
    <row r="862">
      <c r="I862" s="18"/>
      <c r="J862" s="18"/>
      <c r="K862" s="18"/>
      <c r="L862" s="18"/>
      <c r="M862" s="18"/>
    </row>
    <row r="863">
      <c r="I863" s="18"/>
      <c r="J863" s="18"/>
      <c r="K863" s="18"/>
      <c r="L863" s="18"/>
      <c r="M863" s="18"/>
    </row>
    <row r="864">
      <c r="I864" s="18"/>
      <c r="J864" s="18"/>
      <c r="K864" s="18"/>
      <c r="L864" s="18"/>
      <c r="M864" s="18"/>
    </row>
    <row r="865">
      <c r="I865" s="18"/>
      <c r="J865" s="18"/>
      <c r="K865" s="18"/>
      <c r="L865" s="18"/>
      <c r="M865" s="18"/>
    </row>
    <row r="866">
      <c r="I866" s="18"/>
      <c r="J866" s="18"/>
      <c r="K866" s="18"/>
      <c r="L866" s="18"/>
      <c r="M866" s="18"/>
    </row>
    <row r="867">
      <c r="I867" s="18"/>
      <c r="J867" s="18"/>
      <c r="K867" s="18"/>
      <c r="L867" s="18"/>
      <c r="M867" s="18"/>
    </row>
    <row r="868">
      <c r="I868" s="18"/>
      <c r="J868" s="18"/>
      <c r="K868" s="18"/>
      <c r="L868" s="18"/>
      <c r="M868" s="18"/>
    </row>
    <row r="869">
      <c r="I869" s="18"/>
      <c r="J869" s="18"/>
      <c r="K869" s="18"/>
      <c r="L869" s="18"/>
      <c r="M869" s="18"/>
    </row>
    <row r="870">
      <c r="I870" s="18"/>
      <c r="J870" s="18"/>
      <c r="K870" s="18"/>
      <c r="L870" s="18"/>
      <c r="M870" s="18"/>
    </row>
    <row r="871">
      <c r="I871" s="18"/>
      <c r="J871" s="18"/>
      <c r="K871" s="18"/>
      <c r="L871" s="18"/>
      <c r="M871" s="18"/>
    </row>
    <row r="872">
      <c r="I872" s="18"/>
      <c r="J872" s="18"/>
      <c r="K872" s="18"/>
      <c r="L872" s="18"/>
      <c r="M872" s="18"/>
    </row>
    <row r="873">
      <c r="I873" s="18"/>
      <c r="J873" s="18"/>
      <c r="K873" s="18"/>
      <c r="L873" s="18"/>
      <c r="M873" s="18"/>
    </row>
    <row r="874">
      <c r="I874" s="18"/>
      <c r="J874" s="18"/>
      <c r="K874" s="18"/>
      <c r="L874" s="18"/>
      <c r="M874" s="18"/>
    </row>
    <row r="875">
      <c r="I875" s="18"/>
      <c r="J875" s="18"/>
      <c r="K875" s="18"/>
      <c r="L875" s="18"/>
      <c r="M875" s="18"/>
    </row>
    <row r="876">
      <c r="I876" s="18"/>
      <c r="J876" s="18"/>
      <c r="K876" s="18"/>
      <c r="L876" s="18"/>
      <c r="M876" s="18"/>
    </row>
    <row r="877">
      <c r="I877" s="18"/>
      <c r="J877" s="18"/>
      <c r="K877" s="18"/>
      <c r="L877" s="18"/>
      <c r="M877" s="18"/>
    </row>
    <row r="878">
      <c r="I878" s="18"/>
      <c r="J878" s="18"/>
      <c r="K878" s="18"/>
      <c r="L878" s="18"/>
      <c r="M878" s="18"/>
    </row>
    <row r="879">
      <c r="I879" s="18"/>
      <c r="J879" s="18"/>
      <c r="K879" s="18"/>
      <c r="L879" s="18"/>
      <c r="M879" s="18"/>
    </row>
    <row r="880">
      <c r="I880" s="18"/>
      <c r="J880" s="18"/>
      <c r="K880" s="18"/>
      <c r="L880" s="18"/>
      <c r="M880" s="18"/>
    </row>
    <row r="881">
      <c r="I881" s="18"/>
      <c r="J881" s="18"/>
      <c r="K881" s="18"/>
      <c r="L881" s="18"/>
      <c r="M881" s="18"/>
    </row>
    <row r="882">
      <c r="I882" s="18"/>
      <c r="J882" s="18"/>
      <c r="K882" s="18"/>
      <c r="L882" s="18"/>
      <c r="M882" s="18"/>
    </row>
    <row r="883">
      <c r="I883" s="18"/>
      <c r="J883" s="18"/>
      <c r="K883" s="18"/>
      <c r="L883" s="18"/>
      <c r="M883" s="18"/>
    </row>
    <row r="884">
      <c r="I884" s="18"/>
      <c r="J884" s="18"/>
      <c r="K884" s="18"/>
      <c r="L884" s="18"/>
      <c r="M884" s="18"/>
    </row>
    <row r="885">
      <c r="I885" s="18"/>
      <c r="J885" s="18"/>
      <c r="K885" s="18"/>
      <c r="L885" s="18"/>
      <c r="M885" s="18"/>
    </row>
    <row r="886">
      <c r="I886" s="18"/>
      <c r="J886" s="18"/>
      <c r="K886" s="18"/>
      <c r="L886" s="18"/>
      <c r="M886" s="18"/>
    </row>
    <row r="887">
      <c r="I887" s="18"/>
      <c r="J887" s="18"/>
      <c r="K887" s="18"/>
      <c r="L887" s="18"/>
      <c r="M887" s="18"/>
    </row>
    <row r="888">
      <c r="I888" s="18"/>
      <c r="J888" s="18"/>
      <c r="K888" s="18"/>
      <c r="L888" s="18"/>
      <c r="M888" s="18"/>
    </row>
    <row r="889">
      <c r="I889" s="18"/>
      <c r="J889" s="18"/>
      <c r="K889" s="18"/>
      <c r="L889" s="18"/>
      <c r="M889" s="18"/>
    </row>
    <row r="890">
      <c r="I890" s="18"/>
      <c r="J890" s="18"/>
      <c r="K890" s="18"/>
      <c r="L890" s="18"/>
      <c r="M890" s="18"/>
    </row>
    <row r="891">
      <c r="I891" s="18"/>
      <c r="J891" s="18"/>
      <c r="K891" s="18"/>
      <c r="L891" s="18"/>
      <c r="M891" s="18"/>
    </row>
    <row r="892">
      <c r="I892" s="18"/>
      <c r="J892" s="18"/>
      <c r="K892" s="18"/>
      <c r="L892" s="18"/>
      <c r="M892" s="18"/>
    </row>
    <row r="893">
      <c r="I893" s="18"/>
      <c r="J893" s="18"/>
      <c r="K893" s="18"/>
      <c r="L893" s="18"/>
      <c r="M893" s="18"/>
    </row>
    <row r="894">
      <c r="I894" s="18"/>
      <c r="J894" s="18"/>
      <c r="K894" s="18"/>
      <c r="L894" s="18"/>
      <c r="M894" s="18"/>
    </row>
    <row r="895">
      <c r="I895" s="18"/>
      <c r="J895" s="18"/>
      <c r="K895" s="18"/>
      <c r="L895" s="18"/>
      <c r="M895" s="18"/>
    </row>
    <row r="896">
      <c r="I896" s="18"/>
      <c r="J896" s="18"/>
      <c r="K896" s="18"/>
      <c r="L896" s="18"/>
      <c r="M896" s="18"/>
    </row>
    <row r="897">
      <c r="I897" s="18"/>
      <c r="J897" s="18"/>
      <c r="K897" s="18"/>
      <c r="L897" s="18"/>
      <c r="M897" s="18"/>
    </row>
    <row r="898">
      <c r="I898" s="18"/>
      <c r="J898" s="18"/>
      <c r="K898" s="18"/>
      <c r="L898" s="18"/>
      <c r="M898" s="18"/>
    </row>
    <row r="899">
      <c r="I899" s="18"/>
      <c r="J899" s="18"/>
      <c r="K899" s="18"/>
      <c r="L899" s="18"/>
      <c r="M899" s="18"/>
    </row>
    <row r="900">
      <c r="I900" s="18"/>
      <c r="J900" s="18"/>
      <c r="K900" s="18"/>
      <c r="L900" s="18"/>
      <c r="M900" s="18"/>
    </row>
    <row r="901">
      <c r="I901" s="18"/>
      <c r="J901" s="18"/>
      <c r="K901" s="18"/>
      <c r="L901" s="18"/>
      <c r="M901" s="18"/>
    </row>
    <row r="902">
      <c r="I902" s="18"/>
      <c r="J902" s="18"/>
      <c r="K902" s="18"/>
      <c r="L902" s="18"/>
      <c r="M902" s="18"/>
    </row>
    <row r="903">
      <c r="I903" s="18"/>
      <c r="J903" s="18"/>
      <c r="K903" s="18"/>
      <c r="L903" s="18"/>
      <c r="M903" s="18"/>
    </row>
    <row r="904">
      <c r="I904" s="18"/>
      <c r="J904" s="18"/>
      <c r="K904" s="18"/>
      <c r="L904" s="18"/>
      <c r="M904" s="18"/>
    </row>
    <row r="905">
      <c r="I905" s="18"/>
      <c r="J905" s="18"/>
      <c r="K905" s="18"/>
      <c r="L905" s="18"/>
      <c r="M905" s="18"/>
    </row>
    <row r="906">
      <c r="I906" s="18"/>
      <c r="J906" s="18"/>
      <c r="K906" s="18"/>
      <c r="L906" s="18"/>
      <c r="M906" s="18"/>
    </row>
    <row r="907">
      <c r="I907" s="18"/>
      <c r="J907" s="18"/>
      <c r="K907" s="18"/>
      <c r="L907" s="18"/>
      <c r="M907" s="18"/>
    </row>
    <row r="908">
      <c r="I908" s="18"/>
      <c r="J908" s="18"/>
      <c r="K908" s="18"/>
      <c r="L908" s="18"/>
      <c r="M908" s="18"/>
    </row>
    <row r="909">
      <c r="I909" s="18"/>
      <c r="J909" s="18"/>
      <c r="K909" s="18"/>
      <c r="L909" s="18"/>
      <c r="M909" s="18"/>
    </row>
    <row r="910">
      <c r="I910" s="18"/>
      <c r="J910" s="18"/>
      <c r="K910" s="18"/>
      <c r="L910" s="18"/>
      <c r="M910" s="18"/>
    </row>
    <row r="911">
      <c r="I911" s="18"/>
      <c r="J911" s="18"/>
      <c r="K911" s="18"/>
      <c r="L911" s="18"/>
      <c r="M911" s="18"/>
    </row>
    <row r="912">
      <c r="I912" s="18"/>
      <c r="J912" s="18"/>
      <c r="K912" s="18"/>
      <c r="L912" s="18"/>
      <c r="M912" s="18"/>
    </row>
    <row r="913">
      <c r="I913" s="18"/>
      <c r="J913" s="18"/>
      <c r="K913" s="18"/>
      <c r="L913" s="18"/>
      <c r="M913" s="18"/>
    </row>
    <row r="914">
      <c r="I914" s="18"/>
      <c r="J914" s="18"/>
      <c r="K914" s="18"/>
      <c r="L914" s="18"/>
      <c r="M914" s="18"/>
    </row>
    <row r="915">
      <c r="I915" s="18"/>
      <c r="J915" s="18"/>
      <c r="K915" s="18"/>
      <c r="L915" s="18"/>
      <c r="M915" s="18"/>
    </row>
    <row r="916">
      <c r="I916" s="18"/>
      <c r="J916" s="18"/>
      <c r="K916" s="18"/>
      <c r="L916" s="18"/>
      <c r="M916" s="18"/>
    </row>
    <row r="917">
      <c r="I917" s="18"/>
      <c r="J917" s="18"/>
      <c r="K917" s="18"/>
      <c r="L917" s="18"/>
      <c r="M917" s="18"/>
    </row>
    <row r="918">
      <c r="I918" s="18"/>
      <c r="J918" s="18"/>
      <c r="K918" s="18"/>
      <c r="L918" s="18"/>
      <c r="M918" s="18"/>
    </row>
    <row r="919">
      <c r="I919" s="18"/>
      <c r="J919" s="18"/>
      <c r="K919" s="18"/>
      <c r="L919" s="18"/>
      <c r="M919" s="18"/>
    </row>
    <row r="920">
      <c r="I920" s="18"/>
      <c r="J920" s="18"/>
      <c r="K920" s="18"/>
      <c r="L920" s="18"/>
      <c r="M920" s="18"/>
    </row>
    <row r="921">
      <c r="I921" s="18"/>
      <c r="J921" s="18"/>
      <c r="K921" s="18"/>
      <c r="L921" s="18"/>
      <c r="M921" s="18"/>
    </row>
    <row r="922">
      <c r="I922" s="18"/>
      <c r="J922" s="18"/>
      <c r="K922" s="18"/>
      <c r="L922" s="18"/>
      <c r="M922" s="18"/>
    </row>
    <row r="923">
      <c r="I923" s="18"/>
      <c r="J923" s="18"/>
      <c r="K923" s="18"/>
      <c r="L923" s="18"/>
      <c r="M923" s="18"/>
    </row>
    <row r="924">
      <c r="I924" s="18"/>
      <c r="J924" s="18"/>
      <c r="K924" s="18"/>
      <c r="L924" s="18"/>
      <c r="M924" s="18"/>
    </row>
    <row r="925">
      <c r="I925" s="18"/>
      <c r="J925" s="18"/>
      <c r="K925" s="18"/>
      <c r="L925" s="18"/>
      <c r="M925" s="18"/>
    </row>
    <row r="926">
      <c r="I926" s="18"/>
      <c r="J926" s="18"/>
      <c r="K926" s="18"/>
      <c r="L926" s="18"/>
      <c r="M926" s="18"/>
    </row>
    <row r="927">
      <c r="I927" s="18"/>
      <c r="J927" s="18"/>
      <c r="K927" s="18"/>
      <c r="L927" s="18"/>
      <c r="M927" s="18"/>
    </row>
    <row r="928">
      <c r="I928" s="18"/>
      <c r="J928" s="18"/>
      <c r="K928" s="18"/>
      <c r="L928" s="18"/>
      <c r="M928" s="18"/>
    </row>
    <row r="929">
      <c r="I929" s="18"/>
      <c r="J929" s="18"/>
      <c r="K929" s="18"/>
      <c r="L929" s="18"/>
      <c r="M929" s="18"/>
    </row>
    <row r="930">
      <c r="I930" s="18"/>
      <c r="J930" s="18"/>
      <c r="K930" s="18"/>
      <c r="L930" s="18"/>
      <c r="M930" s="18"/>
    </row>
    <row r="931">
      <c r="I931" s="18"/>
      <c r="J931" s="18"/>
      <c r="K931" s="18"/>
      <c r="L931" s="18"/>
      <c r="M931" s="18"/>
    </row>
    <row r="932">
      <c r="I932" s="18"/>
      <c r="J932" s="18"/>
      <c r="K932" s="18"/>
      <c r="L932" s="18"/>
      <c r="M932" s="18"/>
    </row>
    <row r="933">
      <c r="I933" s="18"/>
      <c r="J933" s="18"/>
      <c r="K933" s="18"/>
      <c r="L933" s="18"/>
      <c r="M933" s="18"/>
    </row>
    <row r="934">
      <c r="I934" s="18"/>
      <c r="J934" s="18"/>
      <c r="K934" s="18"/>
      <c r="L934" s="18"/>
      <c r="M934" s="18"/>
    </row>
    <row r="935">
      <c r="I935" s="18"/>
      <c r="J935" s="18"/>
      <c r="K935" s="18"/>
      <c r="L935" s="18"/>
      <c r="M935" s="18"/>
    </row>
    <row r="936">
      <c r="I936" s="18"/>
      <c r="J936" s="18"/>
      <c r="K936" s="18"/>
      <c r="L936" s="18"/>
      <c r="M936" s="18"/>
    </row>
    <row r="937">
      <c r="I937" s="18"/>
      <c r="J937" s="18"/>
      <c r="K937" s="18"/>
      <c r="L937" s="18"/>
      <c r="M937" s="18"/>
    </row>
    <row r="938">
      <c r="I938" s="18"/>
      <c r="J938" s="18"/>
      <c r="K938" s="18"/>
      <c r="L938" s="18"/>
      <c r="M938" s="18"/>
    </row>
    <row r="939">
      <c r="I939" s="18"/>
      <c r="J939" s="18"/>
      <c r="K939" s="18"/>
      <c r="L939" s="18"/>
      <c r="M939" s="18"/>
    </row>
    <row r="940">
      <c r="I940" s="18"/>
      <c r="J940" s="18"/>
      <c r="K940" s="18"/>
      <c r="L940" s="18"/>
      <c r="M940" s="18"/>
    </row>
    <row r="941">
      <c r="I941" s="18"/>
      <c r="J941" s="18"/>
      <c r="K941" s="18"/>
      <c r="L941" s="18"/>
      <c r="M941" s="18"/>
    </row>
    <row r="942">
      <c r="I942" s="18"/>
      <c r="J942" s="18"/>
      <c r="K942" s="18"/>
      <c r="L942" s="18"/>
      <c r="M942" s="18"/>
    </row>
    <row r="943">
      <c r="I943" s="18"/>
      <c r="J943" s="18"/>
      <c r="K943" s="18"/>
      <c r="L943" s="18"/>
      <c r="M943" s="18"/>
    </row>
    <row r="944">
      <c r="I944" s="18"/>
      <c r="J944" s="18"/>
      <c r="K944" s="18"/>
      <c r="L944" s="18"/>
      <c r="M944" s="18"/>
    </row>
    <row r="945">
      <c r="I945" s="18"/>
      <c r="J945" s="18"/>
      <c r="K945" s="18"/>
      <c r="L945" s="18"/>
      <c r="M945" s="18"/>
    </row>
    <row r="946">
      <c r="I946" s="18"/>
      <c r="J946" s="18"/>
      <c r="K946" s="18"/>
      <c r="L946" s="18"/>
      <c r="M946" s="18"/>
    </row>
    <row r="947">
      <c r="I947" s="18"/>
      <c r="J947" s="18"/>
      <c r="K947" s="18"/>
      <c r="L947" s="18"/>
      <c r="M947" s="18"/>
    </row>
    <row r="948">
      <c r="I948" s="18"/>
      <c r="J948" s="18"/>
      <c r="K948" s="18"/>
      <c r="L948" s="18"/>
      <c r="M948" s="18"/>
    </row>
    <row r="949">
      <c r="I949" s="18"/>
      <c r="J949" s="18"/>
      <c r="K949" s="18"/>
      <c r="L949" s="18"/>
      <c r="M949" s="18"/>
    </row>
    <row r="950">
      <c r="I950" s="18"/>
      <c r="J950" s="18"/>
      <c r="K950" s="18"/>
      <c r="L950" s="18"/>
      <c r="M950" s="18"/>
    </row>
    <row r="951">
      <c r="I951" s="18"/>
      <c r="J951" s="18"/>
      <c r="K951" s="18"/>
      <c r="L951" s="18"/>
      <c r="M951" s="18"/>
    </row>
    <row r="952">
      <c r="I952" s="18"/>
      <c r="J952" s="18"/>
      <c r="K952" s="18"/>
      <c r="L952" s="18"/>
      <c r="M952" s="18"/>
    </row>
    <row r="953">
      <c r="I953" s="18"/>
      <c r="J953" s="18"/>
      <c r="K953" s="18"/>
      <c r="L953" s="18"/>
      <c r="M953" s="18"/>
    </row>
    <row r="954">
      <c r="I954" s="18"/>
      <c r="J954" s="18"/>
      <c r="K954" s="18"/>
      <c r="L954" s="18"/>
      <c r="M954" s="18"/>
    </row>
    <row r="955">
      <c r="I955" s="18"/>
      <c r="J955" s="18"/>
      <c r="K955" s="18"/>
      <c r="L955" s="18"/>
      <c r="M955" s="18"/>
    </row>
    <row r="956">
      <c r="I956" s="18"/>
      <c r="J956" s="18"/>
      <c r="K956" s="18"/>
      <c r="L956" s="18"/>
      <c r="M956" s="18"/>
    </row>
    <row r="957">
      <c r="I957" s="18"/>
      <c r="J957" s="18"/>
      <c r="K957" s="18"/>
      <c r="L957" s="18"/>
      <c r="M957" s="18"/>
    </row>
    <row r="958">
      <c r="I958" s="18"/>
      <c r="J958" s="18"/>
      <c r="K958" s="18"/>
      <c r="L958" s="18"/>
      <c r="M958" s="18"/>
    </row>
    <row r="959">
      <c r="I959" s="18"/>
      <c r="J959" s="18"/>
      <c r="K959" s="18"/>
      <c r="L959" s="18"/>
      <c r="M959" s="18"/>
    </row>
    <row r="960">
      <c r="I960" s="18"/>
      <c r="J960" s="18"/>
      <c r="K960" s="18"/>
      <c r="L960" s="18"/>
      <c r="M960" s="18"/>
    </row>
    <row r="961">
      <c r="I961" s="18"/>
      <c r="J961" s="18"/>
      <c r="K961" s="18"/>
      <c r="L961" s="18"/>
      <c r="M961" s="18"/>
    </row>
    <row r="962">
      <c r="I962" s="18"/>
      <c r="J962" s="18"/>
      <c r="K962" s="18"/>
      <c r="L962" s="18"/>
      <c r="M962" s="18"/>
    </row>
    <row r="963">
      <c r="I963" s="18"/>
      <c r="J963" s="18"/>
      <c r="K963" s="18"/>
      <c r="L963" s="18"/>
      <c r="M963" s="18"/>
    </row>
    <row r="964">
      <c r="I964" s="18"/>
      <c r="J964" s="18"/>
      <c r="K964" s="18"/>
      <c r="L964" s="18"/>
      <c r="M964" s="18"/>
    </row>
    <row r="965">
      <c r="I965" s="18"/>
      <c r="J965" s="18"/>
      <c r="K965" s="18"/>
      <c r="L965" s="18"/>
      <c r="M965" s="18"/>
    </row>
    <row r="966">
      <c r="I966" s="18"/>
      <c r="J966" s="18"/>
      <c r="K966" s="18"/>
      <c r="L966" s="18"/>
      <c r="M966" s="18"/>
    </row>
    <row r="967">
      <c r="I967" s="18"/>
      <c r="J967" s="18"/>
      <c r="K967" s="18"/>
      <c r="L967" s="18"/>
      <c r="M967" s="18"/>
    </row>
    <row r="968">
      <c r="I968" s="18"/>
      <c r="J968" s="18"/>
      <c r="K968" s="18"/>
      <c r="L968" s="18"/>
      <c r="M968" s="18"/>
    </row>
    <row r="969">
      <c r="I969" s="18"/>
      <c r="J969" s="18"/>
      <c r="K969" s="18"/>
      <c r="L969" s="18"/>
      <c r="M969" s="18"/>
    </row>
    <row r="970">
      <c r="I970" s="18"/>
      <c r="J970" s="18"/>
      <c r="K970" s="18"/>
      <c r="L970" s="18"/>
      <c r="M970" s="18"/>
    </row>
    <row r="971">
      <c r="I971" s="18"/>
      <c r="J971" s="18"/>
      <c r="K971" s="18"/>
      <c r="L971" s="18"/>
      <c r="M971" s="18"/>
    </row>
    <row r="972">
      <c r="I972" s="18"/>
      <c r="J972" s="18"/>
      <c r="K972" s="18"/>
      <c r="L972" s="18"/>
      <c r="M972" s="18"/>
    </row>
    <row r="973">
      <c r="I973" s="18"/>
      <c r="J973" s="18"/>
      <c r="K973" s="18"/>
      <c r="L973" s="18"/>
      <c r="M973" s="18"/>
    </row>
    <row r="974">
      <c r="I974" s="18"/>
      <c r="J974" s="18"/>
      <c r="K974" s="18"/>
      <c r="L974" s="18"/>
      <c r="M974" s="18"/>
    </row>
    <row r="975">
      <c r="I975" s="18"/>
      <c r="J975" s="18"/>
      <c r="K975" s="18"/>
      <c r="L975" s="18"/>
      <c r="M975" s="18"/>
    </row>
    <row r="976">
      <c r="I976" s="18"/>
      <c r="J976" s="18"/>
      <c r="K976" s="18"/>
      <c r="L976" s="18"/>
      <c r="M976" s="18"/>
    </row>
    <row r="977">
      <c r="I977" s="18"/>
      <c r="J977" s="18"/>
      <c r="K977" s="18"/>
      <c r="L977" s="18"/>
      <c r="M977" s="18"/>
    </row>
    <row r="978">
      <c r="I978" s="18"/>
      <c r="J978" s="18"/>
      <c r="K978" s="18"/>
      <c r="L978" s="18"/>
      <c r="M978" s="18"/>
    </row>
    <row r="979">
      <c r="I979" s="18"/>
      <c r="J979" s="18"/>
      <c r="K979" s="18"/>
      <c r="L979" s="18"/>
      <c r="M979" s="18"/>
    </row>
    <row r="980">
      <c r="I980" s="18"/>
      <c r="J980" s="18"/>
      <c r="K980" s="18"/>
      <c r="L980" s="18"/>
      <c r="M980" s="18"/>
    </row>
    <row r="981">
      <c r="I981" s="18"/>
      <c r="J981" s="18"/>
      <c r="K981" s="18"/>
      <c r="L981" s="18"/>
      <c r="M981" s="18"/>
    </row>
    <row r="982">
      <c r="I982" s="18"/>
      <c r="J982" s="18"/>
      <c r="K982" s="18"/>
      <c r="L982" s="18"/>
      <c r="M982" s="18"/>
    </row>
    <row r="983">
      <c r="I983" s="18"/>
      <c r="J983" s="18"/>
      <c r="K983" s="18"/>
      <c r="L983" s="18"/>
      <c r="M983" s="18"/>
    </row>
    <row r="984">
      <c r="I984" s="18"/>
      <c r="J984" s="18"/>
      <c r="K984" s="18"/>
      <c r="L984" s="18"/>
      <c r="M984" s="18"/>
    </row>
    <row r="985">
      <c r="I985" s="18"/>
      <c r="J985" s="18"/>
      <c r="K985" s="18"/>
      <c r="L985" s="18"/>
      <c r="M985" s="18"/>
    </row>
    <row r="986">
      <c r="I986" s="18"/>
      <c r="J986" s="18"/>
      <c r="K986" s="18"/>
      <c r="L986" s="18"/>
      <c r="M986" s="18"/>
    </row>
    <row r="987">
      <c r="I987" s="18"/>
      <c r="J987" s="18"/>
      <c r="K987" s="18"/>
      <c r="L987" s="18"/>
      <c r="M987" s="18"/>
    </row>
    <row r="988">
      <c r="I988" s="18"/>
      <c r="J988" s="18"/>
      <c r="K988" s="18"/>
      <c r="L988" s="18"/>
      <c r="M988" s="18"/>
    </row>
    <row r="989">
      <c r="I989" s="18"/>
      <c r="J989" s="18"/>
      <c r="K989" s="18"/>
      <c r="L989" s="18"/>
      <c r="M989" s="18"/>
    </row>
    <row r="990">
      <c r="I990" s="18"/>
      <c r="J990" s="18"/>
      <c r="K990" s="18"/>
      <c r="L990" s="18"/>
      <c r="M990" s="18"/>
    </row>
    <row r="991">
      <c r="I991" s="18"/>
      <c r="J991" s="18"/>
      <c r="K991" s="18"/>
      <c r="L991" s="18"/>
      <c r="M991" s="18"/>
    </row>
    <row r="992">
      <c r="I992" s="18"/>
      <c r="J992" s="18"/>
      <c r="K992" s="18"/>
      <c r="L992" s="18"/>
      <c r="M992" s="18"/>
    </row>
    <row r="993">
      <c r="I993" s="18"/>
      <c r="J993" s="18"/>
      <c r="K993" s="18"/>
      <c r="L993" s="18"/>
      <c r="M993" s="18"/>
    </row>
    <row r="994">
      <c r="I994" s="18"/>
      <c r="J994" s="18"/>
      <c r="K994" s="18"/>
      <c r="L994" s="18"/>
      <c r="M994" s="18"/>
    </row>
    <row r="995">
      <c r="I995" s="18"/>
      <c r="J995" s="18"/>
      <c r="K995" s="18"/>
      <c r="L995" s="18"/>
      <c r="M995" s="18"/>
    </row>
    <row r="996">
      <c r="I996" s="18"/>
      <c r="J996" s="18"/>
      <c r="K996" s="18"/>
      <c r="L996" s="18"/>
      <c r="M996" s="18"/>
    </row>
    <row r="997">
      <c r="I997" s="18"/>
      <c r="J997" s="18"/>
      <c r="K997" s="18"/>
      <c r="L997" s="18"/>
      <c r="M997" s="18"/>
    </row>
    <row r="998">
      <c r="I998" s="18"/>
      <c r="J998" s="18"/>
      <c r="K998" s="18"/>
      <c r="L998" s="18"/>
      <c r="M998" s="18"/>
    </row>
    <row r="999">
      <c r="I999" s="18"/>
      <c r="J999" s="18"/>
      <c r="K999" s="18"/>
      <c r="L999" s="18"/>
      <c r="M999" s="18"/>
    </row>
    <row r="1000">
      <c r="I1000" s="18"/>
      <c r="J1000" s="18"/>
      <c r="K1000" s="18"/>
      <c r="L1000" s="18"/>
      <c r="M1000" s="18"/>
    </row>
    <row r="1001">
      <c r="I1001" s="18"/>
      <c r="J1001" s="18"/>
      <c r="K1001" s="18"/>
      <c r="L1001" s="18"/>
      <c r="M1001" s="18"/>
    </row>
    <row r="1002">
      <c r="I1002" s="18"/>
      <c r="J1002" s="18"/>
      <c r="K1002" s="18"/>
      <c r="L1002" s="18"/>
      <c r="M1002" s="18"/>
    </row>
    <row r="1003">
      <c r="I1003" s="18"/>
      <c r="J1003" s="18"/>
      <c r="K1003" s="18"/>
      <c r="L1003" s="18"/>
      <c r="M1003" s="18"/>
    </row>
  </sheetData>
  <mergeCells count="8">
    <mergeCell ref="A1:N2"/>
    <mergeCell ref="A3:H3"/>
    <mergeCell ref="A5:A10"/>
    <mergeCell ref="B5:B33"/>
    <mergeCell ref="B34:B56"/>
    <mergeCell ref="B57:B78"/>
    <mergeCell ref="B79:B123"/>
    <mergeCell ref="B124:B15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5" max="5" width="11.5"/>
    <col customWidth="1" min="13" max="13" width="14.0"/>
    <col customWidth="1" min="14" max="14" width="30.13"/>
  </cols>
  <sheetData>
    <row r="1">
      <c r="A1" s="140" t="s">
        <v>669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28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/>
      <c r="J3" s="15"/>
      <c r="K3" s="15"/>
      <c r="L3" s="15"/>
      <c r="M3" s="15"/>
      <c r="N3" s="141" t="s">
        <v>652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670</v>
      </c>
      <c r="J4" s="15" t="s">
        <v>671</v>
      </c>
      <c r="K4" s="15" t="s">
        <v>672</v>
      </c>
      <c r="L4" s="15" t="s">
        <v>673</v>
      </c>
      <c r="M4" s="15" t="s">
        <v>674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4" t="s">
        <v>675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419.0</v>
      </c>
      <c r="I6" s="32"/>
      <c r="J6" s="32"/>
      <c r="K6" s="32"/>
      <c r="L6" s="32"/>
      <c r="M6" s="32"/>
      <c r="N6" s="32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409.0</v>
      </c>
      <c r="I7" s="32"/>
      <c r="J7" s="32"/>
      <c r="K7" s="32"/>
      <c r="L7" s="32"/>
      <c r="M7" s="32"/>
      <c r="N7" s="32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459.0</v>
      </c>
      <c r="I8" s="32"/>
      <c r="J8" s="40"/>
      <c r="K8" s="15"/>
      <c r="L8" s="15"/>
      <c r="M8" s="32"/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32"/>
      <c r="J9" s="40"/>
      <c r="K9" s="15"/>
      <c r="L9" s="15"/>
      <c r="M9" s="32"/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559.0</v>
      </c>
      <c r="I10" s="57" t="s">
        <v>666</v>
      </c>
      <c r="J10" s="40"/>
      <c r="K10" s="15"/>
      <c r="L10" s="15"/>
      <c r="M10" s="32"/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609.0</v>
      </c>
      <c r="I11" s="57" t="s">
        <v>666</v>
      </c>
      <c r="J11" s="40"/>
      <c r="K11" s="15"/>
      <c r="L11" s="15"/>
      <c r="M11" s="32"/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38</v>
      </c>
      <c r="D12" s="15" t="s">
        <v>39</v>
      </c>
      <c r="E12" s="15" t="s">
        <v>40</v>
      </c>
      <c r="F12" s="29">
        <v>699.0</v>
      </c>
      <c r="G12" s="30">
        <v>999.0</v>
      </c>
      <c r="H12" s="31">
        <v>999.0</v>
      </c>
      <c r="I12" s="57" t="s">
        <v>667</v>
      </c>
      <c r="J12" s="40"/>
      <c r="K12" s="15"/>
      <c r="L12" s="15"/>
      <c r="M12" s="32"/>
      <c r="N12" s="3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42</v>
      </c>
      <c r="D13" s="15" t="s">
        <v>43</v>
      </c>
      <c r="E13" s="15" t="s">
        <v>44</v>
      </c>
      <c r="F13" s="35">
        <f>F12+50</f>
        <v>749</v>
      </c>
      <c r="G13" s="30">
        <v>1049.0</v>
      </c>
      <c r="H13" s="31">
        <v>1049.0</v>
      </c>
      <c r="I13" s="57" t="s">
        <v>667</v>
      </c>
      <c r="J13" s="40"/>
      <c r="K13" s="15"/>
      <c r="L13" s="15"/>
      <c r="M13" s="32"/>
      <c r="N13" s="32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1" t="s">
        <v>17</v>
      </c>
      <c r="D14" s="22" t="s">
        <v>17</v>
      </c>
      <c r="E14" s="23" t="s">
        <v>45</v>
      </c>
      <c r="F14" s="24" t="s">
        <v>17</v>
      </c>
      <c r="G14" s="24" t="s">
        <v>17</v>
      </c>
      <c r="H14" s="25" t="s">
        <v>17</v>
      </c>
      <c r="I14" s="25" t="s">
        <v>17</v>
      </c>
      <c r="J14" s="25" t="s">
        <v>17</v>
      </c>
      <c r="K14" s="25" t="s">
        <v>17</v>
      </c>
      <c r="L14" s="25" t="s">
        <v>17</v>
      </c>
      <c r="M14" s="25" t="s">
        <v>17</v>
      </c>
      <c r="N14" s="25" t="s">
        <v>17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46</v>
      </c>
      <c r="D15" s="40" t="s">
        <v>47</v>
      </c>
      <c r="E15" s="15" t="s">
        <v>48</v>
      </c>
      <c r="F15" s="35">
        <f t="shared" ref="F15:F33" si="2">G15*0.9</f>
        <v>71.991</v>
      </c>
      <c r="G15" s="41">
        <v>79.99</v>
      </c>
      <c r="H15" s="42">
        <v>91.25</v>
      </c>
      <c r="I15" s="32"/>
      <c r="J15" s="40"/>
      <c r="K15" s="15"/>
      <c r="L15" s="15"/>
      <c r="M15" s="32"/>
      <c r="N15" s="32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49</v>
      </c>
      <c r="D16" s="40" t="s">
        <v>50</v>
      </c>
      <c r="E16" s="15" t="s">
        <v>51</v>
      </c>
      <c r="F16" s="35">
        <f t="shared" si="2"/>
        <v>103.491</v>
      </c>
      <c r="G16" s="41">
        <v>114.99</v>
      </c>
      <c r="H16" s="42">
        <v>130.95</v>
      </c>
      <c r="I16" s="32"/>
      <c r="J16" s="40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52</v>
      </c>
      <c r="D17" s="40" t="s">
        <v>53</v>
      </c>
      <c r="E17" s="15" t="s">
        <v>54</v>
      </c>
      <c r="F17" s="35">
        <f t="shared" si="2"/>
        <v>40.455</v>
      </c>
      <c r="G17" s="41">
        <v>44.95</v>
      </c>
      <c r="H17" s="42">
        <v>56.95</v>
      </c>
      <c r="I17" s="32"/>
      <c r="J17" s="40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55</v>
      </c>
      <c r="D18" s="40" t="s">
        <v>56</v>
      </c>
      <c r="E18" s="15" t="s">
        <v>57</v>
      </c>
      <c r="F18" s="35">
        <f t="shared" si="2"/>
        <v>13.491</v>
      </c>
      <c r="G18" s="41">
        <v>14.99</v>
      </c>
      <c r="H18" s="42">
        <v>26.95</v>
      </c>
      <c r="I18" s="32"/>
      <c r="J18" s="40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58</v>
      </c>
      <c r="D19" s="40" t="s">
        <v>59</v>
      </c>
      <c r="E19" s="15" t="s">
        <v>60</v>
      </c>
      <c r="F19" s="35">
        <f t="shared" si="2"/>
        <v>40.455</v>
      </c>
      <c r="G19" s="41">
        <v>44.95</v>
      </c>
      <c r="H19" s="42">
        <v>57.95</v>
      </c>
      <c r="I19" s="32"/>
      <c r="J19" s="40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61</v>
      </c>
      <c r="D20" s="40" t="s">
        <v>62</v>
      </c>
      <c r="E20" s="15" t="s">
        <v>63</v>
      </c>
      <c r="F20" s="35">
        <f t="shared" si="2"/>
        <v>137.691</v>
      </c>
      <c r="G20" s="41">
        <v>152.99</v>
      </c>
      <c r="H20" s="31">
        <v>178.0</v>
      </c>
      <c r="I20" s="32"/>
      <c r="J20" s="40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64</v>
      </c>
      <c r="D21" s="40" t="s">
        <v>65</v>
      </c>
      <c r="E21" s="15" t="s">
        <v>66</v>
      </c>
      <c r="F21" s="35">
        <f t="shared" si="2"/>
        <v>53.955</v>
      </c>
      <c r="G21" s="41">
        <v>59.95</v>
      </c>
      <c r="H21" s="42">
        <v>73.95</v>
      </c>
      <c r="I21" s="32"/>
      <c r="J21" s="40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67</v>
      </c>
      <c r="D22" s="40" t="s">
        <v>68</v>
      </c>
      <c r="E22" s="15" t="s">
        <v>69</v>
      </c>
      <c r="F22" s="35">
        <f t="shared" si="2"/>
        <v>17.955</v>
      </c>
      <c r="G22" s="41">
        <v>19.95</v>
      </c>
      <c r="H22" s="42">
        <v>27.95</v>
      </c>
      <c r="I22" s="32"/>
      <c r="J22" s="40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70</v>
      </c>
      <c r="D23" s="40" t="s">
        <v>71</v>
      </c>
      <c r="E23" s="15" t="s">
        <v>72</v>
      </c>
      <c r="F23" s="35">
        <f t="shared" si="2"/>
        <v>53.955</v>
      </c>
      <c r="G23" s="41">
        <v>59.95</v>
      </c>
      <c r="H23" s="42">
        <v>73.95</v>
      </c>
      <c r="I23" s="32"/>
      <c r="J23" s="40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73</v>
      </c>
      <c r="D24" s="40" t="s">
        <v>74</v>
      </c>
      <c r="E24" s="15" t="s">
        <v>75</v>
      </c>
      <c r="F24" s="35">
        <f t="shared" si="2"/>
        <v>287.091</v>
      </c>
      <c r="G24" s="41">
        <v>318.99</v>
      </c>
      <c r="H24" s="42">
        <v>343.99</v>
      </c>
      <c r="I24" s="32"/>
      <c r="J24" s="40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76</v>
      </c>
      <c r="D25" s="40" t="s">
        <v>77</v>
      </c>
      <c r="E25" s="15" t="s">
        <v>78</v>
      </c>
      <c r="F25" s="35">
        <f t="shared" si="2"/>
        <v>112.5</v>
      </c>
      <c r="G25" s="30">
        <v>125.0</v>
      </c>
      <c r="H25" s="42">
        <v>140.95</v>
      </c>
      <c r="I25" s="32"/>
      <c r="J25" s="40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79</v>
      </c>
      <c r="D26" s="40" t="s">
        <v>80</v>
      </c>
      <c r="E26" s="15" t="s">
        <v>81</v>
      </c>
      <c r="F26" s="35">
        <f t="shared" si="2"/>
        <v>31.5</v>
      </c>
      <c r="G26" s="30">
        <v>35.0</v>
      </c>
      <c r="H26" s="42">
        <v>46.95</v>
      </c>
      <c r="I26" s="32"/>
      <c r="J26" s="40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82</v>
      </c>
      <c r="D27" s="40" t="s">
        <v>83</v>
      </c>
      <c r="E27" s="15" t="s">
        <v>84</v>
      </c>
      <c r="F27" s="35">
        <f t="shared" si="2"/>
        <v>112.5</v>
      </c>
      <c r="G27" s="30">
        <v>125.0</v>
      </c>
      <c r="H27" s="42">
        <v>142.95</v>
      </c>
      <c r="I27" s="32"/>
      <c r="J27" s="40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85</v>
      </c>
      <c r="D28" s="40" t="s">
        <v>86</v>
      </c>
      <c r="E28" s="15" t="s">
        <v>87</v>
      </c>
      <c r="F28" s="35">
        <f t="shared" si="2"/>
        <v>44.955</v>
      </c>
      <c r="G28" s="41">
        <v>49.95</v>
      </c>
      <c r="H28" s="42">
        <v>59.95</v>
      </c>
      <c r="I28" s="32"/>
      <c r="J28" s="40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88</v>
      </c>
      <c r="D29" s="40" t="s">
        <v>89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40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90</v>
      </c>
      <c r="D30" s="40" t="s">
        <v>91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92</v>
      </c>
      <c r="D31" s="40" t="s">
        <v>93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94</v>
      </c>
      <c r="D32" s="40" t="s">
        <v>95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96</v>
      </c>
      <c r="D33" s="40" t="s">
        <v>97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40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0" t="s">
        <v>98</v>
      </c>
      <c r="C34" s="21" t="s">
        <v>17</v>
      </c>
      <c r="D34" s="22" t="s">
        <v>17</v>
      </c>
      <c r="E34" s="23" t="s">
        <v>99</v>
      </c>
      <c r="F34" s="24" t="s">
        <v>17</v>
      </c>
      <c r="G34" s="24" t="s">
        <v>17</v>
      </c>
      <c r="H34" s="25" t="s">
        <v>17</v>
      </c>
      <c r="I34" s="25" t="s">
        <v>17</v>
      </c>
      <c r="J34" s="25" t="s">
        <v>17</v>
      </c>
      <c r="K34" s="25" t="s">
        <v>17</v>
      </c>
      <c r="L34" s="25" t="s">
        <v>17</v>
      </c>
      <c r="M34" s="25" t="s">
        <v>17</v>
      </c>
      <c r="N34" s="25" t="s">
        <v>17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43" t="s">
        <v>100</v>
      </c>
      <c r="D35" s="15" t="s">
        <v>101</v>
      </c>
      <c r="E35" s="15" t="s">
        <v>102</v>
      </c>
      <c r="F35" s="35">
        <f t="shared" ref="F35:F36" si="3">G35*0.8</f>
        <v>359.2</v>
      </c>
      <c r="G35" s="41">
        <v>449.0</v>
      </c>
      <c r="H35" s="31">
        <v>475.0</v>
      </c>
      <c r="I35" s="57" t="s">
        <v>676</v>
      </c>
      <c r="J35" s="44"/>
      <c r="K35" s="44"/>
      <c r="L35" s="44"/>
      <c r="M35" s="32"/>
      <c r="N35" s="32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45" t="s">
        <v>103</v>
      </c>
      <c r="D36" s="15" t="s">
        <v>104</v>
      </c>
      <c r="E36" s="15" t="s">
        <v>105</v>
      </c>
      <c r="F36" s="35">
        <f t="shared" si="3"/>
        <v>375.2</v>
      </c>
      <c r="G36" s="41">
        <v>469.0</v>
      </c>
      <c r="H36" s="31">
        <v>495.0</v>
      </c>
      <c r="I36" s="57" t="s">
        <v>676</v>
      </c>
      <c r="J36" s="44"/>
      <c r="K36" s="44"/>
      <c r="L36" s="44"/>
      <c r="M36" s="32"/>
      <c r="N36" s="32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106</v>
      </c>
      <c r="D37" s="15" t="s">
        <v>107</v>
      </c>
      <c r="E37" s="15" t="s">
        <v>108</v>
      </c>
      <c r="F37" s="35"/>
      <c r="G37" s="46"/>
      <c r="H37" s="31">
        <v>490.0</v>
      </c>
      <c r="I37" s="57" t="s">
        <v>676</v>
      </c>
      <c r="J37" s="44"/>
      <c r="K37" s="44"/>
      <c r="L37" s="44"/>
      <c r="M37" s="32"/>
      <c r="N37" s="32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109</v>
      </c>
      <c r="D38" s="15" t="s">
        <v>110</v>
      </c>
      <c r="E38" s="15" t="s">
        <v>111</v>
      </c>
      <c r="F38" s="35">
        <f t="shared" ref="F38:F41" si="4">G38*0.8</f>
        <v>399.2</v>
      </c>
      <c r="G38" s="41">
        <v>499.0</v>
      </c>
      <c r="H38" s="31">
        <v>525.0</v>
      </c>
      <c r="I38" s="57" t="s">
        <v>676</v>
      </c>
      <c r="J38" s="44"/>
      <c r="K38" s="44"/>
      <c r="L38" s="44"/>
      <c r="M38" s="32"/>
      <c r="N38" s="32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112</v>
      </c>
      <c r="D39" s="15" t="s">
        <v>113</v>
      </c>
      <c r="E39" s="15" t="s">
        <v>114</v>
      </c>
      <c r="F39" s="35">
        <f t="shared" si="4"/>
        <v>415.2</v>
      </c>
      <c r="G39" s="41">
        <v>519.0</v>
      </c>
      <c r="H39" s="31">
        <v>545.0</v>
      </c>
      <c r="I39" s="57" t="s">
        <v>676</v>
      </c>
      <c r="J39" s="44"/>
      <c r="K39" s="44"/>
      <c r="L39" s="44"/>
      <c r="M39" s="32"/>
      <c r="N39" s="32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115</v>
      </c>
      <c r="D40" s="15" t="s">
        <v>116</v>
      </c>
      <c r="E40" s="15" t="s">
        <v>117</v>
      </c>
      <c r="F40" s="35">
        <f t="shared" si="4"/>
        <v>287.2</v>
      </c>
      <c r="G40" s="41">
        <v>359.0</v>
      </c>
      <c r="H40" s="31">
        <v>375.0</v>
      </c>
      <c r="I40" s="57" t="s">
        <v>676</v>
      </c>
      <c r="J40" s="44"/>
      <c r="K40" s="44"/>
      <c r="L40" s="44"/>
      <c r="M40" s="32"/>
      <c r="N40" s="32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118</v>
      </c>
      <c r="D41" s="15" t="s">
        <v>119</v>
      </c>
      <c r="E41" s="15" t="s">
        <v>120</v>
      </c>
      <c r="F41" s="35">
        <f t="shared" si="4"/>
        <v>303.2</v>
      </c>
      <c r="G41" s="48">
        <v>379.0</v>
      </c>
      <c r="H41" s="31">
        <v>395.0</v>
      </c>
      <c r="I41" s="57" t="s">
        <v>676</v>
      </c>
      <c r="J41" s="44"/>
      <c r="K41" s="44"/>
      <c r="L41" s="44"/>
      <c r="M41" s="32"/>
      <c r="N41" s="32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463</v>
      </c>
      <c r="D42" s="15" t="s">
        <v>464</v>
      </c>
      <c r="E42" s="15" t="s">
        <v>465</v>
      </c>
      <c r="F42" s="35"/>
      <c r="G42" s="47"/>
      <c r="H42" s="31">
        <v>425.0</v>
      </c>
      <c r="I42" s="57" t="s">
        <v>676</v>
      </c>
      <c r="J42" s="44"/>
      <c r="K42" s="44"/>
      <c r="L42" s="44"/>
      <c r="M42" s="32"/>
      <c r="N42" s="32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95" t="s">
        <v>466</v>
      </c>
      <c r="D43" s="96" t="s">
        <v>467</v>
      </c>
      <c r="E43" s="15" t="s">
        <v>468</v>
      </c>
      <c r="F43" s="35"/>
      <c r="G43" s="47"/>
      <c r="H43" s="31">
        <v>445.0</v>
      </c>
      <c r="I43" s="57" t="s">
        <v>676</v>
      </c>
      <c r="J43" s="44"/>
      <c r="K43" s="44"/>
      <c r="L43" s="44"/>
      <c r="M43" s="32"/>
      <c r="N43" s="32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121</v>
      </c>
      <c r="D44" s="15" t="s">
        <v>122</v>
      </c>
      <c r="E44" s="15" t="s">
        <v>123</v>
      </c>
      <c r="F44" s="35">
        <f t="shared" ref="F44:F45" si="5">G44*0.8</f>
        <v>287.2</v>
      </c>
      <c r="G44" s="41">
        <v>359.0</v>
      </c>
      <c r="H44" s="31">
        <v>375.0</v>
      </c>
      <c r="I44" s="57" t="s">
        <v>676</v>
      </c>
      <c r="J44" s="44"/>
      <c r="K44" s="44"/>
      <c r="L44" s="44"/>
      <c r="M44" s="32"/>
      <c r="N44" s="32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124</v>
      </c>
      <c r="D45" s="15" t="s">
        <v>125</v>
      </c>
      <c r="E45" s="15" t="s">
        <v>126</v>
      </c>
      <c r="F45" s="35">
        <f t="shared" si="5"/>
        <v>303.2</v>
      </c>
      <c r="G45" s="48">
        <v>379.0</v>
      </c>
      <c r="H45" s="31">
        <v>395.0</v>
      </c>
      <c r="I45" s="57" t="s">
        <v>676</v>
      </c>
      <c r="J45" s="44"/>
      <c r="K45" s="44"/>
      <c r="L45" s="44"/>
      <c r="M45" s="32"/>
      <c r="N45" s="32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1" t="s">
        <v>17</v>
      </c>
      <c r="D46" s="22" t="s">
        <v>17</v>
      </c>
      <c r="E46" s="23" t="s">
        <v>127</v>
      </c>
      <c r="F46" s="24" t="s">
        <v>17</v>
      </c>
      <c r="G46" s="24" t="s">
        <v>17</v>
      </c>
      <c r="H46" s="25" t="s">
        <v>17</v>
      </c>
      <c r="I46" s="25" t="s">
        <v>17</v>
      </c>
      <c r="J46" s="25" t="s">
        <v>17</v>
      </c>
      <c r="K46" s="25" t="s">
        <v>17</v>
      </c>
      <c r="L46" s="25" t="s">
        <v>17</v>
      </c>
      <c r="M46" s="25" t="s">
        <v>17</v>
      </c>
      <c r="N46" s="25" t="s">
        <v>17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128</v>
      </c>
      <c r="D47" s="49" t="s">
        <v>129</v>
      </c>
      <c r="E47" s="32" t="s">
        <v>130</v>
      </c>
      <c r="F47" s="50">
        <f t="shared" ref="F47:F56" si="6">H47</f>
        <v>59.95</v>
      </c>
      <c r="G47" s="51">
        <f t="shared" ref="G47:G56" si="7">H47</f>
        <v>59.95</v>
      </c>
      <c r="H47" s="52">
        <v>59.95</v>
      </c>
      <c r="I47" s="32"/>
      <c r="J47" s="44"/>
      <c r="K47" s="44"/>
      <c r="L47" s="44"/>
      <c r="M47" s="32"/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131</v>
      </c>
      <c r="D48" s="15" t="s">
        <v>132</v>
      </c>
      <c r="E48" s="32" t="s">
        <v>133</v>
      </c>
      <c r="F48" s="50">
        <f t="shared" si="6"/>
        <v>59.95</v>
      </c>
      <c r="G48" s="51">
        <f t="shared" si="7"/>
        <v>59.95</v>
      </c>
      <c r="H48" s="52">
        <v>59.95</v>
      </c>
      <c r="I48" s="32"/>
      <c r="J48" s="44"/>
      <c r="K48" s="44"/>
      <c r="L48" s="44"/>
      <c r="M48" s="32"/>
      <c r="N48" s="32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134</v>
      </c>
      <c r="D49" s="15" t="s">
        <v>135</v>
      </c>
      <c r="E49" s="32" t="s">
        <v>136</v>
      </c>
      <c r="F49" s="50">
        <f t="shared" si="6"/>
        <v>33.95</v>
      </c>
      <c r="G49" s="51">
        <f t="shared" si="7"/>
        <v>33.95</v>
      </c>
      <c r="H49" s="52">
        <v>33.95</v>
      </c>
      <c r="I49" s="32"/>
      <c r="J49" s="32"/>
      <c r="K49" s="32"/>
      <c r="L49" s="32"/>
      <c r="M49" s="32"/>
      <c r="N49" s="32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137</v>
      </c>
      <c r="D50" s="15" t="s">
        <v>138</v>
      </c>
      <c r="E50" s="32" t="s">
        <v>139</v>
      </c>
      <c r="F50" s="50">
        <f t="shared" si="6"/>
        <v>42.95</v>
      </c>
      <c r="G50" s="51">
        <f t="shared" si="7"/>
        <v>42.95</v>
      </c>
      <c r="H50" s="52">
        <v>42.95</v>
      </c>
      <c r="I50" s="32"/>
      <c r="J50" s="32"/>
      <c r="K50" s="32"/>
      <c r="L50" s="32"/>
      <c r="M50" s="32"/>
      <c r="N50" s="32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140</v>
      </c>
      <c r="D51" s="15" t="s">
        <v>141</v>
      </c>
      <c r="E51" s="32" t="s">
        <v>142</v>
      </c>
      <c r="F51" s="50">
        <f t="shared" si="6"/>
        <v>79.95</v>
      </c>
      <c r="G51" s="51">
        <f t="shared" si="7"/>
        <v>79.95</v>
      </c>
      <c r="H51" s="52">
        <v>79.95</v>
      </c>
      <c r="I51" s="32"/>
      <c r="J51" s="32"/>
      <c r="K51" s="32"/>
      <c r="L51" s="32"/>
      <c r="M51" s="32"/>
      <c r="N51" s="32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143</v>
      </c>
      <c r="D52" s="15" t="s">
        <v>144</v>
      </c>
      <c r="E52" s="15" t="s">
        <v>145</v>
      </c>
      <c r="F52" s="50">
        <f t="shared" si="6"/>
        <v>42.95</v>
      </c>
      <c r="G52" s="51">
        <f t="shared" si="7"/>
        <v>42.95</v>
      </c>
      <c r="H52" s="52">
        <v>42.95</v>
      </c>
      <c r="I52" s="32"/>
      <c r="J52" s="32"/>
      <c r="K52" s="32"/>
      <c r="L52" s="32"/>
      <c r="M52" s="32"/>
      <c r="N52" s="32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146</v>
      </c>
      <c r="D53" s="15" t="s">
        <v>147</v>
      </c>
      <c r="E53" s="15" t="s">
        <v>148</v>
      </c>
      <c r="F53" s="50">
        <f t="shared" si="6"/>
        <v>59.95</v>
      </c>
      <c r="G53" s="51">
        <f t="shared" si="7"/>
        <v>59.95</v>
      </c>
      <c r="H53" s="52">
        <v>59.95</v>
      </c>
      <c r="I53" s="32"/>
      <c r="J53" s="32"/>
      <c r="K53" s="32"/>
      <c r="L53" s="32"/>
      <c r="M53" s="32"/>
      <c r="N53" s="32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149</v>
      </c>
      <c r="D54" s="15" t="s">
        <v>150</v>
      </c>
      <c r="E54" s="15" t="s">
        <v>151</v>
      </c>
      <c r="F54" s="50">
        <f t="shared" si="6"/>
        <v>33.95</v>
      </c>
      <c r="G54" s="51">
        <f t="shared" si="7"/>
        <v>33.95</v>
      </c>
      <c r="H54" s="52">
        <v>33.95</v>
      </c>
      <c r="I54" s="32"/>
      <c r="J54" s="32"/>
      <c r="K54" s="32"/>
      <c r="L54" s="32"/>
      <c r="M54" s="32"/>
      <c r="N54" s="32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152</v>
      </c>
      <c r="D55" s="53" t="s">
        <v>153</v>
      </c>
      <c r="E55" s="15" t="s">
        <v>154</v>
      </c>
      <c r="F55" s="50">
        <f t="shared" si="6"/>
        <v>80</v>
      </c>
      <c r="G55" s="51">
        <f t="shared" si="7"/>
        <v>80</v>
      </c>
      <c r="H55" s="54">
        <v>80.0</v>
      </c>
      <c r="I55" s="32"/>
      <c r="J55" s="32"/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38"/>
      <c r="C56" s="28" t="s">
        <v>155</v>
      </c>
      <c r="D56" s="53" t="s">
        <v>156</v>
      </c>
      <c r="E56" s="15" t="s">
        <v>157</v>
      </c>
      <c r="F56" s="50">
        <f t="shared" si="6"/>
        <v>29.95</v>
      </c>
      <c r="G56" s="51">
        <f t="shared" si="7"/>
        <v>29.95</v>
      </c>
      <c r="H56" s="52">
        <v>29.95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0" t="s">
        <v>158</v>
      </c>
      <c r="C57" s="21" t="s">
        <v>17</v>
      </c>
      <c r="D57" s="22" t="s">
        <v>17</v>
      </c>
      <c r="E57" s="23" t="s">
        <v>159</v>
      </c>
      <c r="F57" s="24" t="s">
        <v>17</v>
      </c>
      <c r="G57" s="24" t="s">
        <v>17</v>
      </c>
      <c r="H57" s="25" t="s">
        <v>17</v>
      </c>
      <c r="I57" s="25" t="s">
        <v>17</v>
      </c>
      <c r="J57" s="25" t="s">
        <v>17</v>
      </c>
      <c r="K57" s="25" t="s">
        <v>17</v>
      </c>
      <c r="L57" s="25" t="s">
        <v>17</v>
      </c>
      <c r="M57" s="25" t="s">
        <v>17</v>
      </c>
      <c r="N57" s="25" t="s">
        <v>17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55" t="s">
        <v>160</v>
      </c>
      <c r="D58" s="15" t="s">
        <v>161</v>
      </c>
      <c r="E58" s="15" t="s">
        <v>162</v>
      </c>
      <c r="F58" s="50">
        <f t="shared" ref="F58:F60" si="8">H58*80%</f>
        <v>208</v>
      </c>
      <c r="G58" s="56">
        <v>260.0</v>
      </c>
      <c r="H58" s="52">
        <v>260.0</v>
      </c>
      <c r="I58" s="57" t="s">
        <v>677</v>
      </c>
      <c r="J58" s="57" t="s">
        <v>677</v>
      </c>
      <c r="K58" s="57" t="s">
        <v>677</v>
      </c>
      <c r="L58" s="57" t="s">
        <v>677</v>
      </c>
      <c r="M58" s="57" t="s">
        <v>677</v>
      </c>
      <c r="N58" s="32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164</v>
      </c>
      <c r="D59" s="15" t="s">
        <v>165</v>
      </c>
      <c r="E59" s="15" t="s">
        <v>166</v>
      </c>
      <c r="F59" s="50">
        <f t="shared" si="8"/>
        <v>208</v>
      </c>
      <c r="G59" s="56">
        <v>260.0</v>
      </c>
      <c r="H59" s="52">
        <v>260.0</v>
      </c>
      <c r="I59" s="57"/>
      <c r="J59" s="57"/>
      <c r="K59" s="57"/>
      <c r="L59" s="57"/>
      <c r="M59" s="57"/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167</v>
      </c>
      <c r="D60" s="15" t="s">
        <v>168</v>
      </c>
      <c r="E60" s="15" t="s">
        <v>169</v>
      </c>
      <c r="F60" s="50">
        <f t="shared" si="8"/>
        <v>208</v>
      </c>
      <c r="G60" s="56">
        <v>260.0</v>
      </c>
      <c r="H60" s="52">
        <v>260.0</v>
      </c>
      <c r="I60" s="57" t="s">
        <v>677</v>
      </c>
      <c r="J60" s="57" t="s">
        <v>677</v>
      </c>
      <c r="K60" s="57" t="s">
        <v>677</v>
      </c>
      <c r="L60" s="57" t="s">
        <v>677</v>
      </c>
      <c r="M60" s="57" t="s">
        <v>677</v>
      </c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21" t="s">
        <v>17</v>
      </c>
      <c r="D61" s="22" t="s">
        <v>17</v>
      </c>
      <c r="E61" s="23" t="s">
        <v>170</v>
      </c>
      <c r="F61" s="24" t="s">
        <v>17</v>
      </c>
      <c r="G61" s="24" t="s">
        <v>17</v>
      </c>
      <c r="H61" s="25" t="s">
        <v>17</v>
      </c>
      <c r="I61" s="25" t="s">
        <v>17</v>
      </c>
      <c r="J61" s="25" t="s">
        <v>17</v>
      </c>
      <c r="K61" s="25" t="s">
        <v>17</v>
      </c>
      <c r="L61" s="25" t="s">
        <v>17</v>
      </c>
      <c r="M61" s="25" t="s">
        <v>17</v>
      </c>
      <c r="N61" s="25" t="s">
        <v>17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171</v>
      </c>
      <c r="D62" s="15" t="s">
        <v>172</v>
      </c>
      <c r="E62" s="15" t="s">
        <v>173</v>
      </c>
      <c r="F62" s="50">
        <f t="shared" ref="F62:F68" si="9">H62*70%</f>
        <v>51.1</v>
      </c>
      <c r="G62" s="56">
        <v>73.0</v>
      </c>
      <c r="H62" s="52">
        <v>73.0</v>
      </c>
      <c r="I62" s="57" t="s">
        <v>678</v>
      </c>
      <c r="J62" s="57" t="s">
        <v>678</v>
      </c>
      <c r="K62" s="57" t="s">
        <v>678</v>
      </c>
      <c r="L62" s="57" t="s">
        <v>678</v>
      </c>
      <c r="M62" s="57" t="s">
        <v>678</v>
      </c>
      <c r="N62" s="32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176</v>
      </c>
      <c r="D63" s="15" t="s">
        <v>177</v>
      </c>
      <c r="E63" s="15" t="s">
        <v>178</v>
      </c>
      <c r="F63" s="50">
        <f t="shared" si="9"/>
        <v>51.1</v>
      </c>
      <c r="G63" s="56">
        <v>73.0</v>
      </c>
      <c r="H63" s="52">
        <v>73.0</v>
      </c>
      <c r="I63" s="57"/>
      <c r="J63" s="57"/>
      <c r="K63" s="57"/>
      <c r="L63" s="57"/>
      <c r="M63" s="57"/>
      <c r="N63" s="32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179</v>
      </c>
      <c r="D64" s="15" t="s">
        <v>180</v>
      </c>
      <c r="E64" s="15" t="s">
        <v>181</v>
      </c>
      <c r="F64" s="50">
        <f t="shared" si="9"/>
        <v>57.365</v>
      </c>
      <c r="G64" s="56">
        <v>81.95</v>
      </c>
      <c r="H64" s="52">
        <v>81.95</v>
      </c>
      <c r="I64" s="57" t="s">
        <v>678</v>
      </c>
      <c r="J64" s="57" t="s">
        <v>678</v>
      </c>
      <c r="K64" s="57" t="s">
        <v>678</v>
      </c>
      <c r="L64" s="57" t="s">
        <v>678</v>
      </c>
      <c r="M64" s="57" t="s">
        <v>678</v>
      </c>
      <c r="N64" s="3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182</v>
      </c>
      <c r="D65" s="15" t="s">
        <v>183</v>
      </c>
      <c r="E65" s="15" t="s">
        <v>184</v>
      </c>
      <c r="F65" s="50">
        <f t="shared" si="9"/>
        <v>60.865</v>
      </c>
      <c r="G65" s="56">
        <v>86.95</v>
      </c>
      <c r="H65" s="52">
        <v>86.95</v>
      </c>
      <c r="I65" s="57" t="s">
        <v>678</v>
      </c>
      <c r="J65" s="57" t="s">
        <v>678</v>
      </c>
      <c r="K65" s="57" t="s">
        <v>678</v>
      </c>
      <c r="L65" s="57" t="s">
        <v>678</v>
      </c>
      <c r="M65" s="57" t="s">
        <v>678</v>
      </c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185</v>
      </c>
      <c r="D66" s="15" t="s">
        <v>186</v>
      </c>
      <c r="E66" s="15" t="s">
        <v>187</v>
      </c>
      <c r="F66" s="50">
        <f t="shared" si="9"/>
        <v>67.165</v>
      </c>
      <c r="G66" s="56">
        <v>95.95</v>
      </c>
      <c r="H66" s="52">
        <v>95.95</v>
      </c>
      <c r="I66" s="57" t="s">
        <v>678</v>
      </c>
      <c r="J66" s="57" t="s">
        <v>678</v>
      </c>
      <c r="K66" s="57" t="s">
        <v>678</v>
      </c>
      <c r="L66" s="57" t="s">
        <v>678</v>
      </c>
      <c r="M66" s="57" t="s">
        <v>678</v>
      </c>
      <c r="N66" s="32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188</v>
      </c>
      <c r="D67" s="15" t="s">
        <v>189</v>
      </c>
      <c r="E67" s="15" t="s">
        <v>190</v>
      </c>
      <c r="F67" s="50">
        <f t="shared" si="9"/>
        <v>74.865</v>
      </c>
      <c r="G67" s="56">
        <v>106.95</v>
      </c>
      <c r="H67" s="52">
        <v>106.95</v>
      </c>
      <c r="I67" s="57" t="s">
        <v>678</v>
      </c>
      <c r="J67" s="57" t="s">
        <v>678</v>
      </c>
      <c r="K67" s="57" t="s">
        <v>678</v>
      </c>
      <c r="L67" s="57" t="s">
        <v>678</v>
      </c>
      <c r="M67" s="57" t="s">
        <v>678</v>
      </c>
      <c r="N67" s="32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39" t="s">
        <v>191</v>
      </c>
      <c r="D68" s="15" t="s">
        <v>192</v>
      </c>
      <c r="E68" s="15" t="s">
        <v>193</v>
      </c>
      <c r="F68" s="50">
        <f t="shared" si="9"/>
        <v>74.865</v>
      </c>
      <c r="G68" s="56">
        <v>106.95</v>
      </c>
      <c r="H68" s="52">
        <v>106.95</v>
      </c>
      <c r="I68" s="57" t="s">
        <v>678</v>
      </c>
      <c r="J68" s="57" t="s">
        <v>678</v>
      </c>
      <c r="K68" s="57" t="s">
        <v>678</v>
      </c>
      <c r="L68" s="57" t="s">
        <v>678</v>
      </c>
      <c r="M68" s="57" t="s">
        <v>678</v>
      </c>
      <c r="N68" s="32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21" t="s">
        <v>17</v>
      </c>
      <c r="D69" s="22" t="s">
        <v>17</v>
      </c>
      <c r="E69" s="23" t="s">
        <v>194</v>
      </c>
      <c r="F69" s="24" t="s">
        <v>17</v>
      </c>
      <c r="G69" s="24" t="s">
        <v>17</v>
      </c>
      <c r="H69" s="25" t="s">
        <v>17</v>
      </c>
      <c r="I69" s="25" t="s">
        <v>17</v>
      </c>
      <c r="J69" s="25" t="s">
        <v>17</v>
      </c>
      <c r="K69" s="25" t="s">
        <v>17</v>
      </c>
      <c r="L69" s="25" t="s">
        <v>17</v>
      </c>
      <c r="M69" s="25" t="s">
        <v>17</v>
      </c>
      <c r="N69" s="25" t="s">
        <v>17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195</v>
      </c>
      <c r="D70" s="15" t="s">
        <v>196</v>
      </c>
      <c r="E70" s="15" t="s">
        <v>197</v>
      </c>
      <c r="F70" s="50">
        <f t="shared" ref="F70:F78" si="10">H70*70%</f>
        <v>18.2</v>
      </c>
      <c r="G70" s="56">
        <v>26.0</v>
      </c>
      <c r="H70" s="54">
        <v>26.0</v>
      </c>
      <c r="I70" s="57" t="s">
        <v>678</v>
      </c>
      <c r="J70" s="57" t="s">
        <v>678</v>
      </c>
      <c r="K70" s="57" t="s">
        <v>678</v>
      </c>
      <c r="L70" s="57" t="s">
        <v>678</v>
      </c>
      <c r="M70" s="57" t="s">
        <v>678</v>
      </c>
      <c r="N70" s="32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198</v>
      </c>
      <c r="D71" s="15" t="s">
        <v>199</v>
      </c>
      <c r="E71" s="15" t="s">
        <v>200</v>
      </c>
      <c r="F71" s="50">
        <f t="shared" si="10"/>
        <v>18.2</v>
      </c>
      <c r="G71" s="56">
        <v>26.0</v>
      </c>
      <c r="H71" s="54">
        <v>26.0</v>
      </c>
      <c r="I71" s="57"/>
      <c r="J71" s="57"/>
      <c r="K71" s="57"/>
      <c r="L71" s="57"/>
      <c r="M71" s="57"/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201</v>
      </c>
      <c r="D72" s="15" t="s">
        <v>202</v>
      </c>
      <c r="E72" s="15" t="s">
        <v>203</v>
      </c>
      <c r="F72" s="50">
        <f t="shared" si="10"/>
        <v>21</v>
      </c>
      <c r="G72" s="56">
        <v>30.0</v>
      </c>
      <c r="H72" s="54">
        <v>30.0</v>
      </c>
      <c r="I72" s="57"/>
      <c r="J72" s="57"/>
      <c r="K72" s="57"/>
      <c r="L72" s="57"/>
      <c r="M72" s="57"/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204</v>
      </c>
      <c r="D73" s="15" t="s">
        <v>205</v>
      </c>
      <c r="E73" s="15" t="s">
        <v>206</v>
      </c>
      <c r="F73" s="50">
        <f t="shared" si="10"/>
        <v>12.6</v>
      </c>
      <c r="G73" s="56">
        <v>18.0</v>
      </c>
      <c r="H73" s="52">
        <v>18.0</v>
      </c>
      <c r="I73" s="57"/>
      <c r="J73" s="57"/>
      <c r="K73" s="57"/>
      <c r="L73" s="57"/>
      <c r="M73" s="57"/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207</v>
      </c>
      <c r="D74" s="15" t="s">
        <v>208</v>
      </c>
      <c r="E74" s="15" t="s">
        <v>209</v>
      </c>
      <c r="F74" s="50">
        <f t="shared" si="10"/>
        <v>15.4</v>
      </c>
      <c r="G74" s="56">
        <v>22.0</v>
      </c>
      <c r="H74" s="54">
        <v>22.0</v>
      </c>
      <c r="I74" s="57" t="s">
        <v>678</v>
      </c>
      <c r="J74" s="57" t="s">
        <v>678</v>
      </c>
      <c r="K74" s="57" t="s">
        <v>678</v>
      </c>
      <c r="L74" s="57" t="s">
        <v>678</v>
      </c>
      <c r="M74" s="57" t="s">
        <v>678</v>
      </c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210</v>
      </c>
      <c r="D75" s="15" t="s">
        <v>211</v>
      </c>
      <c r="E75" s="15" t="s">
        <v>212</v>
      </c>
      <c r="F75" s="50">
        <f t="shared" si="10"/>
        <v>11.2</v>
      </c>
      <c r="G75" s="56">
        <v>16.0</v>
      </c>
      <c r="H75" s="52">
        <v>16.0</v>
      </c>
      <c r="I75" s="57"/>
      <c r="J75" s="57"/>
      <c r="K75" s="57"/>
      <c r="L75" s="57"/>
      <c r="M75" s="57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213</v>
      </c>
      <c r="D76" s="15" t="s">
        <v>214</v>
      </c>
      <c r="E76" s="15" t="s">
        <v>215</v>
      </c>
      <c r="F76" s="50">
        <f t="shared" si="10"/>
        <v>11.2</v>
      </c>
      <c r="G76" s="56">
        <v>16.0</v>
      </c>
      <c r="H76" s="52">
        <v>16.0</v>
      </c>
      <c r="I76" s="57"/>
      <c r="J76" s="57"/>
      <c r="K76" s="57"/>
      <c r="L76" s="57"/>
      <c r="M76" s="57"/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216</v>
      </c>
      <c r="D77" s="15" t="s">
        <v>217</v>
      </c>
      <c r="E77" s="15" t="s">
        <v>218</v>
      </c>
      <c r="F77" s="50">
        <f t="shared" si="10"/>
        <v>14.7</v>
      </c>
      <c r="G77" s="56">
        <v>21.0</v>
      </c>
      <c r="H77" s="54">
        <v>21.0</v>
      </c>
      <c r="I77" s="57"/>
      <c r="J77" s="57"/>
      <c r="K77" s="57"/>
      <c r="L77" s="57"/>
      <c r="M77" s="57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38"/>
      <c r="C78" s="55" t="s">
        <v>219</v>
      </c>
      <c r="D78" s="49" t="s">
        <v>220</v>
      </c>
      <c r="E78" s="15" t="s">
        <v>221</v>
      </c>
      <c r="F78" s="50">
        <f t="shared" si="10"/>
        <v>15.4</v>
      </c>
      <c r="G78" s="56">
        <v>22.0</v>
      </c>
      <c r="H78" s="54">
        <v>22.0</v>
      </c>
      <c r="I78" s="57"/>
      <c r="J78" s="57"/>
      <c r="K78" s="57"/>
      <c r="L78" s="57"/>
      <c r="M78" s="57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0" t="s">
        <v>222</v>
      </c>
      <c r="C79" s="21" t="s">
        <v>17</v>
      </c>
      <c r="D79" s="22" t="s">
        <v>17</v>
      </c>
      <c r="E79" s="23" t="s">
        <v>223</v>
      </c>
      <c r="F79" s="24" t="s">
        <v>17</v>
      </c>
      <c r="G79" s="24" t="s">
        <v>17</v>
      </c>
      <c r="H79" s="25" t="s">
        <v>17</v>
      </c>
      <c r="I79" s="25" t="s">
        <v>17</v>
      </c>
      <c r="J79" s="25" t="s">
        <v>17</v>
      </c>
      <c r="K79" s="25" t="s">
        <v>17</v>
      </c>
      <c r="L79" s="25" t="s">
        <v>17</v>
      </c>
      <c r="M79" s="25" t="s">
        <v>17</v>
      </c>
      <c r="N79" s="25" t="s">
        <v>17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224</v>
      </c>
      <c r="D80" s="15" t="s">
        <v>225</v>
      </c>
      <c r="E80" s="15" t="s">
        <v>226</v>
      </c>
      <c r="F80" s="58">
        <v>45.49</v>
      </c>
      <c r="G80" s="56">
        <v>69.95</v>
      </c>
      <c r="H80" s="52">
        <v>69.95</v>
      </c>
      <c r="I80" s="32"/>
      <c r="J80" s="32"/>
      <c r="K80" s="32"/>
      <c r="L80" s="32"/>
      <c r="M80" s="32"/>
      <c r="N80" s="32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227</v>
      </c>
      <c r="D81" s="15" t="s">
        <v>228</v>
      </c>
      <c r="E81" s="15" t="s">
        <v>229</v>
      </c>
      <c r="F81" s="58">
        <v>58.84</v>
      </c>
      <c r="G81" s="56">
        <v>79.95</v>
      </c>
      <c r="H81" s="52">
        <v>79.95</v>
      </c>
      <c r="I81" s="32"/>
      <c r="J81" s="32"/>
      <c r="K81" s="32"/>
      <c r="L81" s="32"/>
      <c r="M81" s="32"/>
      <c r="N81" s="32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230</v>
      </c>
      <c r="D82" s="15" t="s">
        <v>231</v>
      </c>
      <c r="E82" s="15" t="s">
        <v>232</v>
      </c>
      <c r="F82" s="58">
        <v>92.41</v>
      </c>
      <c r="G82" s="56">
        <v>114.95</v>
      </c>
      <c r="H82" s="54">
        <v>119.0</v>
      </c>
      <c r="I82" s="32"/>
      <c r="J82" s="32"/>
      <c r="K82" s="32"/>
      <c r="L82" s="32"/>
      <c r="M82" s="32"/>
      <c r="N82" s="32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233</v>
      </c>
      <c r="D83" s="15" t="s">
        <v>234</v>
      </c>
      <c r="E83" s="15" t="s">
        <v>235</v>
      </c>
      <c r="F83" s="58">
        <v>17.99</v>
      </c>
      <c r="G83" s="56">
        <v>24.95</v>
      </c>
      <c r="H83" s="52">
        <v>24.95</v>
      </c>
      <c r="I83" s="32"/>
      <c r="J83" s="32"/>
      <c r="K83" s="32"/>
      <c r="L83" s="32"/>
      <c r="M83" s="32"/>
      <c r="N83" s="32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236</v>
      </c>
      <c r="D84" s="15" t="s">
        <v>237</v>
      </c>
      <c r="E84" s="15" t="s">
        <v>238</v>
      </c>
      <c r="F84" s="58">
        <v>27.99</v>
      </c>
      <c r="G84" s="59">
        <v>32.95</v>
      </c>
      <c r="H84" s="52">
        <v>32.95</v>
      </c>
      <c r="I84" s="32"/>
      <c r="J84" s="32"/>
      <c r="K84" s="32"/>
      <c r="L84" s="32"/>
      <c r="M84" s="32"/>
      <c r="N84" s="32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239</v>
      </c>
      <c r="D85" s="15" t="s">
        <v>240</v>
      </c>
      <c r="E85" s="15" t="s">
        <v>241</v>
      </c>
      <c r="F85" s="58">
        <v>19.95</v>
      </c>
      <c r="G85" s="59">
        <v>19.95</v>
      </c>
      <c r="H85" s="52">
        <v>19.95</v>
      </c>
      <c r="I85" s="32"/>
      <c r="J85" s="32"/>
      <c r="K85" s="32"/>
      <c r="L85" s="32"/>
      <c r="M85" s="32"/>
      <c r="N85" s="32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242</v>
      </c>
      <c r="D86" s="15" t="s">
        <v>243</v>
      </c>
      <c r="E86" s="15" t="s">
        <v>244</v>
      </c>
      <c r="F86" s="58">
        <v>33.71</v>
      </c>
      <c r="G86" s="59">
        <v>44.95</v>
      </c>
      <c r="H86" s="52">
        <v>44.95</v>
      </c>
      <c r="I86" s="32"/>
      <c r="J86" s="32"/>
      <c r="K86" s="32"/>
      <c r="L86" s="32"/>
      <c r="M86" s="32"/>
      <c r="N86" s="32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245</v>
      </c>
      <c r="D87" s="15" t="s">
        <v>246</v>
      </c>
      <c r="E87" s="15" t="s">
        <v>247</v>
      </c>
      <c r="F87" s="58">
        <v>33.71</v>
      </c>
      <c r="G87" s="59">
        <v>44.95</v>
      </c>
      <c r="H87" s="52">
        <v>44.95</v>
      </c>
      <c r="I87" s="32"/>
      <c r="J87" s="32"/>
      <c r="K87" s="32"/>
      <c r="L87" s="32"/>
      <c r="M87" s="32"/>
      <c r="N87" s="32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248</v>
      </c>
      <c r="D88" s="15" t="s">
        <v>249</v>
      </c>
      <c r="E88" s="15" t="s">
        <v>250</v>
      </c>
      <c r="F88" s="58">
        <v>104.99</v>
      </c>
      <c r="G88" s="59">
        <v>129.95</v>
      </c>
      <c r="H88" s="52">
        <v>129.95</v>
      </c>
      <c r="I88" s="32"/>
      <c r="J88" s="32"/>
      <c r="K88" s="32"/>
      <c r="L88" s="32"/>
      <c r="M88" s="32"/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251</v>
      </c>
      <c r="D89" s="15" t="s">
        <v>252</v>
      </c>
      <c r="E89" s="15" t="s">
        <v>253</v>
      </c>
      <c r="F89" s="58">
        <v>21.24</v>
      </c>
      <c r="G89" s="59">
        <v>24.95</v>
      </c>
      <c r="H89" s="52">
        <v>24.95</v>
      </c>
      <c r="I89" s="32"/>
      <c r="J89" s="32"/>
      <c r="K89" s="32"/>
      <c r="L89" s="32"/>
      <c r="M89" s="32"/>
      <c r="N89" s="32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21" t="s">
        <v>17</v>
      </c>
      <c r="D90" s="22" t="s">
        <v>17</v>
      </c>
      <c r="E90" s="23" t="s">
        <v>254</v>
      </c>
      <c r="F90" s="24" t="s">
        <v>17</v>
      </c>
      <c r="G90" s="24" t="s">
        <v>17</v>
      </c>
      <c r="H90" s="25" t="s">
        <v>17</v>
      </c>
      <c r="I90" s="25" t="s">
        <v>17</v>
      </c>
      <c r="J90" s="25" t="s">
        <v>17</v>
      </c>
      <c r="K90" s="25" t="s">
        <v>17</v>
      </c>
      <c r="L90" s="25" t="s">
        <v>17</v>
      </c>
      <c r="M90" s="25" t="s">
        <v>17</v>
      </c>
      <c r="N90" s="25" t="s">
        <v>17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255</v>
      </c>
      <c r="D91" s="15" t="s">
        <v>256</v>
      </c>
      <c r="E91" s="15" t="s">
        <v>257</v>
      </c>
      <c r="F91" s="58">
        <v>84.4</v>
      </c>
      <c r="G91" s="59">
        <v>99.95</v>
      </c>
      <c r="H91" s="52">
        <v>99.95</v>
      </c>
      <c r="I91" s="32"/>
      <c r="J91" s="32"/>
      <c r="K91" s="32"/>
      <c r="L91" s="32"/>
      <c r="M91" s="32"/>
      <c r="N91" s="32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258</v>
      </c>
      <c r="D92" s="15" t="s">
        <v>259</v>
      </c>
      <c r="E92" s="15" t="s">
        <v>260</v>
      </c>
      <c r="F92" s="58">
        <v>126.82</v>
      </c>
      <c r="G92" s="59">
        <v>163.95</v>
      </c>
      <c r="H92" s="52">
        <v>163.95</v>
      </c>
      <c r="I92" s="32"/>
      <c r="J92" s="32"/>
      <c r="K92" s="32"/>
      <c r="L92" s="32"/>
      <c r="M92" s="32"/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261</v>
      </c>
      <c r="D93" s="15" t="s">
        <v>262</v>
      </c>
      <c r="E93" s="15" t="s">
        <v>263</v>
      </c>
      <c r="F93" s="58">
        <v>24.95</v>
      </c>
      <c r="G93" s="59">
        <v>24.95</v>
      </c>
      <c r="H93" s="52">
        <v>24.95</v>
      </c>
      <c r="I93" s="32"/>
      <c r="J93" s="32"/>
      <c r="K93" s="32"/>
      <c r="L93" s="32"/>
      <c r="M93" s="32"/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21" t="s">
        <v>17</v>
      </c>
      <c r="D94" s="22" t="s">
        <v>17</v>
      </c>
      <c r="E94" s="23" t="s">
        <v>264</v>
      </c>
      <c r="F94" s="24" t="s">
        <v>17</v>
      </c>
      <c r="G94" s="24" t="s">
        <v>17</v>
      </c>
      <c r="H94" s="25" t="s">
        <v>17</v>
      </c>
      <c r="I94" s="25" t="s">
        <v>17</v>
      </c>
      <c r="J94" s="25" t="s">
        <v>17</v>
      </c>
      <c r="K94" s="25" t="s">
        <v>17</v>
      </c>
      <c r="L94" s="25" t="s">
        <v>17</v>
      </c>
      <c r="M94" s="25" t="s">
        <v>17</v>
      </c>
      <c r="N94" s="25" t="s">
        <v>17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265</v>
      </c>
      <c r="D95" s="15" t="s">
        <v>266</v>
      </c>
      <c r="E95" s="15" t="s">
        <v>267</v>
      </c>
      <c r="F95" s="58">
        <v>104.97</v>
      </c>
      <c r="G95" s="56">
        <v>199.95</v>
      </c>
      <c r="H95" s="52">
        <v>149.95</v>
      </c>
      <c r="I95" s="32"/>
      <c r="J95" s="32"/>
      <c r="K95" s="32"/>
      <c r="L95" s="32"/>
      <c r="M95" s="32"/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268</v>
      </c>
      <c r="D96" s="15" t="s">
        <v>269</v>
      </c>
      <c r="E96" s="15" t="s">
        <v>270</v>
      </c>
      <c r="F96" s="58">
        <v>136.5</v>
      </c>
      <c r="G96" s="56">
        <v>244.95</v>
      </c>
      <c r="H96" s="54">
        <v>195.0</v>
      </c>
      <c r="I96" s="32"/>
      <c r="J96" s="32"/>
      <c r="K96" s="32"/>
      <c r="L96" s="32"/>
      <c r="M96" s="32"/>
      <c r="N96" s="32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271</v>
      </c>
      <c r="D97" s="15" t="s">
        <v>272</v>
      </c>
      <c r="E97" s="15" t="s">
        <v>273</v>
      </c>
      <c r="F97" s="58">
        <v>19.95</v>
      </c>
      <c r="G97" s="56">
        <v>49.95</v>
      </c>
      <c r="H97" s="52">
        <v>29.95</v>
      </c>
      <c r="I97" s="32"/>
      <c r="J97" s="32"/>
      <c r="K97" s="32"/>
      <c r="L97" s="32"/>
      <c r="M97" s="32"/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274</v>
      </c>
      <c r="D98" s="15" t="s">
        <v>275</v>
      </c>
      <c r="E98" s="15" t="s">
        <v>276</v>
      </c>
      <c r="F98" s="58">
        <v>19.95</v>
      </c>
      <c r="G98" s="56">
        <v>29.95</v>
      </c>
      <c r="H98" s="52">
        <v>29.95</v>
      </c>
      <c r="I98" s="32"/>
      <c r="J98" s="32"/>
      <c r="K98" s="32"/>
      <c r="L98" s="32"/>
      <c r="M98" s="32"/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21" t="s">
        <v>17</v>
      </c>
      <c r="D99" s="22" t="s">
        <v>17</v>
      </c>
      <c r="E99" s="23" t="s">
        <v>277</v>
      </c>
      <c r="F99" s="24" t="s">
        <v>17</v>
      </c>
      <c r="G99" s="24" t="s">
        <v>17</v>
      </c>
      <c r="H99" s="25" t="s">
        <v>17</v>
      </c>
      <c r="I99" s="25" t="s">
        <v>17</v>
      </c>
      <c r="J99" s="25" t="s">
        <v>17</v>
      </c>
      <c r="K99" s="25" t="s">
        <v>17</v>
      </c>
      <c r="L99" s="25" t="s">
        <v>17</v>
      </c>
      <c r="M99" s="25" t="s">
        <v>17</v>
      </c>
      <c r="N99" s="25" t="s">
        <v>17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278</v>
      </c>
      <c r="D100" s="15" t="s">
        <v>279</v>
      </c>
      <c r="E100" s="15" t="s">
        <v>280</v>
      </c>
      <c r="F100" s="58">
        <v>52.61</v>
      </c>
      <c r="G100" s="59">
        <v>79.95</v>
      </c>
      <c r="H100" s="52">
        <v>79.95</v>
      </c>
      <c r="I100" s="32"/>
      <c r="J100" s="32"/>
      <c r="K100" s="32"/>
      <c r="L100" s="32"/>
      <c r="M100" s="32"/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281</v>
      </c>
      <c r="D101" s="15" t="s">
        <v>282</v>
      </c>
      <c r="E101" s="15" t="s">
        <v>283</v>
      </c>
      <c r="F101" s="58">
        <v>64.5</v>
      </c>
      <c r="G101" s="59">
        <v>129.0</v>
      </c>
      <c r="H101" s="52">
        <v>129.0</v>
      </c>
      <c r="I101" s="32"/>
      <c r="J101" s="32"/>
      <c r="K101" s="32"/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21" t="s">
        <v>17</v>
      </c>
      <c r="D102" s="22" t="s">
        <v>17</v>
      </c>
      <c r="E102" s="23" t="s">
        <v>284</v>
      </c>
      <c r="F102" s="24" t="s">
        <v>17</v>
      </c>
      <c r="G102" s="24" t="s">
        <v>17</v>
      </c>
      <c r="H102" s="25" t="s">
        <v>17</v>
      </c>
      <c r="I102" s="25" t="s">
        <v>17</v>
      </c>
      <c r="J102" s="25" t="s">
        <v>17</v>
      </c>
      <c r="K102" s="25" t="s">
        <v>17</v>
      </c>
      <c r="L102" s="25" t="s">
        <v>17</v>
      </c>
      <c r="M102" s="25" t="s">
        <v>17</v>
      </c>
      <c r="N102" s="25" t="s">
        <v>17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285</v>
      </c>
      <c r="D103" s="60" t="s">
        <v>286</v>
      </c>
      <c r="E103" s="15" t="s">
        <v>287</v>
      </c>
      <c r="F103" s="58">
        <v>34.68</v>
      </c>
      <c r="G103" s="59">
        <v>39.95</v>
      </c>
      <c r="H103" s="52">
        <v>39.95</v>
      </c>
      <c r="I103" s="32"/>
      <c r="J103" s="32"/>
      <c r="K103" s="32"/>
      <c r="L103" s="32"/>
      <c r="M103" s="32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288</v>
      </c>
      <c r="D104" s="60" t="s">
        <v>289</v>
      </c>
      <c r="E104" s="15" t="s">
        <v>290</v>
      </c>
      <c r="F104" s="58">
        <v>34.68</v>
      </c>
      <c r="G104" s="59">
        <v>39.95</v>
      </c>
      <c r="H104" s="52">
        <v>39.95</v>
      </c>
      <c r="I104" s="32"/>
      <c r="J104" s="32"/>
      <c r="K104" s="32"/>
      <c r="L104" s="32"/>
      <c r="M104" s="32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291</v>
      </c>
      <c r="D105" s="60" t="s">
        <v>292</v>
      </c>
      <c r="E105" s="15" t="s">
        <v>293</v>
      </c>
      <c r="F105" s="58">
        <v>34.68</v>
      </c>
      <c r="G105" s="59">
        <v>39.95</v>
      </c>
      <c r="H105" s="52">
        <v>39.95</v>
      </c>
      <c r="I105" s="32"/>
      <c r="J105" s="32"/>
      <c r="K105" s="32"/>
      <c r="L105" s="32"/>
      <c r="M105" s="32"/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294</v>
      </c>
      <c r="D106" s="61" t="s">
        <v>295</v>
      </c>
      <c r="E106" s="15" t="s">
        <v>296</v>
      </c>
      <c r="F106" s="58">
        <v>34.68</v>
      </c>
      <c r="G106" s="59">
        <v>39.95</v>
      </c>
      <c r="H106" s="52">
        <v>39.95</v>
      </c>
      <c r="I106" s="32"/>
      <c r="J106" s="32"/>
      <c r="K106" s="32"/>
      <c r="L106" s="32"/>
      <c r="M106" s="32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297</v>
      </c>
      <c r="D107" s="60" t="s">
        <v>298</v>
      </c>
      <c r="E107" s="15" t="s">
        <v>299</v>
      </c>
      <c r="F107" s="58">
        <v>34.68</v>
      </c>
      <c r="G107" s="59">
        <v>39.95</v>
      </c>
      <c r="H107" s="52">
        <v>39.95</v>
      </c>
      <c r="I107" s="32"/>
      <c r="J107" s="32"/>
      <c r="K107" s="32"/>
      <c r="L107" s="32"/>
      <c r="M107" s="32"/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300</v>
      </c>
      <c r="D108" s="60" t="s">
        <v>301</v>
      </c>
      <c r="E108" s="15" t="s">
        <v>302</v>
      </c>
      <c r="F108" s="58">
        <v>34.68</v>
      </c>
      <c r="G108" s="59">
        <v>39.95</v>
      </c>
      <c r="H108" s="52">
        <v>39.95</v>
      </c>
      <c r="I108" s="32"/>
      <c r="J108" s="32"/>
      <c r="K108" s="32"/>
      <c r="L108" s="32"/>
      <c r="M108" s="32"/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303</v>
      </c>
      <c r="D109" s="60" t="s">
        <v>304</v>
      </c>
      <c r="E109" s="15" t="s">
        <v>305</v>
      </c>
      <c r="F109" s="58">
        <v>34.68</v>
      </c>
      <c r="G109" s="59">
        <v>39.95</v>
      </c>
      <c r="H109" s="52">
        <v>39.95</v>
      </c>
      <c r="I109" s="32"/>
      <c r="J109" s="32"/>
      <c r="K109" s="32"/>
      <c r="L109" s="32"/>
      <c r="M109" s="32"/>
      <c r="N109" s="32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306</v>
      </c>
      <c r="D110" s="62" t="s">
        <v>307</v>
      </c>
      <c r="E110" s="15" t="s">
        <v>308</v>
      </c>
      <c r="F110" s="58">
        <v>34.68</v>
      </c>
      <c r="G110" s="59">
        <v>39.95</v>
      </c>
      <c r="H110" s="52">
        <v>39.95</v>
      </c>
      <c r="I110" s="32"/>
      <c r="J110" s="32"/>
      <c r="K110" s="32"/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309</v>
      </c>
      <c r="D111" s="60" t="s">
        <v>310</v>
      </c>
      <c r="E111" s="15" t="s">
        <v>311</v>
      </c>
      <c r="F111" s="58">
        <v>34.68</v>
      </c>
      <c r="G111" s="59">
        <v>39.95</v>
      </c>
      <c r="H111" s="52">
        <v>39.95</v>
      </c>
      <c r="I111" s="32"/>
      <c r="J111" s="32"/>
      <c r="K111" s="32"/>
      <c r="L111" s="32"/>
      <c r="M111" s="32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312</v>
      </c>
      <c r="D112" s="60" t="s">
        <v>313</v>
      </c>
      <c r="E112" s="15" t="s">
        <v>314</v>
      </c>
      <c r="F112" s="58">
        <v>34.68</v>
      </c>
      <c r="G112" s="59">
        <v>39.95</v>
      </c>
      <c r="H112" s="52">
        <v>39.95</v>
      </c>
      <c r="I112" s="32"/>
      <c r="J112" s="32"/>
      <c r="K112" s="32"/>
      <c r="L112" s="32"/>
      <c r="M112" s="32"/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315</v>
      </c>
      <c r="D113" s="60" t="s">
        <v>316</v>
      </c>
      <c r="E113" s="15" t="s">
        <v>317</v>
      </c>
      <c r="F113" s="58">
        <v>34.68</v>
      </c>
      <c r="G113" s="59">
        <v>39.95</v>
      </c>
      <c r="H113" s="52">
        <v>39.95</v>
      </c>
      <c r="I113" s="32"/>
      <c r="J113" s="32"/>
      <c r="K113" s="32"/>
      <c r="L113" s="32"/>
      <c r="M113" s="32"/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21" t="s">
        <v>17</v>
      </c>
      <c r="D114" s="22" t="s">
        <v>17</v>
      </c>
      <c r="E114" s="23" t="s">
        <v>331</v>
      </c>
      <c r="F114" s="24" t="s">
        <v>17</v>
      </c>
      <c r="G114" s="24" t="s">
        <v>17</v>
      </c>
      <c r="H114" s="25" t="s">
        <v>17</v>
      </c>
      <c r="I114" s="25" t="s">
        <v>17</v>
      </c>
      <c r="J114" s="25" t="s">
        <v>17</v>
      </c>
      <c r="K114" s="25" t="s">
        <v>17</v>
      </c>
      <c r="L114" s="25" t="s">
        <v>17</v>
      </c>
      <c r="M114" s="25" t="s">
        <v>17</v>
      </c>
      <c r="N114" s="25" t="s">
        <v>17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332</v>
      </c>
      <c r="D115" s="15" t="s">
        <v>333</v>
      </c>
      <c r="E115" s="15" t="s">
        <v>334</v>
      </c>
      <c r="F115" s="58">
        <v>41.97</v>
      </c>
      <c r="G115" s="56">
        <v>79.95</v>
      </c>
      <c r="H115" s="52">
        <v>59.95</v>
      </c>
      <c r="I115" s="32"/>
      <c r="J115" s="32"/>
      <c r="K115" s="32"/>
      <c r="L115" s="32"/>
      <c r="M115" s="32"/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335</v>
      </c>
      <c r="D116" s="15" t="s">
        <v>336</v>
      </c>
      <c r="E116" s="15" t="s">
        <v>337</v>
      </c>
      <c r="F116" s="58">
        <v>41.97</v>
      </c>
      <c r="G116" s="56">
        <v>79.95</v>
      </c>
      <c r="H116" s="52">
        <v>59.95</v>
      </c>
      <c r="I116" s="32"/>
      <c r="J116" s="32"/>
      <c r="K116" s="32"/>
      <c r="L116" s="32"/>
      <c r="M116" s="32"/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338</v>
      </c>
      <c r="D117" s="15" t="s">
        <v>339</v>
      </c>
      <c r="E117" s="15" t="s">
        <v>340</v>
      </c>
      <c r="F117" s="58">
        <v>41.97</v>
      </c>
      <c r="G117" s="56">
        <v>79.95</v>
      </c>
      <c r="H117" s="52">
        <v>59.95</v>
      </c>
      <c r="I117" s="32"/>
      <c r="J117" s="32"/>
      <c r="K117" s="32"/>
      <c r="L117" s="32"/>
      <c r="M117" s="32"/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341</v>
      </c>
      <c r="D118" s="15" t="s">
        <v>342</v>
      </c>
      <c r="E118" s="15" t="s">
        <v>340</v>
      </c>
      <c r="F118" s="58">
        <v>41.97</v>
      </c>
      <c r="G118" s="56">
        <v>79.95</v>
      </c>
      <c r="H118" s="52">
        <v>59.95</v>
      </c>
      <c r="I118" s="32"/>
      <c r="J118" s="32"/>
      <c r="K118" s="32"/>
      <c r="L118" s="32"/>
      <c r="M118" s="32"/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343</v>
      </c>
      <c r="D119" s="15" t="s">
        <v>344</v>
      </c>
      <c r="E119" s="15" t="s">
        <v>345</v>
      </c>
      <c r="F119" s="58">
        <v>41.97</v>
      </c>
      <c r="G119" s="56">
        <v>79.95</v>
      </c>
      <c r="H119" s="52">
        <v>59.95</v>
      </c>
      <c r="I119" s="32"/>
      <c r="J119" s="32"/>
      <c r="K119" s="32"/>
      <c r="L119" s="32"/>
      <c r="M119" s="32"/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346</v>
      </c>
      <c r="D120" s="15" t="s">
        <v>347</v>
      </c>
      <c r="E120" s="15" t="s">
        <v>340</v>
      </c>
      <c r="F120" s="58">
        <v>41.97</v>
      </c>
      <c r="G120" s="56">
        <v>79.95</v>
      </c>
      <c r="H120" s="52">
        <v>59.95</v>
      </c>
      <c r="I120" s="32"/>
      <c r="J120" s="32"/>
      <c r="K120" s="32"/>
      <c r="L120" s="32"/>
      <c r="M120" s="32"/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348</v>
      </c>
      <c r="D121" s="15" t="s">
        <v>349</v>
      </c>
      <c r="E121" s="15" t="s">
        <v>340</v>
      </c>
      <c r="F121" s="58">
        <v>41.97</v>
      </c>
      <c r="G121" s="56">
        <v>79.95</v>
      </c>
      <c r="H121" s="52">
        <v>59.95</v>
      </c>
      <c r="I121" s="32"/>
      <c r="J121" s="32"/>
      <c r="K121" s="32"/>
      <c r="L121" s="32"/>
      <c r="M121" s="32"/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350</v>
      </c>
      <c r="D122" s="15" t="s">
        <v>351</v>
      </c>
      <c r="E122" s="15" t="s">
        <v>352</v>
      </c>
      <c r="F122" s="58">
        <v>41.97</v>
      </c>
      <c r="G122" s="56">
        <v>79.95</v>
      </c>
      <c r="H122" s="52">
        <v>59.95</v>
      </c>
      <c r="I122" s="32"/>
      <c r="J122" s="32"/>
      <c r="K122" s="32"/>
      <c r="L122" s="32"/>
      <c r="M122" s="32"/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38"/>
      <c r="C123" s="64" t="s">
        <v>353</v>
      </c>
      <c r="D123" s="65" t="s">
        <v>354</v>
      </c>
      <c r="E123" s="65" t="s">
        <v>355</v>
      </c>
      <c r="F123" s="58">
        <v>41.97</v>
      </c>
      <c r="G123" s="56">
        <v>79.95</v>
      </c>
      <c r="H123" s="52">
        <v>59.95</v>
      </c>
      <c r="I123" s="32"/>
      <c r="J123" s="32"/>
      <c r="K123" s="32"/>
      <c r="L123" s="32"/>
      <c r="M123" s="32"/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0" t="s">
        <v>356</v>
      </c>
      <c r="C124" s="66" t="s">
        <v>17</v>
      </c>
      <c r="D124" s="67" t="s">
        <v>17</v>
      </c>
      <c r="E124" s="23" t="s">
        <v>357</v>
      </c>
      <c r="F124" s="68" t="s">
        <v>17</v>
      </c>
      <c r="G124" s="68" t="s">
        <v>17</v>
      </c>
      <c r="H124" s="25" t="s">
        <v>17</v>
      </c>
      <c r="I124" s="25" t="s">
        <v>17</v>
      </c>
      <c r="J124" s="25" t="s">
        <v>17</v>
      </c>
      <c r="K124" s="25" t="s">
        <v>17</v>
      </c>
      <c r="L124" s="25" t="s">
        <v>17</v>
      </c>
      <c r="M124" s="25" t="s">
        <v>17</v>
      </c>
      <c r="N124" s="25" t="s">
        <v>17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69" t="s">
        <v>358</v>
      </c>
      <c r="D125" s="70" t="s">
        <v>359</v>
      </c>
      <c r="E125" s="70" t="s">
        <v>360</v>
      </c>
      <c r="F125" s="71">
        <v>35.95</v>
      </c>
      <c r="G125" s="72">
        <v>69.95</v>
      </c>
      <c r="H125" s="52">
        <v>54.95</v>
      </c>
      <c r="I125" s="32"/>
      <c r="J125" s="32"/>
      <c r="K125" s="32"/>
      <c r="L125" s="32"/>
      <c r="M125" s="32"/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66" t="s">
        <v>17</v>
      </c>
      <c r="D126" s="67" t="s">
        <v>17</v>
      </c>
      <c r="E126" s="23" t="s">
        <v>361</v>
      </c>
      <c r="F126" s="68" t="s">
        <v>17</v>
      </c>
      <c r="G126" s="68" t="s">
        <v>17</v>
      </c>
      <c r="H126" s="25" t="s">
        <v>17</v>
      </c>
      <c r="I126" s="25" t="s">
        <v>17</v>
      </c>
      <c r="J126" s="25" t="s">
        <v>17</v>
      </c>
      <c r="K126" s="25" t="s">
        <v>17</v>
      </c>
      <c r="L126" s="25" t="s">
        <v>17</v>
      </c>
      <c r="M126" s="25" t="s">
        <v>17</v>
      </c>
      <c r="N126" s="25" t="s">
        <v>17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73" t="s">
        <v>362</v>
      </c>
      <c r="D127" s="70" t="s">
        <v>363</v>
      </c>
      <c r="E127" s="70" t="s">
        <v>364</v>
      </c>
      <c r="F127" s="71">
        <v>35.95</v>
      </c>
      <c r="G127" s="72">
        <v>59.95</v>
      </c>
      <c r="H127" s="52">
        <v>59.95</v>
      </c>
      <c r="I127" s="32"/>
      <c r="J127" s="32"/>
      <c r="K127" s="32"/>
      <c r="L127" s="32"/>
      <c r="M127" s="32"/>
      <c r="N127" s="32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73" t="s">
        <v>365</v>
      </c>
      <c r="D128" s="70" t="s">
        <v>366</v>
      </c>
      <c r="E128" s="70" t="s">
        <v>367</v>
      </c>
      <c r="F128" s="71">
        <v>71.9</v>
      </c>
      <c r="G128" s="72">
        <v>79.9</v>
      </c>
      <c r="H128" s="52">
        <v>97.12</v>
      </c>
      <c r="I128" s="32"/>
      <c r="J128" s="32"/>
      <c r="K128" s="32"/>
      <c r="L128" s="32"/>
      <c r="M128" s="32"/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73" t="s">
        <v>368</v>
      </c>
      <c r="D129" s="70" t="s">
        <v>369</v>
      </c>
      <c r="E129" s="70" t="s">
        <v>370</v>
      </c>
      <c r="F129" s="71">
        <v>45.95</v>
      </c>
      <c r="G129" s="72">
        <v>69.95</v>
      </c>
      <c r="H129" s="52">
        <v>69.95</v>
      </c>
      <c r="I129" s="32"/>
      <c r="J129" s="32"/>
      <c r="K129" s="32"/>
      <c r="L129" s="32"/>
      <c r="M129" s="32"/>
      <c r="N129" s="32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73" t="s">
        <v>371</v>
      </c>
      <c r="D130" s="70" t="s">
        <v>372</v>
      </c>
      <c r="E130" s="70" t="s">
        <v>373</v>
      </c>
      <c r="F130" s="71">
        <v>91.9</v>
      </c>
      <c r="G130" s="72">
        <v>99.9</v>
      </c>
      <c r="H130" s="52">
        <v>107.03</v>
      </c>
      <c r="I130" s="32"/>
      <c r="J130" s="32"/>
      <c r="K130" s="32"/>
      <c r="L130" s="32"/>
      <c r="M130" s="32"/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6" t="s">
        <v>17</v>
      </c>
      <c r="D131" s="67" t="s">
        <v>17</v>
      </c>
      <c r="E131" s="23" t="s">
        <v>374</v>
      </c>
      <c r="F131" s="68" t="s">
        <v>17</v>
      </c>
      <c r="G131" s="68" t="s">
        <v>17</v>
      </c>
      <c r="H131" s="25" t="s">
        <v>17</v>
      </c>
      <c r="I131" s="25" t="s">
        <v>17</v>
      </c>
      <c r="J131" s="25" t="s">
        <v>17</v>
      </c>
      <c r="K131" s="25" t="s">
        <v>17</v>
      </c>
      <c r="L131" s="25" t="s">
        <v>17</v>
      </c>
      <c r="M131" s="25" t="s">
        <v>17</v>
      </c>
      <c r="N131" s="25" t="s">
        <v>17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4" t="s">
        <v>375</v>
      </c>
      <c r="D132" s="70" t="s">
        <v>376</v>
      </c>
      <c r="E132" s="70" t="s">
        <v>374</v>
      </c>
      <c r="F132" s="71">
        <v>35.95</v>
      </c>
      <c r="G132" s="72">
        <v>36.0</v>
      </c>
      <c r="H132" s="54">
        <v>36.0</v>
      </c>
      <c r="I132" s="32"/>
      <c r="J132" s="32"/>
      <c r="K132" s="32"/>
      <c r="L132" s="32"/>
      <c r="M132" s="32"/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69" t="s">
        <v>377</v>
      </c>
      <c r="D133" s="70" t="s">
        <v>378</v>
      </c>
      <c r="E133" s="70" t="s">
        <v>379</v>
      </c>
      <c r="F133" s="71">
        <v>45.95</v>
      </c>
      <c r="G133" s="72">
        <v>58.65</v>
      </c>
      <c r="H133" s="52">
        <v>58.65</v>
      </c>
      <c r="I133" s="32"/>
      <c r="J133" s="32"/>
      <c r="K133" s="32"/>
      <c r="L133" s="32"/>
      <c r="M133" s="32"/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66" t="s">
        <v>17</v>
      </c>
      <c r="D134" s="67" t="s">
        <v>17</v>
      </c>
      <c r="E134" s="23" t="s">
        <v>380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4" t="s">
        <v>381</v>
      </c>
      <c r="D135" s="70" t="s">
        <v>382</v>
      </c>
      <c r="E135" s="70" t="s">
        <v>380</v>
      </c>
      <c r="F135" s="71">
        <v>35.95</v>
      </c>
      <c r="G135" s="72">
        <v>59.95</v>
      </c>
      <c r="H135" s="54">
        <v>55.0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4" t="s">
        <v>383</v>
      </c>
      <c r="D136" s="70" t="s">
        <v>384</v>
      </c>
      <c r="E136" s="70" t="s">
        <v>385</v>
      </c>
      <c r="F136" s="71">
        <v>45.95</v>
      </c>
      <c r="G136" s="72">
        <v>69.95</v>
      </c>
      <c r="H136" s="54">
        <v>69.95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66" t="s">
        <v>17</v>
      </c>
      <c r="D137" s="67" t="s">
        <v>17</v>
      </c>
      <c r="E137" s="23" t="s">
        <v>386</v>
      </c>
      <c r="F137" s="68" t="s">
        <v>17</v>
      </c>
      <c r="G137" s="68" t="s">
        <v>17</v>
      </c>
      <c r="H137" s="25" t="s">
        <v>17</v>
      </c>
      <c r="I137" s="66" t="s">
        <v>17</v>
      </c>
      <c r="J137" s="67" t="s">
        <v>17</v>
      </c>
      <c r="K137" s="67" t="s">
        <v>17</v>
      </c>
      <c r="L137" s="68" t="s">
        <v>17</v>
      </c>
      <c r="M137" s="68" t="s">
        <v>17</v>
      </c>
      <c r="N137" s="25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387</v>
      </c>
      <c r="D138" s="70" t="s">
        <v>388</v>
      </c>
      <c r="E138" s="70" t="s">
        <v>389</v>
      </c>
      <c r="F138" s="71">
        <v>19.99</v>
      </c>
      <c r="G138" s="72">
        <v>24.99</v>
      </c>
      <c r="H138" s="52">
        <v>34.95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390</v>
      </c>
      <c r="D139" s="70" t="s">
        <v>391</v>
      </c>
      <c r="E139" s="70" t="s">
        <v>392</v>
      </c>
      <c r="F139" s="71">
        <v>39.95</v>
      </c>
      <c r="G139" s="72">
        <v>49.95</v>
      </c>
      <c r="H139" s="52">
        <v>59.99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393</v>
      </c>
      <c r="D140" s="70" t="s">
        <v>394</v>
      </c>
      <c r="E140" s="70" t="s">
        <v>395</v>
      </c>
      <c r="F140" s="71">
        <v>79.9</v>
      </c>
      <c r="G140" s="72">
        <v>99.9</v>
      </c>
      <c r="H140" s="52">
        <v>124.95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3" t="s">
        <v>396</v>
      </c>
      <c r="D141" s="70" t="s">
        <v>397</v>
      </c>
      <c r="E141" s="70" t="s">
        <v>398</v>
      </c>
      <c r="F141" s="71">
        <v>49.95</v>
      </c>
      <c r="G141" s="72">
        <v>59.95</v>
      </c>
      <c r="H141" s="52">
        <v>69.95</v>
      </c>
      <c r="I141" s="32"/>
      <c r="J141" s="32"/>
      <c r="K141" s="32"/>
      <c r="L141" s="32"/>
      <c r="M141" s="32"/>
      <c r="N141" s="32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6" t="s">
        <v>17</v>
      </c>
      <c r="D142" s="67" t="s">
        <v>17</v>
      </c>
      <c r="E142" s="23" t="s">
        <v>399</v>
      </c>
      <c r="F142" s="68" t="s">
        <v>17</v>
      </c>
      <c r="G142" s="68" t="s">
        <v>17</v>
      </c>
      <c r="H142" s="25" t="s">
        <v>17</v>
      </c>
      <c r="I142" s="66" t="s">
        <v>17</v>
      </c>
      <c r="J142" s="67" t="s">
        <v>17</v>
      </c>
      <c r="K142" s="67" t="s">
        <v>17</v>
      </c>
      <c r="L142" s="68" t="s">
        <v>17</v>
      </c>
      <c r="M142" s="68" t="s">
        <v>17</v>
      </c>
      <c r="N142" s="25" t="s">
        <v>17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3" t="s">
        <v>400</v>
      </c>
      <c r="D143" s="70" t="s">
        <v>401</v>
      </c>
      <c r="E143" s="70" t="s">
        <v>399</v>
      </c>
      <c r="F143" s="71">
        <v>29.95</v>
      </c>
      <c r="G143" s="72">
        <v>39.95</v>
      </c>
      <c r="H143" s="52">
        <v>29.95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66" t="s">
        <v>17</v>
      </c>
      <c r="D144" s="67" t="s">
        <v>17</v>
      </c>
      <c r="E144" s="23" t="s">
        <v>402</v>
      </c>
      <c r="F144" s="68" t="s">
        <v>17</v>
      </c>
      <c r="G144" s="68" t="s">
        <v>17</v>
      </c>
      <c r="H144" s="25" t="s">
        <v>17</v>
      </c>
      <c r="I144" s="66" t="s">
        <v>17</v>
      </c>
      <c r="J144" s="67" t="s">
        <v>17</v>
      </c>
      <c r="K144" s="67" t="s">
        <v>17</v>
      </c>
      <c r="L144" s="68" t="s">
        <v>17</v>
      </c>
      <c r="M144" s="68" t="s">
        <v>17</v>
      </c>
      <c r="N144" s="25" t="s">
        <v>17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69" t="s">
        <v>403</v>
      </c>
      <c r="D145" s="70" t="s">
        <v>404</v>
      </c>
      <c r="E145" s="70" t="s">
        <v>405</v>
      </c>
      <c r="F145" s="71">
        <v>69.95</v>
      </c>
      <c r="G145" s="72">
        <v>69.95</v>
      </c>
      <c r="H145" s="52">
        <v>69.95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66" t="s">
        <v>17</v>
      </c>
      <c r="D146" s="67" t="s">
        <v>17</v>
      </c>
      <c r="E146" s="23" t="s">
        <v>406</v>
      </c>
      <c r="F146" s="68" t="s">
        <v>17</v>
      </c>
      <c r="G146" s="68" t="s">
        <v>17</v>
      </c>
      <c r="H146" s="25" t="s">
        <v>17</v>
      </c>
      <c r="I146" s="66" t="s">
        <v>17</v>
      </c>
      <c r="J146" s="67" t="s">
        <v>17</v>
      </c>
      <c r="K146" s="67" t="s">
        <v>17</v>
      </c>
      <c r="L146" s="68" t="s">
        <v>17</v>
      </c>
      <c r="M146" s="68" t="s">
        <v>17</v>
      </c>
      <c r="N146" s="25" t="s">
        <v>17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3" t="s">
        <v>407</v>
      </c>
      <c r="D147" s="70" t="s">
        <v>408</v>
      </c>
      <c r="E147" s="70" t="s">
        <v>409</v>
      </c>
      <c r="F147" s="71">
        <v>79.9</v>
      </c>
      <c r="G147" s="72">
        <v>79.9</v>
      </c>
      <c r="H147" s="52">
        <v>109.9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4" t="s">
        <v>410</v>
      </c>
      <c r="D148" s="70" t="s">
        <v>411</v>
      </c>
      <c r="E148" s="70" t="s">
        <v>412</v>
      </c>
      <c r="F148" s="71">
        <v>39.95</v>
      </c>
      <c r="G148" s="72">
        <v>49.95</v>
      </c>
      <c r="H148" s="52">
        <v>59.95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5" t="s">
        <v>413</v>
      </c>
      <c r="D149" s="70" t="s">
        <v>414</v>
      </c>
      <c r="E149" s="70" t="s">
        <v>415</v>
      </c>
      <c r="F149" s="71">
        <v>99.9</v>
      </c>
      <c r="G149" s="72">
        <v>99.9</v>
      </c>
      <c r="H149" s="52">
        <v>129.95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38"/>
      <c r="C150" s="39" t="s">
        <v>416</v>
      </c>
      <c r="D150" s="15" t="s">
        <v>417</v>
      </c>
      <c r="E150" s="15" t="s">
        <v>418</v>
      </c>
      <c r="F150" s="58">
        <v>49.95</v>
      </c>
      <c r="G150" s="56">
        <v>59.95</v>
      </c>
      <c r="H150" s="52">
        <v>69.95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</sheetData>
  <mergeCells count="8">
    <mergeCell ref="A1:N2"/>
    <mergeCell ref="A3:H3"/>
    <mergeCell ref="A5:A10"/>
    <mergeCell ref="B5:B33"/>
    <mergeCell ref="B34:B56"/>
    <mergeCell ref="B57:B78"/>
    <mergeCell ref="B79:B123"/>
    <mergeCell ref="B124:B15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8.5"/>
    <col customWidth="1" min="5" max="5" width="14.75"/>
    <col hidden="1" min="6" max="8" width="12.63"/>
    <col customWidth="1" min="10" max="10" width="26.5"/>
    <col customWidth="1" min="14" max="14" width="42.5"/>
    <col customWidth="1" min="15" max="15" width="46.13"/>
    <col customWidth="1" min="16" max="16" width="18.25"/>
  </cols>
  <sheetData>
    <row r="1">
      <c r="A1" s="142" t="s">
        <v>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3.7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 t="s">
        <v>680</v>
      </c>
      <c r="J3" s="15"/>
      <c r="K3" s="15"/>
      <c r="L3" s="15"/>
      <c r="M3" s="15"/>
      <c r="N3" s="139"/>
      <c r="O3" s="143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05" t="s">
        <v>3</v>
      </c>
      <c r="D4" s="106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681</v>
      </c>
      <c r="J4" s="15" t="s">
        <v>682</v>
      </c>
      <c r="K4" s="15" t="s">
        <v>683</v>
      </c>
      <c r="L4" s="15" t="s">
        <v>684</v>
      </c>
      <c r="M4" s="15" t="s">
        <v>685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4" t="s">
        <v>686</v>
      </c>
      <c r="B5" s="20" t="s">
        <v>16</v>
      </c>
      <c r="C5" s="105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419.0</v>
      </c>
      <c r="I6" s="32"/>
      <c r="J6" s="57" t="s">
        <v>687</v>
      </c>
      <c r="K6" s="32"/>
      <c r="L6" s="32"/>
      <c r="M6" s="32"/>
      <c r="N6" s="15" t="s">
        <v>688</v>
      </c>
      <c r="O6" s="8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409.0</v>
      </c>
      <c r="I7" s="32"/>
      <c r="J7" s="57" t="s">
        <v>689</v>
      </c>
      <c r="K7" s="32"/>
      <c r="L7" s="32"/>
      <c r="M7" s="32"/>
      <c r="N7" s="15" t="s">
        <v>690</v>
      </c>
      <c r="O7" s="8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144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459.0</v>
      </c>
      <c r="I8" s="32"/>
      <c r="J8" s="57" t="s">
        <v>691</v>
      </c>
      <c r="K8" s="15"/>
      <c r="L8" s="15"/>
      <c r="M8" s="32"/>
      <c r="N8" s="15" t="s">
        <v>690</v>
      </c>
      <c r="O8" s="8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32"/>
      <c r="J9" s="57"/>
      <c r="K9" s="15"/>
      <c r="L9" s="15"/>
      <c r="M9" s="32"/>
      <c r="N9" s="15" t="s">
        <v>690</v>
      </c>
      <c r="O9" s="8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559.0</v>
      </c>
      <c r="I10" s="32"/>
      <c r="J10" s="57" t="s">
        <v>692</v>
      </c>
      <c r="K10" s="15"/>
      <c r="L10" s="15"/>
      <c r="M10" s="32"/>
      <c r="N10" s="15" t="s">
        <v>690</v>
      </c>
      <c r="O10" s="8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609.0</v>
      </c>
      <c r="I11" s="32"/>
      <c r="J11" s="57" t="s">
        <v>693</v>
      </c>
      <c r="K11" s="15"/>
      <c r="L11" s="15"/>
      <c r="M11" s="32"/>
      <c r="N11" s="15" t="s">
        <v>690</v>
      </c>
      <c r="O11" s="8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694</v>
      </c>
      <c r="D12" s="15" t="s">
        <v>695</v>
      </c>
      <c r="E12" s="15" t="s">
        <v>696</v>
      </c>
      <c r="F12" s="29"/>
      <c r="G12" s="30"/>
      <c r="H12" s="31">
        <v>799.0</v>
      </c>
      <c r="I12" s="32"/>
      <c r="J12" s="57" t="s">
        <v>697</v>
      </c>
      <c r="K12" s="15"/>
      <c r="L12" s="15"/>
      <c r="M12" s="32"/>
      <c r="N12" s="15"/>
      <c r="O12" s="8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38</v>
      </c>
      <c r="D13" s="15" t="s">
        <v>39</v>
      </c>
      <c r="E13" s="15" t="s">
        <v>40</v>
      </c>
      <c r="F13" s="29">
        <v>699.0</v>
      </c>
      <c r="G13" s="30">
        <v>999.0</v>
      </c>
      <c r="H13" s="31">
        <v>999.0</v>
      </c>
      <c r="I13" s="32"/>
      <c r="J13" s="57" t="s">
        <v>698</v>
      </c>
      <c r="K13" s="15"/>
      <c r="L13" s="15"/>
      <c r="M13" s="32"/>
      <c r="N13" s="15" t="s">
        <v>690</v>
      </c>
      <c r="O13" s="8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8" t="s">
        <v>42</v>
      </c>
      <c r="D14" s="15" t="s">
        <v>43</v>
      </c>
      <c r="E14" s="15" t="s">
        <v>44</v>
      </c>
      <c r="F14" s="35">
        <f>F13+50</f>
        <v>749</v>
      </c>
      <c r="G14" s="30">
        <v>1049.0</v>
      </c>
      <c r="H14" s="31">
        <v>1049.0</v>
      </c>
      <c r="I14" s="32"/>
      <c r="J14" s="57" t="s">
        <v>699</v>
      </c>
      <c r="K14" s="15"/>
      <c r="L14" s="15"/>
      <c r="M14" s="32"/>
      <c r="N14" s="15" t="s">
        <v>690</v>
      </c>
      <c r="O14" s="8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105" t="s">
        <v>17</v>
      </c>
      <c r="D15" s="22" t="s">
        <v>17</v>
      </c>
      <c r="E15" s="23" t="s">
        <v>45</v>
      </c>
      <c r="F15" s="24" t="s">
        <v>17</v>
      </c>
      <c r="G15" s="24" t="s">
        <v>17</v>
      </c>
      <c r="H15" s="25" t="s">
        <v>17</v>
      </c>
      <c r="I15" s="25" t="s">
        <v>17</v>
      </c>
      <c r="J15" s="25" t="s">
        <v>17</v>
      </c>
      <c r="K15" s="25" t="s">
        <v>17</v>
      </c>
      <c r="L15" s="25" t="s">
        <v>17</v>
      </c>
      <c r="M15" s="25" t="s">
        <v>17</v>
      </c>
      <c r="N15" s="25" t="s">
        <v>17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46</v>
      </c>
      <c r="D16" s="40" t="s">
        <v>47</v>
      </c>
      <c r="E16" s="15" t="s">
        <v>48</v>
      </c>
      <c r="F16" s="35">
        <f t="shared" ref="F16:F34" si="2">G16*0.9</f>
        <v>71.991</v>
      </c>
      <c r="G16" s="41">
        <v>79.99</v>
      </c>
      <c r="H16" s="42">
        <v>91.25</v>
      </c>
      <c r="I16" s="32"/>
      <c r="J16" s="40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49</v>
      </c>
      <c r="D17" s="40" t="s">
        <v>50</v>
      </c>
      <c r="E17" s="15" t="s">
        <v>51</v>
      </c>
      <c r="F17" s="35">
        <f t="shared" si="2"/>
        <v>103.491</v>
      </c>
      <c r="G17" s="41">
        <v>114.99</v>
      </c>
      <c r="H17" s="42">
        <v>130.95</v>
      </c>
      <c r="I17" s="32"/>
      <c r="J17" s="40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52</v>
      </c>
      <c r="D18" s="40" t="s">
        <v>53</v>
      </c>
      <c r="E18" s="15" t="s">
        <v>54</v>
      </c>
      <c r="F18" s="35">
        <f t="shared" si="2"/>
        <v>40.455</v>
      </c>
      <c r="G18" s="41">
        <v>44.95</v>
      </c>
      <c r="H18" s="42">
        <v>56.95</v>
      </c>
      <c r="I18" s="32"/>
      <c r="J18" s="40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55</v>
      </c>
      <c r="D19" s="40" t="s">
        <v>56</v>
      </c>
      <c r="E19" s="15" t="s">
        <v>57</v>
      </c>
      <c r="F19" s="35">
        <f t="shared" si="2"/>
        <v>13.491</v>
      </c>
      <c r="G19" s="41">
        <v>14.99</v>
      </c>
      <c r="H19" s="42">
        <v>26.95</v>
      </c>
      <c r="I19" s="32"/>
      <c r="J19" s="40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58</v>
      </c>
      <c r="D20" s="40" t="s">
        <v>59</v>
      </c>
      <c r="E20" s="15" t="s">
        <v>60</v>
      </c>
      <c r="F20" s="35">
        <f t="shared" si="2"/>
        <v>40.455</v>
      </c>
      <c r="G20" s="41">
        <v>44.95</v>
      </c>
      <c r="H20" s="42">
        <v>57.95</v>
      </c>
      <c r="I20" s="32"/>
      <c r="J20" s="40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61</v>
      </c>
      <c r="D21" s="40" t="s">
        <v>62</v>
      </c>
      <c r="E21" s="15" t="s">
        <v>700</v>
      </c>
      <c r="F21" s="35">
        <f t="shared" si="2"/>
        <v>137.691</v>
      </c>
      <c r="G21" s="41">
        <v>152.99</v>
      </c>
      <c r="H21" s="31">
        <v>178.0</v>
      </c>
      <c r="I21" s="32"/>
      <c r="J21" s="57" t="s">
        <v>701</v>
      </c>
      <c r="K21" s="15"/>
      <c r="L21" s="15"/>
      <c r="M21" s="32"/>
      <c r="N21" s="15" t="s">
        <v>702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64</v>
      </c>
      <c r="D22" s="40" t="s">
        <v>65</v>
      </c>
      <c r="E22" s="15" t="s">
        <v>703</v>
      </c>
      <c r="F22" s="35">
        <f t="shared" si="2"/>
        <v>53.955</v>
      </c>
      <c r="G22" s="41">
        <v>59.95</v>
      </c>
      <c r="H22" s="42">
        <v>73.95</v>
      </c>
      <c r="I22" s="32"/>
      <c r="J22" s="40"/>
      <c r="K22" s="15"/>
      <c r="L22" s="15"/>
      <c r="M22" s="32"/>
      <c r="N22" s="94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67</v>
      </c>
      <c r="D23" s="40" t="s">
        <v>68</v>
      </c>
      <c r="E23" s="15" t="s">
        <v>704</v>
      </c>
      <c r="F23" s="35">
        <f t="shared" si="2"/>
        <v>17.955</v>
      </c>
      <c r="G23" s="41">
        <v>19.95</v>
      </c>
      <c r="H23" s="42">
        <v>27.95</v>
      </c>
      <c r="I23" s="32"/>
      <c r="J23" s="40"/>
      <c r="K23" s="15"/>
      <c r="L23" s="15"/>
      <c r="M23" s="32"/>
      <c r="N23" s="94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70</v>
      </c>
      <c r="D24" s="40" t="s">
        <v>71</v>
      </c>
      <c r="E24" s="15" t="s">
        <v>705</v>
      </c>
      <c r="F24" s="35">
        <f t="shared" si="2"/>
        <v>53.955</v>
      </c>
      <c r="G24" s="41">
        <v>59.95</v>
      </c>
      <c r="H24" s="42">
        <v>73.95</v>
      </c>
      <c r="I24" s="32"/>
      <c r="J24" s="40"/>
      <c r="K24" s="15"/>
      <c r="L24" s="15"/>
      <c r="M24" s="32"/>
      <c r="N24" s="94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73</v>
      </c>
      <c r="D25" s="40" t="s">
        <v>74</v>
      </c>
      <c r="E25" s="15" t="s">
        <v>706</v>
      </c>
      <c r="F25" s="35">
        <f t="shared" si="2"/>
        <v>287.091</v>
      </c>
      <c r="G25" s="41">
        <v>318.99</v>
      </c>
      <c r="H25" s="42">
        <v>343.99</v>
      </c>
      <c r="I25" s="32"/>
      <c r="J25" s="57" t="s">
        <v>707</v>
      </c>
      <c r="K25" s="15"/>
      <c r="L25" s="15"/>
      <c r="M25" s="32"/>
      <c r="N25" s="5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76</v>
      </c>
      <c r="D26" s="40" t="s">
        <v>77</v>
      </c>
      <c r="E26" s="15" t="s">
        <v>708</v>
      </c>
      <c r="F26" s="35">
        <f t="shared" si="2"/>
        <v>112.5</v>
      </c>
      <c r="G26" s="30">
        <v>125.0</v>
      </c>
      <c r="H26" s="42">
        <v>140.95</v>
      </c>
      <c r="I26" s="32"/>
      <c r="J26" s="40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79</v>
      </c>
      <c r="D27" s="40" t="s">
        <v>80</v>
      </c>
      <c r="E27" s="15" t="s">
        <v>709</v>
      </c>
      <c r="F27" s="35">
        <f t="shared" si="2"/>
        <v>31.5</v>
      </c>
      <c r="G27" s="30">
        <v>35.0</v>
      </c>
      <c r="H27" s="42">
        <v>46.95</v>
      </c>
      <c r="I27" s="32"/>
      <c r="J27" s="40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82</v>
      </c>
      <c r="D28" s="40" t="s">
        <v>83</v>
      </c>
      <c r="E28" s="15" t="s">
        <v>710</v>
      </c>
      <c r="F28" s="35">
        <f t="shared" si="2"/>
        <v>112.5</v>
      </c>
      <c r="G28" s="30">
        <v>125.0</v>
      </c>
      <c r="H28" s="42">
        <v>142.95</v>
      </c>
      <c r="I28" s="32"/>
      <c r="J28" s="40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85</v>
      </c>
      <c r="D29" s="40" t="s">
        <v>86</v>
      </c>
      <c r="E29" s="15" t="s">
        <v>87</v>
      </c>
      <c r="F29" s="35">
        <f t="shared" si="2"/>
        <v>44.955</v>
      </c>
      <c r="G29" s="41">
        <v>49.95</v>
      </c>
      <c r="H29" s="42">
        <v>59.95</v>
      </c>
      <c r="I29" s="32"/>
      <c r="J29" s="40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88</v>
      </c>
      <c r="D30" s="40" t="s">
        <v>89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90</v>
      </c>
      <c r="D31" s="40" t="s">
        <v>91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92</v>
      </c>
      <c r="D32" s="40" t="s">
        <v>93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94</v>
      </c>
      <c r="D33" s="40" t="s">
        <v>95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40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7"/>
      <c r="C34" s="39" t="s">
        <v>96</v>
      </c>
      <c r="D34" s="40" t="s">
        <v>97</v>
      </c>
      <c r="E34" s="15" t="s">
        <v>87</v>
      </c>
      <c r="F34" s="35">
        <f t="shared" si="2"/>
        <v>44.955</v>
      </c>
      <c r="G34" s="41">
        <v>49.95</v>
      </c>
      <c r="H34" s="42">
        <v>59.95</v>
      </c>
      <c r="I34" s="32"/>
      <c r="J34" s="40"/>
      <c r="K34" s="15"/>
      <c r="L34" s="15"/>
      <c r="M34" s="32"/>
      <c r="N34" s="32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0" t="s">
        <v>98</v>
      </c>
      <c r="C35" s="105" t="s">
        <v>17</v>
      </c>
      <c r="D35" s="22" t="s">
        <v>17</v>
      </c>
      <c r="E35" s="23" t="s">
        <v>99</v>
      </c>
      <c r="F35" s="24" t="s">
        <v>17</v>
      </c>
      <c r="G35" s="24" t="s">
        <v>17</v>
      </c>
      <c r="H35" s="25" t="s">
        <v>17</v>
      </c>
      <c r="I35" s="25" t="s">
        <v>17</v>
      </c>
      <c r="J35" s="25" t="s">
        <v>17</v>
      </c>
      <c r="K35" s="25" t="s">
        <v>17</v>
      </c>
      <c r="L35" s="25" t="s">
        <v>17</v>
      </c>
      <c r="M35" s="25" t="s">
        <v>17</v>
      </c>
      <c r="N35" s="25" t="s">
        <v>17</v>
      </c>
      <c r="O35" s="18"/>
      <c r="P35" s="145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7"/>
      <c r="C36" s="28" t="s">
        <v>100</v>
      </c>
      <c r="D36" s="15" t="s">
        <v>101</v>
      </c>
      <c r="E36" s="15" t="s">
        <v>102</v>
      </c>
      <c r="F36" s="35">
        <f t="shared" ref="F36:F37" si="3">G36*0.8</f>
        <v>359.2</v>
      </c>
      <c r="G36" s="41">
        <v>449.0</v>
      </c>
      <c r="H36" s="31">
        <v>475.0</v>
      </c>
      <c r="I36" s="32"/>
      <c r="J36" s="57" t="s">
        <v>711</v>
      </c>
      <c r="K36" s="44"/>
      <c r="L36" s="44"/>
      <c r="M36" s="32"/>
      <c r="N36" s="15" t="s">
        <v>712</v>
      </c>
      <c r="O36" s="88"/>
      <c r="P36" s="8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146" t="s">
        <v>713</v>
      </c>
      <c r="D37" s="15" t="s">
        <v>104</v>
      </c>
      <c r="E37" s="15" t="s">
        <v>105</v>
      </c>
      <c r="F37" s="35">
        <f t="shared" si="3"/>
        <v>386.4</v>
      </c>
      <c r="G37" s="41">
        <v>483.0</v>
      </c>
      <c r="H37" s="31">
        <v>495.0</v>
      </c>
      <c r="I37" s="32"/>
      <c r="J37" s="57" t="s">
        <v>714</v>
      </c>
      <c r="K37" s="44"/>
      <c r="L37" s="44"/>
      <c r="M37" s="32"/>
      <c r="N37" s="15" t="s">
        <v>715</v>
      </c>
      <c r="O37" s="88"/>
      <c r="P37" s="8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28" t="s">
        <v>106</v>
      </c>
      <c r="D38" s="15" t="s">
        <v>107</v>
      </c>
      <c r="E38" s="15" t="s">
        <v>108</v>
      </c>
      <c r="F38" s="35"/>
      <c r="G38" s="46"/>
      <c r="H38" s="31">
        <v>490.0</v>
      </c>
      <c r="I38" s="32"/>
      <c r="J38" s="57" t="s">
        <v>716</v>
      </c>
      <c r="K38" s="44"/>
      <c r="L38" s="44"/>
      <c r="M38" s="32"/>
      <c r="N38" s="15" t="s">
        <v>717</v>
      </c>
      <c r="O38" s="88"/>
      <c r="P38" s="8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28" t="s">
        <v>109</v>
      </c>
      <c r="D39" s="15" t="s">
        <v>110</v>
      </c>
      <c r="E39" s="15" t="s">
        <v>718</v>
      </c>
      <c r="F39" s="35">
        <f t="shared" ref="F39:F42" si="4">G39*0.8</f>
        <v>399.2</v>
      </c>
      <c r="G39" s="41">
        <v>499.0</v>
      </c>
      <c r="H39" s="31">
        <v>525.0</v>
      </c>
      <c r="I39" s="32"/>
      <c r="J39" s="57" t="s">
        <v>719</v>
      </c>
      <c r="K39" s="44"/>
      <c r="L39" s="44"/>
      <c r="M39" s="32"/>
      <c r="N39" s="15" t="s">
        <v>720</v>
      </c>
      <c r="O39" s="88"/>
      <c r="P39" s="8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112</v>
      </c>
      <c r="D40" s="15" t="s">
        <v>113</v>
      </c>
      <c r="E40" s="15" t="s">
        <v>114</v>
      </c>
      <c r="F40" s="35">
        <f t="shared" si="4"/>
        <v>415.2</v>
      </c>
      <c r="G40" s="41">
        <v>519.0</v>
      </c>
      <c r="H40" s="31">
        <v>545.0</v>
      </c>
      <c r="I40" s="32"/>
      <c r="J40" s="57" t="s">
        <v>721</v>
      </c>
      <c r="K40" s="44"/>
      <c r="L40" s="44"/>
      <c r="M40" s="32"/>
      <c r="N40" s="15" t="s">
        <v>722</v>
      </c>
      <c r="O40" s="88"/>
      <c r="P40" s="8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115</v>
      </c>
      <c r="D41" s="15" t="s">
        <v>116</v>
      </c>
      <c r="E41" s="15" t="s">
        <v>117</v>
      </c>
      <c r="F41" s="35">
        <f t="shared" si="4"/>
        <v>287.2</v>
      </c>
      <c r="G41" s="41">
        <v>359.0</v>
      </c>
      <c r="H41" s="31">
        <v>375.0</v>
      </c>
      <c r="I41" s="32"/>
      <c r="J41" s="57" t="s">
        <v>723</v>
      </c>
      <c r="K41" s="44"/>
      <c r="L41" s="44"/>
      <c r="M41" s="32"/>
      <c r="N41" s="15" t="s">
        <v>690</v>
      </c>
      <c r="O41" s="88"/>
      <c r="P41" s="8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28" t="s">
        <v>119</v>
      </c>
      <c r="D42" s="15" t="s">
        <v>119</v>
      </c>
      <c r="E42" s="15" t="s">
        <v>120</v>
      </c>
      <c r="F42" s="35">
        <f t="shared" si="4"/>
        <v>303.2</v>
      </c>
      <c r="G42" s="48">
        <v>379.0</v>
      </c>
      <c r="H42" s="31">
        <v>395.0</v>
      </c>
      <c r="I42" s="32"/>
      <c r="J42" s="57" t="s">
        <v>724</v>
      </c>
      <c r="K42" s="44"/>
      <c r="L42" s="44"/>
      <c r="M42" s="32"/>
      <c r="N42" s="15" t="s">
        <v>690</v>
      </c>
      <c r="O42" s="88"/>
      <c r="P42" s="8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28" t="s">
        <v>463</v>
      </c>
      <c r="D43" s="15" t="s">
        <v>464</v>
      </c>
      <c r="E43" s="15" t="s">
        <v>465</v>
      </c>
      <c r="F43" s="35"/>
      <c r="G43" s="47"/>
      <c r="H43" s="31">
        <v>425.0</v>
      </c>
      <c r="I43" s="32"/>
      <c r="J43" s="57" t="s">
        <v>725</v>
      </c>
      <c r="K43" s="44"/>
      <c r="L43" s="44"/>
      <c r="M43" s="32"/>
      <c r="N43" s="15" t="s">
        <v>690</v>
      </c>
      <c r="O43" s="88"/>
      <c r="P43" s="8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95" t="s">
        <v>466</v>
      </c>
      <c r="D44" s="96" t="s">
        <v>467</v>
      </c>
      <c r="E44" s="15" t="s">
        <v>468</v>
      </c>
      <c r="F44" s="35"/>
      <c r="G44" s="47"/>
      <c r="H44" s="31">
        <v>445.0</v>
      </c>
      <c r="I44" s="32"/>
      <c r="J44" s="57" t="s">
        <v>726</v>
      </c>
      <c r="K44" s="44"/>
      <c r="L44" s="44"/>
      <c r="M44" s="32"/>
      <c r="N44" s="15" t="s">
        <v>727</v>
      </c>
      <c r="O44" s="88"/>
      <c r="P44" s="8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144" t="s">
        <v>121</v>
      </c>
      <c r="D45" s="147" t="s">
        <v>122</v>
      </c>
      <c r="E45" s="147" t="s">
        <v>123</v>
      </c>
      <c r="F45" s="35">
        <f t="shared" ref="F45:F46" si="5">G45*0.8</f>
        <v>287.2</v>
      </c>
      <c r="G45" s="41">
        <v>359.0</v>
      </c>
      <c r="H45" s="31">
        <v>375.0</v>
      </c>
      <c r="I45" s="32"/>
      <c r="J45" s="57" t="s">
        <v>728</v>
      </c>
      <c r="K45" s="44"/>
      <c r="L45" s="44"/>
      <c r="M45" s="32"/>
      <c r="N45" s="15" t="s">
        <v>690</v>
      </c>
      <c r="O45" s="88"/>
      <c r="P45" s="8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43" t="s">
        <v>124</v>
      </c>
      <c r="D46" s="15" t="s">
        <v>125</v>
      </c>
      <c r="E46" s="15" t="s">
        <v>126</v>
      </c>
      <c r="F46" s="35">
        <f t="shared" si="5"/>
        <v>303.2</v>
      </c>
      <c r="G46" s="48">
        <v>379.0</v>
      </c>
      <c r="H46" s="31">
        <v>395.0</v>
      </c>
      <c r="I46" s="32"/>
      <c r="J46" s="57" t="s">
        <v>729</v>
      </c>
      <c r="K46" s="44"/>
      <c r="L46" s="44"/>
      <c r="M46" s="32"/>
      <c r="N46" s="15" t="s">
        <v>690</v>
      </c>
      <c r="O46" s="88"/>
      <c r="P46" s="8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105" t="s">
        <v>17</v>
      </c>
      <c r="D47" s="22" t="s">
        <v>17</v>
      </c>
      <c r="E47" s="23" t="s">
        <v>127</v>
      </c>
      <c r="F47" s="24" t="s">
        <v>17</v>
      </c>
      <c r="G47" s="24" t="s">
        <v>17</v>
      </c>
      <c r="H47" s="25" t="s">
        <v>17</v>
      </c>
      <c r="I47" s="25" t="s">
        <v>17</v>
      </c>
      <c r="J47" s="25" t="s">
        <v>17</v>
      </c>
      <c r="K47" s="25" t="s">
        <v>17</v>
      </c>
      <c r="L47" s="25" t="s">
        <v>17</v>
      </c>
      <c r="M47" s="25" t="s">
        <v>17</v>
      </c>
      <c r="N47" s="25" t="s">
        <v>17</v>
      </c>
      <c r="O47" s="18"/>
      <c r="P47" s="8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128</v>
      </c>
      <c r="D48" s="49" t="s">
        <v>129</v>
      </c>
      <c r="E48" s="32" t="s">
        <v>130</v>
      </c>
      <c r="F48" s="50">
        <f t="shared" ref="F48:F57" si="6">H48</f>
        <v>59.95</v>
      </c>
      <c r="G48" s="51">
        <f t="shared" ref="G48:G57" si="7">H48</f>
        <v>59.95</v>
      </c>
      <c r="H48" s="52">
        <v>59.95</v>
      </c>
      <c r="I48" s="32"/>
      <c r="J48" s="44"/>
      <c r="K48" s="44"/>
      <c r="L48" s="44"/>
      <c r="M48" s="32"/>
      <c r="N48" s="32"/>
      <c r="O48" s="18"/>
      <c r="P48" s="8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131</v>
      </c>
      <c r="D49" s="15" t="s">
        <v>132</v>
      </c>
      <c r="E49" s="32" t="s">
        <v>133</v>
      </c>
      <c r="F49" s="50">
        <f t="shared" si="6"/>
        <v>59.95</v>
      </c>
      <c r="G49" s="51">
        <f t="shared" si="7"/>
        <v>59.95</v>
      </c>
      <c r="H49" s="52">
        <v>59.95</v>
      </c>
      <c r="I49" s="32"/>
      <c r="J49" s="44"/>
      <c r="K49" s="44"/>
      <c r="L49" s="44"/>
      <c r="M49" s="32"/>
      <c r="N49" s="32"/>
      <c r="O49" s="18"/>
      <c r="P49" s="8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134</v>
      </c>
      <c r="D50" s="15" t="s">
        <v>135</v>
      </c>
      <c r="E50" s="32" t="s">
        <v>136</v>
      </c>
      <c r="F50" s="50">
        <f t="shared" si="6"/>
        <v>33.95</v>
      </c>
      <c r="G50" s="51">
        <f t="shared" si="7"/>
        <v>33.95</v>
      </c>
      <c r="H50" s="52">
        <v>33.95</v>
      </c>
      <c r="I50" s="32"/>
      <c r="J50" s="32"/>
      <c r="K50" s="32"/>
      <c r="L50" s="32"/>
      <c r="M50" s="32"/>
      <c r="N50" s="32"/>
      <c r="O50" s="18"/>
      <c r="P50" s="8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137</v>
      </c>
      <c r="D51" s="15" t="s">
        <v>138</v>
      </c>
      <c r="E51" s="32" t="s">
        <v>139</v>
      </c>
      <c r="F51" s="50">
        <f t="shared" si="6"/>
        <v>42.95</v>
      </c>
      <c r="G51" s="51">
        <f t="shared" si="7"/>
        <v>42.95</v>
      </c>
      <c r="H51" s="52">
        <v>42.95</v>
      </c>
      <c r="I51" s="32"/>
      <c r="J51" s="32"/>
      <c r="K51" s="32"/>
      <c r="L51" s="32"/>
      <c r="M51" s="32"/>
      <c r="N51" s="32"/>
      <c r="O51" s="18"/>
      <c r="P51" s="8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140</v>
      </c>
      <c r="D52" s="15" t="s">
        <v>141</v>
      </c>
      <c r="E52" s="32" t="s">
        <v>142</v>
      </c>
      <c r="F52" s="50">
        <f t="shared" si="6"/>
        <v>79.95</v>
      </c>
      <c r="G52" s="51">
        <f t="shared" si="7"/>
        <v>79.95</v>
      </c>
      <c r="H52" s="52">
        <v>79.95</v>
      </c>
      <c r="I52" s="32"/>
      <c r="J52" s="32"/>
      <c r="K52" s="32"/>
      <c r="L52" s="32"/>
      <c r="M52" s="32"/>
      <c r="N52" s="32"/>
      <c r="O52" s="18"/>
      <c r="P52" s="8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143</v>
      </c>
      <c r="D53" s="15" t="s">
        <v>144</v>
      </c>
      <c r="E53" s="15" t="s">
        <v>145</v>
      </c>
      <c r="F53" s="50">
        <f t="shared" si="6"/>
        <v>42.95</v>
      </c>
      <c r="G53" s="51">
        <f t="shared" si="7"/>
        <v>42.95</v>
      </c>
      <c r="H53" s="52">
        <v>42.95</v>
      </c>
      <c r="I53" s="32"/>
      <c r="J53" s="32"/>
      <c r="K53" s="32"/>
      <c r="L53" s="32"/>
      <c r="M53" s="32"/>
      <c r="N53" s="32"/>
      <c r="O53" s="18"/>
      <c r="P53" s="8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146</v>
      </c>
      <c r="D54" s="15" t="s">
        <v>147</v>
      </c>
      <c r="E54" s="15" t="s">
        <v>148</v>
      </c>
      <c r="F54" s="50">
        <f t="shared" si="6"/>
        <v>59.95</v>
      </c>
      <c r="G54" s="51">
        <f t="shared" si="7"/>
        <v>59.95</v>
      </c>
      <c r="H54" s="52">
        <v>59.95</v>
      </c>
      <c r="I54" s="32"/>
      <c r="J54" s="32"/>
      <c r="K54" s="32"/>
      <c r="L54" s="32"/>
      <c r="M54" s="32"/>
      <c r="N54" s="32"/>
      <c r="O54" s="18"/>
      <c r="P54" s="8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149</v>
      </c>
      <c r="D55" s="15" t="s">
        <v>150</v>
      </c>
      <c r="E55" s="15" t="s">
        <v>151</v>
      </c>
      <c r="F55" s="50">
        <f t="shared" si="6"/>
        <v>33.95</v>
      </c>
      <c r="G55" s="51">
        <f t="shared" si="7"/>
        <v>33.95</v>
      </c>
      <c r="H55" s="52">
        <v>33.95</v>
      </c>
      <c r="I55" s="32"/>
      <c r="J55" s="32"/>
      <c r="K55" s="32"/>
      <c r="L55" s="32"/>
      <c r="M55" s="32"/>
      <c r="N55" s="32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43" t="s">
        <v>152</v>
      </c>
      <c r="D56" s="53" t="s">
        <v>153</v>
      </c>
      <c r="E56" s="15" t="s">
        <v>154</v>
      </c>
      <c r="F56" s="50">
        <f t="shared" si="6"/>
        <v>80</v>
      </c>
      <c r="G56" s="51">
        <f t="shared" si="7"/>
        <v>80</v>
      </c>
      <c r="H56" s="54">
        <v>80.0</v>
      </c>
      <c r="I56" s="32"/>
      <c r="J56" s="32"/>
      <c r="K56" s="32"/>
      <c r="L56" s="32"/>
      <c r="M56" s="32"/>
      <c r="N56" s="32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38"/>
      <c r="C57" s="28" t="s">
        <v>155</v>
      </c>
      <c r="D57" s="53" t="s">
        <v>156</v>
      </c>
      <c r="E57" s="15" t="s">
        <v>157</v>
      </c>
      <c r="F57" s="50">
        <f t="shared" si="6"/>
        <v>29.95</v>
      </c>
      <c r="G57" s="51">
        <f t="shared" si="7"/>
        <v>29.95</v>
      </c>
      <c r="H57" s="52">
        <v>29.95</v>
      </c>
      <c r="I57" s="32"/>
      <c r="J57" s="32"/>
      <c r="K57" s="32"/>
      <c r="L57" s="32"/>
      <c r="M57" s="32"/>
      <c r="N57" s="32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0" t="s">
        <v>158</v>
      </c>
      <c r="C58" s="105" t="s">
        <v>17</v>
      </c>
      <c r="D58" s="22" t="s">
        <v>17</v>
      </c>
      <c r="E58" s="23" t="s">
        <v>159</v>
      </c>
      <c r="F58" s="24" t="s">
        <v>17</v>
      </c>
      <c r="G58" s="24" t="s">
        <v>17</v>
      </c>
      <c r="H58" s="25" t="s">
        <v>17</v>
      </c>
      <c r="I58" s="25" t="s">
        <v>17</v>
      </c>
      <c r="J58" s="25" t="s">
        <v>17</v>
      </c>
      <c r="K58" s="25" t="s">
        <v>17</v>
      </c>
      <c r="L58" s="25" t="s">
        <v>17</v>
      </c>
      <c r="M58" s="25" t="s">
        <v>17</v>
      </c>
      <c r="N58" s="25" t="s">
        <v>17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160</v>
      </c>
      <c r="D59" s="15" t="s">
        <v>161</v>
      </c>
      <c r="E59" s="15" t="s">
        <v>162</v>
      </c>
      <c r="F59" s="50">
        <f t="shared" ref="F59:F61" si="8">H59*80%</f>
        <v>208</v>
      </c>
      <c r="G59" s="56">
        <v>260.0</v>
      </c>
      <c r="H59" s="52">
        <v>260.0</v>
      </c>
      <c r="I59" s="32"/>
      <c r="J59" s="32"/>
      <c r="K59" s="32"/>
      <c r="L59" s="32"/>
      <c r="M59" s="32"/>
      <c r="N59" s="32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164</v>
      </c>
      <c r="D60" s="15" t="s">
        <v>165</v>
      </c>
      <c r="E60" s="15" t="s">
        <v>166</v>
      </c>
      <c r="F60" s="50">
        <f t="shared" si="8"/>
        <v>208</v>
      </c>
      <c r="G60" s="56">
        <v>260.0</v>
      </c>
      <c r="H60" s="52">
        <v>260.0</v>
      </c>
      <c r="I60" s="32"/>
      <c r="J60" s="32"/>
      <c r="K60" s="32"/>
      <c r="L60" s="32"/>
      <c r="M60" s="32"/>
      <c r="N60" s="32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167</v>
      </c>
      <c r="D61" s="15" t="s">
        <v>168</v>
      </c>
      <c r="E61" s="15" t="s">
        <v>169</v>
      </c>
      <c r="F61" s="50">
        <f t="shared" si="8"/>
        <v>208</v>
      </c>
      <c r="G61" s="56">
        <v>260.0</v>
      </c>
      <c r="H61" s="52">
        <v>260.0</v>
      </c>
      <c r="I61" s="32"/>
      <c r="J61" s="32"/>
      <c r="K61" s="32"/>
      <c r="L61" s="32"/>
      <c r="M61" s="32"/>
      <c r="N61" s="32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105" t="s">
        <v>17</v>
      </c>
      <c r="D62" s="22" t="s">
        <v>17</v>
      </c>
      <c r="E62" s="23" t="s">
        <v>170</v>
      </c>
      <c r="F62" s="24" t="s">
        <v>17</v>
      </c>
      <c r="G62" s="24" t="s">
        <v>17</v>
      </c>
      <c r="H62" s="25" t="s">
        <v>17</v>
      </c>
      <c r="I62" s="25" t="s">
        <v>17</v>
      </c>
      <c r="J62" s="25" t="s">
        <v>17</v>
      </c>
      <c r="K62" s="25" t="s">
        <v>17</v>
      </c>
      <c r="L62" s="25" t="s">
        <v>17</v>
      </c>
      <c r="M62" s="25" t="s">
        <v>17</v>
      </c>
      <c r="N62" s="25" t="s">
        <v>17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171</v>
      </c>
      <c r="D63" s="15" t="s">
        <v>172</v>
      </c>
      <c r="E63" s="15" t="s">
        <v>173</v>
      </c>
      <c r="F63" s="50">
        <f t="shared" ref="F63:F69" si="9">H63*70%</f>
        <v>51.1</v>
      </c>
      <c r="G63" s="56">
        <v>73.0</v>
      </c>
      <c r="H63" s="52">
        <v>73.0</v>
      </c>
      <c r="I63" s="32"/>
      <c r="J63" s="57" t="s">
        <v>730</v>
      </c>
      <c r="K63" s="32"/>
      <c r="L63" s="32"/>
      <c r="M63" s="32"/>
      <c r="N63" s="148" t="s">
        <v>731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176</v>
      </c>
      <c r="D64" s="15" t="s">
        <v>177</v>
      </c>
      <c r="E64" s="15" t="s">
        <v>178</v>
      </c>
      <c r="F64" s="50">
        <f t="shared" si="9"/>
        <v>51.1</v>
      </c>
      <c r="G64" s="56">
        <v>73.0</v>
      </c>
      <c r="H64" s="52">
        <v>73.0</v>
      </c>
      <c r="I64" s="32"/>
      <c r="J64" s="57" t="s">
        <v>730</v>
      </c>
      <c r="K64" s="32"/>
      <c r="L64" s="32"/>
      <c r="M64" s="32"/>
      <c r="N64" s="148" t="s">
        <v>732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179</v>
      </c>
      <c r="D65" s="15" t="s">
        <v>180</v>
      </c>
      <c r="E65" s="15" t="s">
        <v>181</v>
      </c>
      <c r="F65" s="50">
        <f t="shared" si="9"/>
        <v>57.365</v>
      </c>
      <c r="G65" s="56">
        <v>81.95</v>
      </c>
      <c r="H65" s="52">
        <v>81.95</v>
      </c>
      <c r="I65" s="32"/>
      <c r="J65" s="57" t="s">
        <v>730</v>
      </c>
      <c r="K65" s="32"/>
      <c r="L65" s="32"/>
      <c r="M65" s="32"/>
      <c r="N65" s="148" t="s">
        <v>733</v>
      </c>
      <c r="O65" s="8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182</v>
      </c>
      <c r="D66" s="15" t="s">
        <v>183</v>
      </c>
      <c r="E66" s="15" t="s">
        <v>184</v>
      </c>
      <c r="F66" s="50">
        <f t="shared" si="9"/>
        <v>60.865</v>
      </c>
      <c r="G66" s="56">
        <v>86.95</v>
      </c>
      <c r="H66" s="52">
        <v>86.95</v>
      </c>
      <c r="I66" s="32"/>
      <c r="J66" s="57" t="s">
        <v>730</v>
      </c>
      <c r="K66" s="32"/>
      <c r="L66" s="32"/>
      <c r="M66" s="32"/>
      <c r="N66" s="148" t="s">
        <v>734</v>
      </c>
      <c r="O66" s="8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185</v>
      </c>
      <c r="D67" s="15" t="s">
        <v>186</v>
      </c>
      <c r="E67" s="15" t="s">
        <v>187</v>
      </c>
      <c r="F67" s="50">
        <f t="shared" si="9"/>
        <v>67.165</v>
      </c>
      <c r="G67" s="56">
        <v>95.95</v>
      </c>
      <c r="H67" s="52">
        <v>95.95</v>
      </c>
      <c r="I67" s="32"/>
      <c r="J67" s="57" t="s">
        <v>730</v>
      </c>
      <c r="K67" s="32"/>
      <c r="L67" s="32"/>
      <c r="M67" s="32"/>
      <c r="N67" s="148" t="s">
        <v>735</v>
      </c>
      <c r="O67" s="8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55" t="s">
        <v>188</v>
      </c>
      <c r="D68" s="15" t="s">
        <v>189</v>
      </c>
      <c r="E68" s="15" t="s">
        <v>190</v>
      </c>
      <c r="F68" s="50">
        <f t="shared" si="9"/>
        <v>74.865</v>
      </c>
      <c r="G68" s="56">
        <v>106.95</v>
      </c>
      <c r="H68" s="52">
        <v>106.95</v>
      </c>
      <c r="I68" s="32"/>
      <c r="J68" s="57" t="s">
        <v>730</v>
      </c>
      <c r="K68" s="32"/>
      <c r="L68" s="32"/>
      <c r="M68" s="32"/>
      <c r="N68" s="148" t="s">
        <v>736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39" t="s">
        <v>191</v>
      </c>
      <c r="D69" s="15" t="s">
        <v>192</v>
      </c>
      <c r="E69" s="15" t="s">
        <v>193</v>
      </c>
      <c r="F69" s="50">
        <f t="shared" si="9"/>
        <v>74.865</v>
      </c>
      <c r="G69" s="56">
        <v>106.95</v>
      </c>
      <c r="H69" s="52">
        <v>106.95</v>
      </c>
      <c r="I69" s="32"/>
      <c r="J69" s="57" t="s">
        <v>730</v>
      </c>
      <c r="K69" s="32"/>
      <c r="L69" s="32"/>
      <c r="M69" s="32"/>
      <c r="N69" s="148" t="s">
        <v>737</v>
      </c>
      <c r="O69" s="8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105" t="s">
        <v>17</v>
      </c>
      <c r="D70" s="22" t="s">
        <v>17</v>
      </c>
      <c r="E70" s="23" t="s">
        <v>194</v>
      </c>
      <c r="F70" s="24" t="s">
        <v>17</v>
      </c>
      <c r="G70" s="24" t="s">
        <v>17</v>
      </c>
      <c r="H70" s="25" t="s">
        <v>17</v>
      </c>
      <c r="I70" s="25" t="s">
        <v>17</v>
      </c>
      <c r="J70" s="25" t="s">
        <v>17</v>
      </c>
      <c r="K70" s="25" t="s">
        <v>17</v>
      </c>
      <c r="L70" s="25" t="s">
        <v>17</v>
      </c>
      <c r="M70" s="25" t="s">
        <v>17</v>
      </c>
      <c r="N70" s="25" t="s">
        <v>17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195</v>
      </c>
      <c r="D71" s="15" t="s">
        <v>196</v>
      </c>
      <c r="E71" s="15" t="s">
        <v>197</v>
      </c>
      <c r="F71" s="50">
        <f t="shared" ref="F71:F79" si="10">H71*70%</f>
        <v>18.2</v>
      </c>
      <c r="G71" s="56">
        <v>26.0</v>
      </c>
      <c r="H71" s="54">
        <v>26.0</v>
      </c>
      <c r="I71" s="32"/>
      <c r="J71" s="32"/>
      <c r="K71" s="32"/>
      <c r="L71" s="32"/>
      <c r="M71" s="32"/>
      <c r="N71" s="3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198</v>
      </c>
      <c r="D72" s="15" t="s">
        <v>199</v>
      </c>
      <c r="E72" s="15" t="s">
        <v>200</v>
      </c>
      <c r="F72" s="50">
        <f t="shared" si="10"/>
        <v>18.2</v>
      </c>
      <c r="G72" s="56">
        <v>26.0</v>
      </c>
      <c r="H72" s="54">
        <v>26.0</v>
      </c>
      <c r="I72" s="32"/>
      <c r="J72" s="32"/>
      <c r="K72" s="32"/>
      <c r="L72" s="32"/>
      <c r="M72" s="32"/>
      <c r="N72" s="3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201</v>
      </c>
      <c r="D73" s="15" t="s">
        <v>202</v>
      </c>
      <c r="E73" s="15" t="s">
        <v>203</v>
      </c>
      <c r="F73" s="50">
        <f t="shared" si="10"/>
        <v>21</v>
      </c>
      <c r="G73" s="56">
        <v>30.0</v>
      </c>
      <c r="H73" s="54">
        <v>30.0</v>
      </c>
      <c r="I73" s="32"/>
      <c r="J73" s="32"/>
      <c r="K73" s="32"/>
      <c r="L73" s="32"/>
      <c r="M73" s="32"/>
      <c r="N73" s="32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204</v>
      </c>
      <c r="D74" s="15" t="s">
        <v>205</v>
      </c>
      <c r="E74" s="15" t="s">
        <v>206</v>
      </c>
      <c r="F74" s="50">
        <f t="shared" si="10"/>
        <v>12.6</v>
      </c>
      <c r="G74" s="56">
        <v>18.0</v>
      </c>
      <c r="H74" s="52">
        <v>18.0</v>
      </c>
      <c r="I74" s="32"/>
      <c r="J74" s="32"/>
      <c r="K74" s="32"/>
      <c r="L74" s="32"/>
      <c r="M74" s="32"/>
      <c r="N74" s="32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207</v>
      </c>
      <c r="D75" s="15" t="s">
        <v>208</v>
      </c>
      <c r="E75" s="15" t="s">
        <v>209</v>
      </c>
      <c r="F75" s="50">
        <f t="shared" si="10"/>
        <v>15.4</v>
      </c>
      <c r="G75" s="56">
        <v>22.0</v>
      </c>
      <c r="H75" s="54">
        <v>22.0</v>
      </c>
      <c r="I75" s="32"/>
      <c r="J75" s="32"/>
      <c r="K75" s="32"/>
      <c r="L75" s="32"/>
      <c r="M75" s="32"/>
      <c r="N75" s="32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210</v>
      </c>
      <c r="D76" s="15" t="s">
        <v>211</v>
      </c>
      <c r="E76" s="15" t="s">
        <v>212</v>
      </c>
      <c r="F76" s="50">
        <f t="shared" si="10"/>
        <v>11.2</v>
      </c>
      <c r="G76" s="56">
        <v>16.0</v>
      </c>
      <c r="H76" s="52">
        <v>16.0</v>
      </c>
      <c r="I76" s="32"/>
      <c r="J76" s="32"/>
      <c r="K76" s="32"/>
      <c r="L76" s="32"/>
      <c r="M76" s="32"/>
      <c r="N76" s="32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213</v>
      </c>
      <c r="D77" s="15" t="s">
        <v>214</v>
      </c>
      <c r="E77" s="15" t="s">
        <v>215</v>
      </c>
      <c r="F77" s="50">
        <f t="shared" si="10"/>
        <v>11.2</v>
      </c>
      <c r="G77" s="56">
        <v>16.0</v>
      </c>
      <c r="H77" s="52">
        <v>16.0</v>
      </c>
      <c r="I77" s="32"/>
      <c r="J77" s="32"/>
      <c r="K77" s="32"/>
      <c r="L77" s="32"/>
      <c r="M77" s="32"/>
      <c r="N77" s="32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55" t="s">
        <v>216</v>
      </c>
      <c r="D78" s="15" t="s">
        <v>217</v>
      </c>
      <c r="E78" s="15" t="s">
        <v>218</v>
      </c>
      <c r="F78" s="50">
        <f t="shared" si="10"/>
        <v>14.7</v>
      </c>
      <c r="G78" s="56">
        <v>21.0</v>
      </c>
      <c r="H78" s="54">
        <v>21.0</v>
      </c>
      <c r="I78" s="32"/>
      <c r="J78" s="32"/>
      <c r="K78" s="32"/>
      <c r="L78" s="32"/>
      <c r="M78" s="32"/>
      <c r="N78" s="32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38"/>
      <c r="C79" s="55" t="s">
        <v>219</v>
      </c>
      <c r="D79" s="49" t="s">
        <v>220</v>
      </c>
      <c r="E79" s="15" t="s">
        <v>221</v>
      </c>
      <c r="F79" s="50">
        <f t="shared" si="10"/>
        <v>15.4</v>
      </c>
      <c r="G79" s="56">
        <v>22.0</v>
      </c>
      <c r="H79" s="54">
        <v>22.0</v>
      </c>
      <c r="I79" s="32"/>
      <c r="J79" s="32"/>
      <c r="K79" s="32"/>
      <c r="L79" s="32"/>
      <c r="M79" s="32"/>
      <c r="N79" s="32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49"/>
      <c r="C80" s="105"/>
      <c r="D80" s="22"/>
      <c r="E80" s="23" t="s">
        <v>533</v>
      </c>
      <c r="F80" s="24"/>
      <c r="G80" s="24"/>
      <c r="H80" s="25"/>
      <c r="I80" s="25"/>
      <c r="J80" s="25"/>
      <c r="K80" s="25"/>
      <c r="L80" s="25"/>
      <c r="M80" s="25"/>
      <c r="N80" s="25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49"/>
      <c r="C81" s="105" t="s">
        <v>738</v>
      </c>
      <c r="D81" s="150" t="s">
        <v>538</v>
      </c>
      <c r="E81" s="151" t="s">
        <v>539</v>
      </c>
      <c r="F81" s="152">
        <v>149.95</v>
      </c>
      <c r="G81" s="153">
        <v>149.95</v>
      </c>
      <c r="H81" s="154">
        <v>149.95</v>
      </c>
      <c r="I81" s="118"/>
      <c r="J81" s="118"/>
      <c r="K81" s="118"/>
      <c r="L81" s="118"/>
      <c r="M81" s="118"/>
      <c r="N81" s="118"/>
      <c r="O81" s="88" t="s">
        <v>739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49"/>
      <c r="C82" s="105" t="s">
        <v>740</v>
      </c>
      <c r="D82" s="150" t="s">
        <v>535</v>
      </c>
      <c r="E82" s="151" t="s">
        <v>536</v>
      </c>
      <c r="F82" s="152">
        <v>239.96</v>
      </c>
      <c r="G82" s="153">
        <v>299.95</v>
      </c>
      <c r="H82" s="154">
        <v>299.95</v>
      </c>
      <c r="I82" s="118"/>
      <c r="J82" s="57" t="s">
        <v>741</v>
      </c>
      <c r="K82" s="118"/>
      <c r="L82" s="118"/>
      <c r="M82" s="118"/>
      <c r="N82" s="5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49"/>
      <c r="C83" s="105" t="s">
        <v>742</v>
      </c>
      <c r="D83" s="150" t="s">
        <v>541</v>
      </c>
      <c r="E83" s="151" t="s">
        <v>542</v>
      </c>
      <c r="F83" s="152">
        <v>354.15</v>
      </c>
      <c r="G83" s="153">
        <v>399.0</v>
      </c>
      <c r="H83" s="154">
        <v>399.0</v>
      </c>
      <c r="I83" s="118"/>
      <c r="J83" s="92" t="s">
        <v>743</v>
      </c>
      <c r="K83" s="118"/>
      <c r="L83" s="118"/>
      <c r="M83" s="118"/>
      <c r="N83" s="5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55" t="s">
        <v>222</v>
      </c>
      <c r="C84" s="105" t="s">
        <v>17</v>
      </c>
      <c r="D84" s="22" t="s">
        <v>17</v>
      </c>
      <c r="E84" s="23" t="s">
        <v>223</v>
      </c>
      <c r="F84" s="24" t="s">
        <v>17</v>
      </c>
      <c r="G84" s="24" t="s">
        <v>17</v>
      </c>
      <c r="H84" s="25" t="s">
        <v>17</v>
      </c>
      <c r="I84" s="25" t="s">
        <v>17</v>
      </c>
      <c r="J84" s="25" t="s">
        <v>17</v>
      </c>
      <c r="K84" s="25" t="s">
        <v>17</v>
      </c>
      <c r="L84" s="25" t="s">
        <v>17</v>
      </c>
      <c r="M84" s="25" t="s">
        <v>17</v>
      </c>
      <c r="N84" s="25" t="s">
        <v>17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744</v>
      </c>
      <c r="D85" s="15" t="s">
        <v>633</v>
      </c>
      <c r="E85" s="15" t="s">
        <v>634</v>
      </c>
      <c r="F85" s="58">
        <v>37.46</v>
      </c>
      <c r="G85" s="56">
        <v>49.95</v>
      </c>
      <c r="H85" s="52">
        <v>49.95</v>
      </c>
      <c r="I85" s="32"/>
      <c r="J85" s="57" t="s">
        <v>745</v>
      </c>
      <c r="K85" s="32"/>
      <c r="L85" s="32"/>
      <c r="M85" s="32"/>
      <c r="N85" s="5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224</v>
      </c>
      <c r="D86" s="15" t="s">
        <v>225</v>
      </c>
      <c r="E86" s="15" t="s">
        <v>226</v>
      </c>
      <c r="F86" s="58">
        <v>45.49</v>
      </c>
      <c r="G86" s="56">
        <v>69.95</v>
      </c>
      <c r="H86" s="52">
        <v>69.95</v>
      </c>
      <c r="I86" s="32"/>
      <c r="J86" s="57" t="s">
        <v>746</v>
      </c>
      <c r="K86" s="32"/>
      <c r="L86" s="32"/>
      <c r="M86" s="32"/>
      <c r="N86" s="5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39" t="s">
        <v>227</v>
      </c>
      <c r="D87" s="15" t="s">
        <v>228</v>
      </c>
      <c r="E87" s="15" t="s">
        <v>229</v>
      </c>
      <c r="F87" s="58">
        <v>58.84</v>
      </c>
      <c r="G87" s="56">
        <v>79.95</v>
      </c>
      <c r="H87" s="52">
        <v>79.95</v>
      </c>
      <c r="I87" s="32"/>
      <c r="J87" s="57" t="s">
        <v>747</v>
      </c>
      <c r="K87" s="32"/>
      <c r="L87" s="32"/>
      <c r="M87" s="32"/>
      <c r="N87" s="5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230</v>
      </c>
      <c r="D88" s="15" t="s">
        <v>231</v>
      </c>
      <c r="E88" s="15" t="s">
        <v>232</v>
      </c>
      <c r="F88" s="58">
        <v>92.41</v>
      </c>
      <c r="G88" s="56">
        <v>114.95</v>
      </c>
      <c r="H88" s="54">
        <v>119.0</v>
      </c>
      <c r="I88" s="32"/>
      <c r="J88" s="57" t="s">
        <v>748</v>
      </c>
      <c r="K88" s="32"/>
      <c r="L88" s="32"/>
      <c r="M88" s="32"/>
      <c r="N88" s="103" t="s">
        <v>749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233</v>
      </c>
      <c r="D89" s="15" t="s">
        <v>234</v>
      </c>
      <c r="E89" s="15" t="s">
        <v>235</v>
      </c>
      <c r="F89" s="58">
        <v>17.99</v>
      </c>
      <c r="G89" s="56">
        <v>24.95</v>
      </c>
      <c r="H89" s="52">
        <v>24.95</v>
      </c>
      <c r="I89" s="32"/>
      <c r="J89" s="57" t="s">
        <v>750</v>
      </c>
      <c r="K89" s="32"/>
      <c r="L89" s="32"/>
      <c r="M89" s="32"/>
      <c r="N89" s="5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236</v>
      </c>
      <c r="D90" s="156" t="s">
        <v>237</v>
      </c>
      <c r="E90" s="156" t="s">
        <v>238</v>
      </c>
      <c r="F90" s="58">
        <v>27.99</v>
      </c>
      <c r="G90" s="59">
        <v>32.95</v>
      </c>
      <c r="H90" s="52">
        <v>32.95</v>
      </c>
      <c r="I90" s="32"/>
      <c r="J90" s="57" t="s">
        <v>751</v>
      </c>
      <c r="K90" s="32"/>
      <c r="L90" s="32"/>
      <c r="M90" s="32"/>
      <c r="N90" s="57" t="s">
        <v>752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239</v>
      </c>
      <c r="D91" s="157" t="s">
        <v>240</v>
      </c>
      <c r="E91" s="157" t="s">
        <v>241</v>
      </c>
      <c r="F91" s="58">
        <v>19.95</v>
      </c>
      <c r="G91" s="59">
        <v>19.95</v>
      </c>
      <c r="H91" s="52">
        <v>19.95</v>
      </c>
      <c r="I91" s="32"/>
      <c r="J91" s="57" t="s">
        <v>753</v>
      </c>
      <c r="K91" s="32"/>
      <c r="L91" s="32"/>
      <c r="M91" s="32"/>
      <c r="N91" s="5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242</v>
      </c>
      <c r="D92" s="156" t="s">
        <v>243</v>
      </c>
      <c r="E92" s="156" t="s">
        <v>244</v>
      </c>
      <c r="F92" s="58">
        <v>33.71</v>
      </c>
      <c r="G92" s="59">
        <v>44.95</v>
      </c>
      <c r="H92" s="52">
        <v>44.95</v>
      </c>
      <c r="I92" s="32"/>
      <c r="J92" s="57" t="s">
        <v>754</v>
      </c>
      <c r="K92" s="32"/>
      <c r="L92" s="32"/>
      <c r="M92" s="32"/>
      <c r="N92" s="57" t="s">
        <v>755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245</v>
      </c>
      <c r="D93" s="15" t="s">
        <v>246</v>
      </c>
      <c r="E93" s="15" t="s">
        <v>247</v>
      </c>
      <c r="F93" s="58">
        <v>33.71</v>
      </c>
      <c r="G93" s="59">
        <v>44.95</v>
      </c>
      <c r="H93" s="52">
        <v>44.95</v>
      </c>
      <c r="I93" s="32"/>
      <c r="J93" s="57" t="s">
        <v>756</v>
      </c>
      <c r="K93" s="32"/>
      <c r="L93" s="32"/>
      <c r="M93" s="32"/>
      <c r="N93" s="5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248</v>
      </c>
      <c r="D94" s="15" t="s">
        <v>249</v>
      </c>
      <c r="E94" s="15" t="s">
        <v>250</v>
      </c>
      <c r="F94" s="58">
        <v>104.99</v>
      </c>
      <c r="G94" s="59">
        <v>129.95</v>
      </c>
      <c r="H94" s="52">
        <v>129.95</v>
      </c>
      <c r="I94" s="32"/>
      <c r="J94" s="57" t="s">
        <v>757</v>
      </c>
      <c r="K94" s="32"/>
      <c r="L94" s="32"/>
      <c r="M94" s="32"/>
      <c r="N94" s="5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251</v>
      </c>
      <c r="D95" s="15" t="s">
        <v>252</v>
      </c>
      <c r="E95" s="15" t="s">
        <v>253</v>
      </c>
      <c r="F95" s="58">
        <v>21.24</v>
      </c>
      <c r="G95" s="59">
        <v>24.95</v>
      </c>
      <c r="H95" s="52">
        <v>24.95</v>
      </c>
      <c r="I95" s="32"/>
      <c r="J95" s="57" t="s">
        <v>758</v>
      </c>
      <c r="K95" s="32"/>
      <c r="L95" s="32"/>
      <c r="M95" s="32"/>
      <c r="N95" s="5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105" t="s">
        <v>17</v>
      </c>
      <c r="D96" s="22" t="s">
        <v>17</v>
      </c>
      <c r="E96" s="23" t="s">
        <v>254</v>
      </c>
      <c r="F96" s="24" t="s">
        <v>17</v>
      </c>
      <c r="G96" s="24" t="s">
        <v>17</v>
      </c>
      <c r="H96" s="25" t="s">
        <v>17</v>
      </c>
      <c r="I96" s="25" t="s">
        <v>17</v>
      </c>
      <c r="J96" s="25" t="s">
        <v>17</v>
      </c>
      <c r="K96" s="25" t="s">
        <v>17</v>
      </c>
      <c r="L96" s="25" t="s">
        <v>17</v>
      </c>
      <c r="M96" s="25" t="s">
        <v>17</v>
      </c>
      <c r="N96" s="25" t="s">
        <v>17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255</v>
      </c>
      <c r="D97" s="15" t="s">
        <v>256</v>
      </c>
      <c r="E97" s="15" t="s">
        <v>257</v>
      </c>
      <c r="F97" s="58">
        <v>84.4</v>
      </c>
      <c r="G97" s="59">
        <v>99.95</v>
      </c>
      <c r="H97" s="52">
        <v>99.95</v>
      </c>
      <c r="I97" s="32"/>
      <c r="J97" s="57" t="s">
        <v>759</v>
      </c>
      <c r="K97" s="32"/>
      <c r="L97" s="32"/>
      <c r="M97" s="32"/>
      <c r="N97" s="57" t="s">
        <v>760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258</v>
      </c>
      <c r="D98" s="15" t="s">
        <v>259</v>
      </c>
      <c r="E98" s="15" t="s">
        <v>260</v>
      </c>
      <c r="F98" s="58">
        <v>126.82</v>
      </c>
      <c r="G98" s="59">
        <v>163.95</v>
      </c>
      <c r="H98" s="52">
        <v>163.95</v>
      </c>
      <c r="I98" s="32"/>
      <c r="J98" s="94"/>
      <c r="K98" s="32"/>
      <c r="L98" s="32"/>
      <c r="M98" s="32"/>
      <c r="N98" s="103" t="s">
        <v>761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39" t="s">
        <v>261</v>
      </c>
      <c r="D99" s="15" t="s">
        <v>262</v>
      </c>
      <c r="E99" s="15" t="s">
        <v>263</v>
      </c>
      <c r="F99" s="58">
        <v>24.95</v>
      </c>
      <c r="G99" s="59">
        <v>24.95</v>
      </c>
      <c r="H99" s="52">
        <v>24.95</v>
      </c>
      <c r="I99" s="32"/>
      <c r="J99" s="57" t="s">
        <v>762</v>
      </c>
      <c r="K99" s="32"/>
      <c r="L99" s="32"/>
      <c r="M99" s="32"/>
      <c r="N99" s="57" t="s">
        <v>760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105" t="s">
        <v>17</v>
      </c>
      <c r="D100" s="22" t="s">
        <v>17</v>
      </c>
      <c r="E100" s="23" t="s">
        <v>264</v>
      </c>
      <c r="F100" s="24" t="s">
        <v>17</v>
      </c>
      <c r="G100" s="24" t="s">
        <v>17</v>
      </c>
      <c r="H100" s="25" t="s">
        <v>17</v>
      </c>
      <c r="I100" s="25" t="s">
        <v>17</v>
      </c>
      <c r="J100" s="25" t="s">
        <v>17</v>
      </c>
      <c r="K100" s="25" t="s">
        <v>17</v>
      </c>
      <c r="L100" s="25" t="s">
        <v>17</v>
      </c>
      <c r="M100" s="25" t="s">
        <v>17</v>
      </c>
      <c r="N100" s="25" t="s">
        <v>17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265</v>
      </c>
      <c r="D101" s="156" t="s">
        <v>266</v>
      </c>
      <c r="E101" s="156" t="s">
        <v>267</v>
      </c>
      <c r="F101" s="58">
        <v>104.97</v>
      </c>
      <c r="G101" s="56">
        <v>199.95</v>
      </c>
      <c r="H101" s="52">
        <v>149.95</v>
      </c>
      <c r="I101" s="32"/>
      <c r="J101" s="57" t="s">
        <v>763</v>
      </c>
      <c r="K101" s="32"/>
      <c r="L101" s="32"/>
      <c r="M101" s="32"/>
      <c r="N101" s="57" t="s">
        <v>764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268</v>
      </c>
      <c r="D102" s="15" t="s">
        <v>269</v>
      </c>
      <c r="E102" s="15" t="s">
        <v>270</v>
      </c>
      <c r="F102" s="58">
        <v>136.5</v>
      </c>
      <c r="G102" s="56">
        <v>244.95</v>
      </c>
      <c r="H102" s="54">
        <v>195.0</v>
      </c>
      <c r="I102" s="32"/>
      <c r="J102" s="57" t="s">
        <v>765</v>
      </c>
      <c r="K102" s="32"/>
      <c r="L102" s="32"/>
      <c r="M102" s="32"/>
      <c r="N102" s="103" t="s">
        <v>766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271</v>
      </c>
      <c r="D103" s="15" t="s">
        <v>272</v>
      </c>
      <c r="E103" s="15" t="s">
        <v>273</v>
      </c>
      <c r="F103" s="58">
        <v>19.95</v>
      </c>
      <c r="G103" s="56">
        <v>49.95</v>
      </c>
      <c r="H103" s="52">
        <v>29.95</v>
      </c>
      <c r="I103" s="32"/>
      <c r="J103" s="15"/>
      <c r="K103" s="32"/>
      <c r="L103" s="32"/>
      <c r="M103" s="32"/>
      <c r="N103" s="15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274</v>
      </c>
      <c r="D104" s="15" t="s">
        <v>275</v>
      </c>
      <c r="E104" s="15" t="s">
        <v>276</v>
      </c>
      <c r="F104" s="58">
        <v>19.95</v>
      </c>
      <c r="G104" s="56">
        <v>29.95</v>
      </c>
      <c r="H104" s="52">
        <v>29.95</v>
      </c>
      <c r="I104" s="32"/>
      <c r="J104" s="57" t="s">
        <v>767</v>
      </c>
      <c r="K104" s="32"/>
      <c r="L104" s="32"/>
      <c r="M104" s="32"/>
      <c r="N104" s="103" t="s">
        <v>768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105" t="s">
        <v>17</v>
      </c>
      <c r="D105" s="22" t="s">
        <v>17</v>
      </c>
      <c r="E105" s="23" t="s">
        <v>277</v>
      </c>
      <c r="F105" s="24" t="s">
        <v>17</v>
      </c>
      <c r="G105" s="24" t="s">
        <v>17</v>
      </c>
      <c r="H105" s="25" t="s">
        <v>17</v>
      </c>
      <c r="I105" s="25" t="s">
        <v>17</v>
      </c>
      <c r="J105" s="25" t="s">
        <v>17</v>
      </c>
      <c r="K105" s="25" t="s">
        <v>17</v>
      </c>
      <c r="L105" s="25" t="s">
        <v>17</v>
      </c>
      <c r="M105" s="25" t="s">
        <v>17</v>
      </c>
      <c r="N105" s="25" t="s">
        <v>17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278</v>
      </c>
      <c r="D106" s="15" t="s">
        <v>279</v>
      </c>
      <c r="E106" s="15" t="s">
        <v>280</v>
      </c>
      <c r="F106" s="58">
        <v>52.61</v>
      </c>
      <c r="G106" s="59">
        <v>79.95</v>
      </c>
      <c r="H106" s="52">
        <v>79.95</v>
      </c>
      <c r="I106" s="32"/>
      <c r="J106" s="32"/>
      <c r="K106" s="32"/>
      <c r="L106" s="32"/>
      <c r="M106" s="32"/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281</v>
      </c>
      <c r="D107" s="15" t="s">
        <v>282</v>
      </c>
      <c r="E107" s="15" t="s">
        <v>283</v>
      </c>
      <c r="F107" s="58">
        <v>64.5</v>
      </c>
      <c r="G107" s="59">
        <v>129.0</v>
      </c>
      <c r="H107" s="52">
        <v>129.0</v>
      </c>
      <c r="I107" s="32"/>
      <c r="J107" s="57" t="s">
        <v>769</v>
      </c>
      <c r="K107" s="32"/>
      <c r="L107" s="32"/>
      <c r="M107" s="32"/>
      <c r="N107" s="103" t="s">
        <v>770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105" t="s">
        <v>17</v>
      </c>
      <c r="D108" s="22" t="s">
        <v>17</v>
      </c>
      <c r="E108" s="23" t="s">
        <v>284</v>
      </c>
      <c r="F108" s="24" t="s">
        <v>17</v>
      </c>
      <c r="G108" s="24" t="s">
        <v>17</v>
      </c>
      <c r="H108" s="25" t="s">
        <v>17</v>
      </c>
      <c r="I108" s="25" t="s">
        <v>17</v>
      </c>
      <c r="J108" s="25" t="s">
        <v>17</v>
      </c>
      <c r="K108" s="25" t="s">
        <v>17</v>
      </c>
      <c r="L108" s="25" t="s">
        <v>17</v>
      </c>
      <c r="M108" s="25" t="s">
        <v>17</v>
      </c>
      <c r="N108" s="25" t="s">
        <v>17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285</v>
      </c>
      <c r="D109" s="60" t="s">
        <v>286</v>
      </c>
      <c r="E109" s="15" t="s">
        <v>287</v>
      </c>
      <c r="F109" s="58">
        <v>34.68</v>
      </c>
      <c r="G109" s="59">
        <v>39.95</v>
      </c>
      <c r="H109" s="52">
        <v>39.95</v>
      </c>
      <c r="I109" s="32"/>
      <c r="J109" s="57" t="s">
        <v>771</v>
      </c>
      <c r="K109" s="32"/>
      <c r="L109" s="32"/>
      <c r="M109" s="32"/>
      <c r="N109" s="103" t="s">
        <v>772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288</v>
      </c>
      <c r="D110" s="60" t="s">
        <v>289</v>
      </c>
      <c r="E110" s="15" t="s">
        <v>290</v>
      </c>
      <c r="F110" s="58">
        <v>34.68</v>
      </c>
      <c r="G110" s="59">
        <v>39.95</v>
      </c>
      <c r="H110" s="52">
        <v>39.95</v>
      </c>
      <c r="I110" s="32"/>
      <c r="J110" s="57" t="s">
        <v>771</v>
      </c>
      <c r="K110" s="32"/>
      <c r="L110" s="32"/>
      <c r="M110" s="32"/>
      <c r="N110" s="103" t="s">
        <v>773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291</v>
      </c>
      <c r="D111" s="60" t="s">
        <v>292</v>
      </c>
      <c r="E111" s="15" t="s">
        <v>293</v>
      </c>
      <c r="F111" s="58">
        <v>34.68</v>
      </c>
      <c r="G111" s="59">
        <v>39.95</v>
      </c>
      <c r="H111" s="52">
        <v>39.95</v>
      </c>
      <c r="I111" s="32"/>
      <c r="J111" s="57" t="s">
        <v>771</v>
      </c>
      <c r="K111" s="32"/>
      <c r="L111" s="32"/>
      <c r="M111" s="32"/>
      <c r="N111" s="5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294</v>
      </c>
      <c r="D112" s="61" t="s">
        <v>295</v>
      </c>
      <c r="E112" s="15" t="s">
        <v>296</v>
      </c>
      <c r="F112" s="58">
        <v>34.68</v>
      </c>
      <c r="G112" s="59">
        <v>39.95</v>
      </c>
      <c r="H112" s="52">
        <v>39.95</v>
      </c>
      <c r="I112" s="32"/>
      <c r="J112" s="57" t="s">
        <v>771</v>
      </c>
      <c r="K112" s="32"/>
      <c r="L112" s="32"/>
      <c r="M112" s="32"/>
      <c r="N112" s="5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297</v>
      </c>
      <c r="D113" s="60" t="s">
        <v>298</v>
      </c>
      <c r="E113" s="15" t="s">
        <v>299</v>
      </c>
      <c r="F113" s="58">
        <v>34.68</v>
      </c>
      <c r="G113" s="59">
        <v>39.95</v>
      </c>
      <c r="H113" s="52">
        <v>39.95</v>
      </c>
      <c r="I113" s="32"/>
      <c r="J113" s="57" t="s">
        <v>771</v>
      </c>
      <c r="K113" s="32"/>
      <c r="L113" s="32"/>
      <c r="M113" s="32"/>
      <c r="N113" s="5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300</v>
      </c>
      <c r="D114" s="60" t="s">
        <v>301</v>
      </c>
      <c r="E114" s="15" t="s">
        <v>302</v>
      </c>
      <c r="F114" s="58">
        <v>34.68</v>
      </c>
      <c r="G114" s="59">
        <v>39.95</v>
      </c>
      <c r="H114" s="52">
        <v>39.95</v>
      </c>
      <c r="I114" s="32"/>
      <c r="J114" s="57" t="s">
        <v>771</v>
      </c>
      <c r="K114" s="32"/>
      <c r="L114" s="32"/>
      <c r="M114" s="32"/>
      <c r="N114" s="5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303</v>
      </c>
      <c r="D115" s="60" t="s">
        <v>304</v>
      </c>
      <c r="E115" s="15" t="s">
        <v>305</v>
      </c>
      <c r="F115" s="58">
        <v>34.68</v>
      </c>
      <c r="G115" s="59">
        <v>39.95</v>
      </c>
      <c r="H115" s="52">
        <v>39.95</v>
      </c>
      <c r="I115" s="32"/>
      <c r="J115" s="57" t="s">
        <v>771</v>
      </c>
      <c r="K115" s="32"/>
      <c r="L115" s="32"/>
      <c r="M115" s="32"/>
      <c r="N115" s="5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306</v>
      </c>
      <c r="D116" s="62" t="s">
        <v>307</v>
      </c>
      <c r="E116" s="15" t="s">
        <v>308</v>
      </c>
      <c r="F116" s="58">
        <v>34.68</v>
      </c>
      <c r="G116" s="59">
        <v>39.95</v>
      </c>
      <c r="H116" s="52">
        <v>39.95</v>
      </c>
      <c r="I116" s="32"/>
      <c r="J116" s="57" t="s">
        <v>771</v>
      </c>
      <c r="K116" s="32"/>
      <c r="L116" s="32"/>
      <c r="M116" s="32"/>
      <c r="N116" s="5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309</v>
      </c>
      <c r="D117" s="60" t="s">
        <v>310</v>
      </c>
      <c r="E117" s="15" t="s">
        <v>311</v>
      </c>
      <c r="F117" s="58">
        <v>34.68</v>
      </c>
      <c r="G117" s="59">
        <v>39.95</v>
      </c>
      <c r="H117" s="52">
        <v>39.95</v>
      </c>
      <c r="I117" s="32"/>
      <c r="J117" s="57" t="s">
        <v>771</v>
      </c>
      <c r="K117" s="32"/>
      <c r="L117" s="32"/>
      <c r="M117" s="32"/>
      <c r="N117" s="5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312</v>
      </c>
      <c r="D118" s="60" t="s">
        <v>313</v>
      </c>
      <c r="E118" s="15" t="s">
        <v>314</v>
      </c>
      <c r="F118" s="58">
        <v>34.68</v>
      </c>
      <c r="G118" s="59">
        <v>39.95</v>
      </c>
      <c r="H118" s="52">
        <v>39.95</v>
      </c>
      <c r="I118" s="32"/>
      <c r="J118" s="57" t="s">
        <v>771</v>
      </c>
      <c r="K118" s="32"/>
      <c r="L118" s="32"/>
      <c r="M118" s="32"/>
      <c r="N118" s="5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315</v>
      </c>
      <c r="D119" s="60" t="s">
        <v>316</v>
      </c>
      <c r="E119" s="15" t="s">
        <v>317</v>
      </c>
      <c r="F119" s="58">
        <v>34.68</v>
      </c>
      <c r="G119" s="59">
        <v>39.95</v>
      </c>
      <c r="H119" s="52">
        <v>39.95</v>
      </c>
      <c r="I119" s="32"/>
      <c r="J119" s="57" t="s">
        <v>771</v>
      </c>
      <c r="K119" s="32"/>
      <c r="L119" s="32"/>
      <c r="M119" s="32"/>
      <c r="N119" s="5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105" t="s">
        <v>17</v>
      </c>
      <c r="D120" s="22" t="s">
        <v>17</v>
      </c>
      <c r="E120" s="23" t="s">
        <v>331</v>
      </c>
      <c r="F120" s="24" t="s">
        <v>17</v>
      </c>
      <c r="G120" s="24" t="s">
        <v>17</v>
      </c>
      <c r="H120" s="25" t="s">
        <v>17</v>
      </c>
      <c r="I120" s="25" t="s">
        <v>17</v>
      </c>
      <c r="J120" s="25" t="s">
        <v>17</v>
      </c>
      <c r="K120" s="25" t="s">
        <v>17</v>
      </c>
      <c r="L120" s="25" t="s">
        <v>17</v>
      </c>
      <c r="M120" s="25" t="s">
        <v>17</v>
      </c>
      <c r="N120" s="25" t="s">
        <v>17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332</v>
      </c>
      <c r="D121" s="156" t="s">
        <v>333</v>
      </c>
      <c r="E121" s="15" t="s">
        <v>334</v>
      </c>
      <c r="F121" s="58">
        <v>41.97</v>
      </c>
      <c r="G121" s="56">
        <v>79.95</v>
      </c>
      <c r="H121" s="52">
        <v>59.95</v>
      </c>
      <c r="I121" s="32"/>
      <c r="J121" s="57" t="s">
        <v>774</v>
      </c>
      <c r="K121" s="32"/>
      <c r="L121" s="32"/>
      <c r="M121" s="32"/>
      <c r="N121" s="103" t="s">
        <v>775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335</v>
      </c>
      <c r="D122" s="156" t="s">
        <v>336</v>
      </c>
      <c r="E122" s="15" t="s">
        <v>337</v>
      </c>
      <c r="F122" s="58">
        <v>41.97</v>
      </c>
      <c r="G122" s="56">
        <v>79.95</v>
      </c>
      <c r="H122" s="52">
        <v>59.95</v>
      </c>
      <c r="I122" s="32"/>
      <c r="J122" s="57" t="s">
        <v>774</v>
      </c>
      <c r="K122" s="32"/>
      <c r="L122" s="32"/>
      <c r="M122" s="32"/>
      <c r="N122" s="57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39" t="s">
        <v>338</v>
      </c>
      <c r="D123" s="156" t="s">
        <v>339</v>
      </c>
      <c r="E123" s="15" t="s">
        <v>340</v>
      </c>
      <c r="F123" s="58">
        <v>41.97</v>
      </c>
      <c r="G123" s="56">
        <v>79.95</v>
      </c>
      <c r="H123" s="52">
        <v>59.95</v>
      </c>
      <c r="I123" s="32"/>
      <c r="J123" s="57" t="s">
        <v>774</v>
      </c>
      <c r="K123" s="32"/>
      <c r="L123" s="32"/>
      <c r="M123" s="32"/>
      <c r="N123" s="57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39" t="s">
        <v>341</v>
      </c>
      <c r="D124" s="156" t="s">
        <v>342</v>
      </c>
      <c r="E124" s="15" t="s">
        <v>340</v>
      </c>
      <c r="F124" s="58">
        <v>41.97</v>
      </c>
      <c r="G124" s="56">
        <v>79.95</v>
      </c>
      <c r="H124" s="52">
        <v>59.95</v>
      </c>
      <c r="I124" s="32"/>
      <c r="J124" s="57" t="s">
        <v>774</v>
      </c>
      <c r="K124" s="32"/>
      <c r="L124" s="32"/>
      <c r="M124" s="32"/>
      <c r="N124" s="5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39" t="s">
        <v>343</v>
      </c>
      <c r="D125" s="156" t="s">
        <v>344</v>
      </c>
      <c r="E125" s="15" t="s">
        <v>345</v>
      </c>
      <c r="F125" s="58">
        <v>41.97</v>
      </c>
      <c r="G125" s="56">
        <v>79.95</v>
      </c>
      <c r="H125" s="52">
        <v>59.95</v>
      </c>
      <c r="I125" s="32"/>
      <c r="J125" s="57" t="s">
        <v>774</v>
      </c>
      <c r="K125" s="32"/>
      <c r="L125" s="32"/>
      <c r="M125" s="32"/>
      <c r="N125" s="57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39" t="s">
        <v>346</v>
      </c>
      <c r="D126" s="156" t="s">
        <v>347</v>
      </c>
      <c r="E126" s="15" t="s">
        <v>340</v>
      </c>
      <c r="F126" s="58">
        <v>41.97</v>
      </c>
      <c r="G126" s="56">
        <v>79.95</v>
      </c>
      <c r="H126" s="52">
        <v>59.95</v>
      </c>
      <c r="I126" s="32"/>
      <c r="J126" s="57" t="s">
        <v>774</v>
      </c>
      <c r="K126" s="32"/>
      <c r="L126" s="32"/>
      <c r="M126" s="32"/>
      <c r="N126" s="57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39" t="s">
        <v>348</v>
      </c>
      <c r="D127" s="156" t="s">
        <v>349</v>
      </c>
      <c r="E127" s="15" t="s">
        <v>340</v>
      </c>
      <c r="F127" s="58">
        <v>41.97</v>
      </c>
      <c r="G127" s="56">
        <v>79.95</v>
      </c>
      <c r="H127" s="52">
        <v>59.95</v>
      </c>
      <c r="I127" s="32"/>
      <c r="J127" s="57" t="s">
        <v>774</v>
      </c>
      <c r="K127" s="32"/>
      <c r="L127" s="32"/>
      <c r="M127" s="32"/>
      <c r="N127" s="57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39" t="s">
        <v>350</v>
      </c>
      <c r="D128" s="156" t="s">
        <v>351</v>
      </c>
      <c r="E128" s="15" t="s">
        <v>352</v>
      </c>
      <c r="F128" s="58">
        <v>41.97</v>
      </c>
      <c r="G128" s="56">
        <v>79.95</v>
      </c>
      <c r="H128" s="52">
        <v>59.95</v>
      </c>
      <c r="I128" s="32"/>
      <c r="J128" s="57" t="s">
        <v>774</v>
      </c>
      <c r="K128" s="32"/>
      <c r="L128" s="32"/>
      <c r="M128" s="32"/>
      <c r="N128" s="57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38"/>
      <c r="C129" s="64" t="s">
        <v>353</v>
      </c>
      <c r="D129" s="158" t="s">
        <v>354</v>
      </c>
      <c r="E129" s="65" t="s">
        <v>355</v>
      </c>
      <c r="F129" s="58">
        <v>41.97</v>
      </c>
      <c r="G129" s="56">
        <v>79.95</v>
      </c>
      <c r="H129" s="52">
        <v>59.95</v>
      </c>
      <c r="I129" s="32"/>
      <c r="J129" s="57" t="s">
        <v>774</v>
      </c>
      <c r="K129" s="32"/>
      <c r="L129" s="32"/>
      <c r="M129" s="32"/>
      <c r="N129" s="57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0" t="s">
        <v>356</v>
      </c>
      <c r="C130" s="159" t="s">
        <v>17</v>
      </c>
      <c r="D130" s="67" t="s">
        <v>17</v>
      </c>
      <c r="E130" s="23" t="s">
        <v>357</v>
      </c>
      <c r="F130" s="68" t="s">
        <v>17</v>
      </c>
      <c r="G130" s="68" t="s">
        <v>17</v>
      </c>
      <c r="H130" s="25" t="s">
        <v>17</v>
      </c>
      <c r="I130" s="25" t="s">
        <v>17</v>
      </c>
      <c r="J130" s="25" t="s">
        <v>17</v>
      </c>
      <c r="K130" s="25" t="s">
        <v>17</v>
      </c>
      <c r="L130" s="25" t="s">
        <v>17</v>
      </c>
      <c r="M130" s="25" t="s">
        <v>17</v>
      </c>
      <c r="N130" s="25" t="s">
        <v>17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69" t="s">
        <v>358</v>
      </c>
      <c r="D131" s="70" t="s">
        <v>359</v>
      </c>
      <c r="E131" s="70" t="s">
        <v>360</v>
      </c>
      <c r="F131" s="71">
        <v>35.95</v>
      </c>
      <c r="G131" s="72">
        <v>69.95</v>
      </c>
      <c r="H131" s="52">
        <v>54.95</v>
      </c>
      <c r="I131" s="32"/>
      <c r="J131" s="32"/>
      <c r="K131" s="32"/>
      <c r="L131" s="32"/>
      <c r="M131" s="32"/>
      <c r="N131" s="32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159" t="s">
        <v>17</v>
      </c>
      <c r="D132" s="67" t="s">
        <v>17</v>
      </c>
      <c r="E132" s="23" t="s">
        <v>361</v>
      </c>
      <c r="F132" s="68" t="s">
        <v>17</v>
      </c>
      <c r="G132" s="68" t="s">
        <v>17</v>
      </c>
      <c r="H132" s="25" t="s">
        <v>17</v>
      </c>
      <c r="I132" s="25" t="s">
        <v>17</v>
      </c>
      <c r="J132" s="25" t="s">
        <v>17</v>
      </c>
      <c r="K132" s="25" t="s">
        <v>17</v>
      </c>
      <c r="L132" s="25" t="s">
        <v>17</v>
      </c>
      <c r="M132" s="25" t="s">
        <v>17</v>
      </c>
      <c r="N132" s="25" t="s">
        <v>17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73" t="s">
        <v>362</v>
      </c>
      <c r="D133" s="70" t="s">
        <v>363</v>
      </c>
      <c r="E133" s="70" t="s">
        <v>364</v>
      </c>
      <c r="F133" s="71">
        <v>35.95</v>
      </c>
      <c r="G133" s="72">
        <v>59.95</v>
      </c>
      <c r="H133" s="52">
        <v>59.95</v>
      </c>
      <c r="I133" s="32"/>
      <c r="J133" s="57" t="s">
        <v>776</v>
      </c>
      <c r="K133" s="32"/>
      <c r="L133" s="32"/>
      <c r="M133" s="32"/>
      <c r="N133" s="160" t="s">
        <v>777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73" t="s">
        <v>365</v>
      </c>
      <c r="D134" s="70" t="s">
        <v>366</v>
      </c>
      <c r="E134" s="70" t="s">
        <v>367</v>
      </c>
      <c r="F134" s="71">
        <v>71.9</v>
      </c>
      <c r="G134" s="72">
        <v>79.9</v>
      </c>
      <c r="H134" s="52">
        <v>97.12</v>
      </c>
      <c r="I134" s="32"/>
      <c r="J134" s="32"/>
      <c r="K134" s="32"/>
      <c r="L134" s="32"/>
      <c r="M134" s="32"/>
      <c r="N134" s="32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3" t="s">
        <v>368</v>
      </c>
      <c r="D135" s="70" t="s">
        <v>369</v>
      </c>
      <c r="E135" s="70" t="s">
        <v>370</v>
      </c>
      <c r="F135" s="71">
        <v>45.95</v>
      </c>
      <c r="G135" s="72">
        <v>69.95</v>
      </c>
      <c r="H135" s="52">
        <v>69.95</v>
      </c>
      <c r="I135" s="32"/>
      <c r="J135" s="57" t="s">
        <v>776</v>
      </c>
      <c r="K135" s="32"/>
      <c r="L135" s="32"/>
      <c r="M135" s="32"/>
      <c r="N135" s="160" t="s">
        <v>778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3" t="s">
        <v>371</v>
      </c>
      <c r="D136" s="70" t="s">
        <v>372</v>
      </c>
      <c r="E136" s="70" t="s">
        <v>373</v>
      </c>
      <c r="F136" s="71">
        <v>91.9</v>
      </c>
      <c r="G136" s="72">
        <v>99.9</v>
      </c>
      <c r="H136" s="52">
        <v>107.03</v>
      </c>
      <c r="I136" s="32"/>
      <c r="J136" s="32"/>
      <c r="K136" s="32"/>
      <c r="L136" s="32"/>
      <c r="M136" s="32"/>
      <c r="N136" s="32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159" t="s">
        <v>17</v>
      </c>
      <c r="D137" s="67" t="s">
        <v>17</v>
      </c>
      <c r="E137" s="23" t="s">
        <v>374</v>
      </c>
      <c r="F137" s="68" t="s">
        <v>17</v>
      </c>
      <c r="G137" s="68" t="s">
        <v>17</v>
      </c>
      <c r="H137" s="25" t="s">
        <v>17</v>
      </c>
      <c r="I137" s="25" t="s">
        <v>17</v>
      </c>
      <c r="J137" s="25" t="s">
        <v>17</v>
      </c>
      <c r="K137" s="25" t="s">
        <v>17</v>
      </c>
      <c r="L137" s="25" t="s">
        <v>17</v>
      </c>
      <c r="M137" s="25" t="s">
        <v>17</v>
      </c>
      <c r="N137" s="25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4" t="s">
        <v>375</v>
      </c>
      <c r="D138" s="70" t="s">
        <v>376</v>
      </c>
      <c r="E138" s="70" t="s">
        <v>374</v>
      </c>
      <c r="F138" s="71">
        <v>35.95</v>
      </c>
      <c r="G138" s="72">
        <v>36.0</v>
      </c>
      <c r="H138" s="54">
        <v>36.0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69" t="s">
        <v>377</v>
      </c>
      <c r="D139" s="70" t="s">
        <v>378</v>
      </c>
      <c r="E139" s="70" t="s">
        <v>379</v>
      </c>
      <c r="F139" s="71">
        <v>45.95</v>
      </c>
      <c r="G139" s="72">
        <v>58.65</v>
      </c>
      <c r="H139" s="52">
        <v>58.65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159" t="s">
        <v>17</v>
      </c>
      <c r="D140" s="67" t="s">
        <v>17</v>
      </c>
      <c r="E140" s="23" t="s">
        <v>380</v>
      </c>
      <c r="F140" s="68" t="s">
        <v>17</v>
      </c>
      <c r="G140" s="68" t="s">
        <v>17</v>
      </c>
      <c r="H140" s="25" t="s">
        <v>17</v>
      </c>
      <c r="I140" s="25" t="s">
        <v>17</v>
      </c>
      <c r="J140" s="25" t="s">
        <v>17</v>
      </c>
      <c r="K140" s="25" t="s">
        <v>17</v>
      </c>
      <c r="L140" s="25" t="s">
        <v>17</v>
      </c>
      <c r="M140" s="25" t="s">
        <v>17</v>
      </c>
      <c r="N140" s="25" t="s">
        <v>17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4" t="s">
        <v>381</v>
      </c>
      <c r="D141" s="70" t="s">
        <v>382</v>
      </c>
      <c r="E141" s="70" t="s">
        <v>380</v>
      </c>
      <c r="F141" s="71">
        <v>35.95</v>
      </c>
      <c r="G141" s="72">
        <v>59.95</v>
      </c>
      <c r="H141" s="54">
        <v>55.0</v>
      </c>
      <c r="I141" s="32"/>
      <c r="J141" s="57" t="s">
        <v>776</v>
      </c>
      <c r="K141" s="32"/>
      <c r="L141" s="32"/>
      <c r="M141" s="32"/>
      <c r="N141" s="160" t="s">
        <v>779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74" t="s">
        <v>383</v>
      </c>
      <c r="D142" s="70" t="s">
        <v>384</v>
      </c>
      <c r="E142" s="70" t="s">
        <v>385</v>
      </c>
      <c r="F142" s="71">
        <v>45.95</v>
      </c>
      <c r="G142" s="72">
        <v>69.95</v>
      </c>
      <c r="H142" s="54">
        <v>69.95</v>
      </c>
      <c r="I142" s="32"/>
      <c r="J142" s="57" t="s">
        <v>776</v>
      </c>
      <c r="K142" s="32"/>
      <c r="L142" s="32"/>
      <c r="M142" s="32"/>
      <c r="N142" s="160" t="s">
        <v>780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159" t="s">
        <v>17</v>
      </c>
      <c r="D143" s="67" t="s">
        <v>17</v>
      </c>
      <c r="E143" s="23" t="s">
        <v>386</v>
      </c>
      <c r="F143" s="68" t="s">
        <v>17</v>
      </c>
      <c r="G143" s="68" t="s">
        <v>17</v>
      </c>
      <c r="H143" s="25" t="s">
        <v>17</v>
      </c>
      <c r="I143" s="66" t="s">
        <v>17</v>
      </c>
      <c r="J143" s="67" t="s">
        <v>17</v>
      </c>
      <c r="K143" s="67" t="s">
        <v>17</v>
      </c>
      <c r="L143" s="68" t="s">
        <v>17</v>
      </c>
      <c r="M143" s="68" t="s">
        <v>17</v>
      </c>
      <c r="N143" s="25" t="s">
        <v>17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73" t="s">
        <v>387</v>
      </c>
      <c r="D144" s="70" t="s">
        <v>388</v>
      </c>
      <c r="E144" s="70" t="s">
        <v>389</v>
      </c>
      <c r="F144" s="71">
        <v>19.99</v>
      </c>
      <c r="G144" s="72">
        <v>24.99</v>
      </c>
      <c r="H144" s="52">
        <v>34.95</v>
      </c>
      <c r="I144" s="32"/>
      <c r="J144" s="32"/>
      <c r="K144" s="32"/>
      <c r="L144" s="32"/>
      <c r="M144" s="32"/>
      <c r="N144" s="32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73" t="s">
        <v>390</v>
      </c>
      <c r="D145" s="70" t="s">
        <v>391</v>
      </c>
      <c r="E145" s="70" t="s">
        <v>392</v>
      </c>
      <c r="F145" s="71">
        <v>39.95</v>
      </c>
      <c r="G145" s="72">
        <v>49.95</v>
      </c>
      <c r="H145" s="52">
        <v>59.99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3" t="s">
        <v>393</v>
      </c>
      <c r="D146" s="70" t="s">
        <v>394</v>
      </c>
      <c r="E146" s="70" t="s">
        <v>395</v>
      </c>
      <c r="F146" s="71">
        <v>79.9</v>
      </c>
      <c r="G146" s="72">
        <v>99.9</v>
      </c>
      <c r="H146" s="52">
        <v>124.95</v>
      </c>
      <c r="I146" s="32"/>
      <c r="J146" s="32"/>
      <c r="K146" s="32"/>
      <c r="L146" s="32"/>
      <c r="M146" s="32"/>
      <c r="N146" s="32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3" t="s">
        <v>396</v>
      </c>
      <c r="D147" s="70" t="s">
        <v>397</v>
      </c>
      <c r="E147" s="70" t="s">
        <v>398</v>
      </c>
      <c r="F147" s="71">
        <v>49.95</v>
      </c>
      <c r="G147" s="72">
        <v>59.95</v>
      </c>
      <c r="H147" s="52">
        <v>69.95</v>
      </c>
      <c r="I147" s="32"/>
      <c r="J147" s="32"/>
      <c r="K147" s="32"/>
      <c r="L147" s="32"/>
      <c r="M147" s="32"/>
      <c r="N147" s="32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159" t="s">
        <v>17</v>
      </c>
      <c r="D148" s="67" t="s">
        <v>17</v>
      </c>
      <c r="E148" s="23" t="s">
        <v>399</v>
      </c>
      <c r="F148" s="68" t="s">
        <v>17</v>
      </c>
      <c r="G148" s="68" t="s">
        <v>17</v>
      </c>
      <c r="H148" s="25" t="s">
        <v>17</v>
      </c>
      <c r="I148" s="66" t="s">
        <v>17</v>
      </c>
      <c r="J148" s="67" t="s">
        <v>17</v>
      </c>
      <c r="K148" s="67" t="s">
        <v>17</v>
      </c>
      <c r="L148" s="68" t="s">
        <v>17</v>
      </c>
      <c r="M148" s="68" t="s">
        <v>17</v>
      </c>
      <c r="N148" s="25" t="s">
        <v>17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3" t="s">
        <v>400</v>
      </c>
      <c r="D149" s="70" t="s">
        <v>401</v>
      </c>
      <c r="E149" s="70" t="s">
        <v>399</v>
      </c>
      <c r="F149" s="71">
        <v>29.95</v>
      </c>
      <c r="G149" s="72">
        <v>39.95</v>
      </c>
      <c r="H149" s="52">
        <v>29.95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7"/>
      <c r="C150" s="159" t="s">
        <v>17</v>
      </c>
      <c r="D150" s="67" t="s">
        <v>17</v>
      </c>
      <c r="E150" s="23" t="s">
        <v>402</v>
      </c>
      <c r="F150" s="68" t="s">
        <v>17</v>
      </c>
      <c r="G150" s="68" t="s">
        <v>17</v>
      </c>
      <c r="H150" s="25" t="s">
        <v>17</v>
      </c>
      <c r="I150" s="66" t="s">
        <v>17</v>
      </c>
      <c r="J150" s="67" t="s">
        <v>17</v>
      </c>
      <c r="K150" s="67" t="s">
        <v>17</v>
      </c>
      <c r="L150" s="68" t="s">
        <v>17</v>
      </c>
      <c r="M150" s="68" t="s">
        <v>17</v>
      </c>
      <c r="N150" s="25" t="s">
        <v>17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7"/>
      <c r="C151" s="69" t="s">
        <v>403</v>
      </c>
      <c r="D151" s="70" t="s">
        <v>404</v>
      </c>
      <c r="E151" s="70" t="s">
        <v>405</v>
      </c>
      <c r="F151" s="71">
        <v>69.95</v>
      </c>
      <c r="G151" s="72">
        <v>69.95</v>
      </c>
      <c r="H151" s="52">
        <v>69.95</v>
      </c>
      <c r="I151" s="32"/>
      <c r="J151" s="32"/>
      <c r="K151" s="32"/>
      <c r="L151" s="32"/>
      <c r="M151" s="32"/>
      <c r="N151" s="32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7"/>
      <c r="C152" s="159" t="s">
        <v>17</v>
      </c>
      <c r="D152" s="67" t="s">
        <v>17</v>
      </c>
      <c r="E152" s="23" t="s">
        <v>406</v>
      </c>
      <c r="F152" s="68" t="s">
        <v>17</v>
      </c>
      <c r="G152" s="68" t="s">
        <v>17</v>
      </c>
      <c r="H152" s="25" t="s">
        <v>17</v>
      </c>
      <c r="I152" s="66" t="s">
        <v>17</v>
      </c>
      <c r="J152" s="67" t="s">
        <v>17</v>
      </c>
      <c r="K152" s="67" t="s">
        <v>17</v>
      </c>
      <c r="L152" s="68" t="s">
        <v>17</v>
      </c>
      <c r="M152" s="68" t="s">
        <v>17</v>
      </c>
      <c r="N152" s="25" t="s">
        <v>17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7"/>
      <c r="C153" s="73" t="s">
        <v>407</v>
      </c>
      <c r="D153" s="70" t="s">
        <v>408</v>
      </c>
      <c r="E153" s="70" t="s">
        <v>409</v>
      </c>
      <c r="F153" s="71">
        <v>79.9</v>
      </c>
      <c r="G153" s="72">
        <v>79.9</v>
      </c>
      <c r="H153" s="52">
        <v>109.9</v>
      </c>
      <c r="I153" s="32"/>
      <c r="J153" s="32"/>
      <c r="K153" s="32"/>
      <c r="L153" s="32"/>
      <c r="M153" s="32"/>
      <c r="N153" s="32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7"/>
      <c r="C154" s="74" t="s">
        <v>410</v>
      </c>
      <c r="D154" s="70" t="s">
        <v>411</v>
      </c>
      <c r="E154" s="70" t="s">
        <v>412</v>
      </c>
      <c r="F154" s="71">
        <v>39.95</v>
      </c>
      <c r="G154" s="72">
        <v>49.95</v>
      </c>
      <c r="H154" s="52">
        <v>59.95</v>
      </c>
      <c r="I154" s="32"/>
      <c r="J154" s="57" t="s">
        <v>776</v>
      </c>
      <c r="K154" s="32"/>
      <c r="L154" s="32"/>
      <c r="M154" s="32"/>
      <c r="N154" s="160" t="s">
        <v>781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27"/>
      <c r="C155" s="75" t="s">
        <v>413</v>
      </c>
      <c r="D155" s="70" t="s">
        <v>414</v>
      </c>
      <c r="E155" s="70" t="s">
        <v>415</v>
      </c>
      <c r="F155" s="71">
        <v>99.9</v>
      </c>
      <c r="G155" s="72">
        <v>99.9</v>
      </c>
      <c r="H155" s="52">
        <v>129.95</v>
      </c>
      <c r="I155" s="32"/>
      <c r="J155" s="32"/>
      <c r="K155" s="32"/>
      <c r="L155" s="32"/>
      <c r="M155" s="32"/>
      <c r="N155" s="32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38"/>
      <c r="C156" s="39" t="s">
        <v>416</v>
      </c>
      <c r="D156" s="15" t="s">
        <v>417</v>
      </c>
      <c r="E156" s="15" t="s">
        <v>418</v>
      </c>
      <c r="F156" s="58">
        <v>49.95</v>
      </c>
      <c r="G156" s="56">
        <v>59.95</v>
      </c>
      <c r="H156" s="52">
        <v>69.95</v>
      </c>
      <c r="I156" s="32"/>
      <c r="J156" s="57" t="s">
        <v>776</v>
      </c>
      <c r="K156" s="32"/>
      <c r="L156" s="32"/>
      <c r="M156" s="32"/>
      <c r="N156" s="160" t="s">
        <v>782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</sheetData>
  <mergeCells count="8">
    <mergeCell ref="A1:N2"/>
    <mergeCell ref="A3:H3"/>
    <mergeCell ref="A5:A10"/>
    <mergeCell ref="B5:B34"/>
    <mergeCell ref="B35:B57"/>
    <mergeCell ref="B58:B79"/>
    <mergeCell ref="B84:B129"/>
    <mergeCell ref="B130:B156"/>
  </mergeCells>
  <hyperlinks>
    <hyperlink r:id="rId1" ref="N63"/>
    <hyperlink r:id="rId2" ref="N64"/>
    <hyperlink r:id="rId3" ref="N65"/>
    <hyperlink r:id="rId4" ref="N66"/>
    <hyperlink r:id="rId5" ref="N67"/>
    <hyperlink r:id="rId6" ref="N68"/>
    <hyperlink r:id="rId7" ref="N69"/>
    <hyperlink r:id="rId8" ref="N133"/>
    <hyperlink r:id="rId9" ref="N135"/>
    <hyperlink r:id="rId10" ref="N141"/>
    <hyperlink r:id="rId11" ref="N142"/>
    <hyperlink r:id="rId12" ref="N154"/>
    <hyperlink r:id="rId13" ref="N156"/>
  </hyperlinks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4.88"/>
    <col customWidth="1" min="5" max="5" width="12.75"/>
    <col customWidth="1" min="9" max="9" width="7.75"/>
    <col customWidth="1" min="10" max="10" width="11.5"/>
    <col customWidth="1" min="11" max="11" width="10.88"/>
    <col customWidth="1" min="12" max="12" width="17.13"/>
    <col customWidth="1" min="13" max="13" width="17.25"/>
    <col customWidth="1" min="14" max="14" width="35.75"/>
    <col customWidth="1" min="15" max="15" width="62.5"/>
  </cols>
  <sheetData>
    <row r="1">
      <c r="A1" s="161" t="s">
        <v>783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3.0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62"/>
      <c r="J3" s="162"/>
      <c r="K3" s="162"/>
      <c r="L3" s="162"/>
      <c r="M3" s="162"/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63" t="s">
        <v>784</v>
      </c>
      <c r="J4" s="163" t="s">
        <v>785</v>
      </c>
      <c r="K4" s="163" t="s">
        <v>786</v>
      </c>
      <c r="L4" s="163" t="s">
        <v>787</v>
      </c>
      <c r="M4" s="163" t="s">
        <v>788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4" t="s">
        <v>789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164" t="s">
        <v>17</v>
      </c>
      <c r="J5" s="164" t="s">
        <v>17</v>
      </c>
      <c r="K5" s="164" t="s">
        <v>17</v>
      </c>
      <c r="L5" s="164" t="s">
        <v>17</v>
      </c>
      <c r="M5" s="164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419.0</v>
      </c>
      <c r="I6" s="165"/>
      <c r="J6" s="166" t="s">
        <v>790</v>
      </c>
      <c r="K6" s="166" t="s">
        <v>790</v>
      </c>
      <c r="L6" s="167" t="s">
        <v>791</v>
      </c>
      <c r="M6" s="167" t="s">
        <v>792</v>
      </c>
      <c r="N6" s="15" t="s">
        <v>793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409.0</v>
      </c>
      <c r="I7" s="165"/>
      <c r="J7" s="166" t="s">
        <v>790</v>
      </c>
      <c r="K7" s="166" t="s">
        <v>790</v>
      </c>
      <c r="L7" s="167" t="s">
        <v>794</v>
      </c>
      <c r="M7" s="167" t="s">
        <v>795</v>
      </c>
      <c r="N7" s="15" t="s">
        <v>793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459.0</v>
      </c>
      <c r="I8" s="165"/>
      <c r="J8" s="166" t="s">
        <v>796</v>
      </c>
      <c r="K8" s="166" t="s">
        <v>797</v>
      </c>
      <c r="L8" s="167" t="s">
        <v>798</v>
      </c>
      <c r="M8" s="167" t="s">
        <v>799</v>
      </c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168"/>
      <c r="J9" s="169"/>
      <c r="K9" s="170"/>
      <c r="L9" s="171"/>
      <c r="M9" s="168"/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559.0</v>
      </c>
      <c r="I10" s="165"/>
      <c r="J10" s="172"/>
      <c r="K10" s="162"/>
      <c r="L10" s="173" t="s">
        <v>800</v>
      </c>
      <c r="M10" s="167" t="s">
        <v>801</v>
      </c>
      <c r="N10" s="15" t="s">
        <v>802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609.0</v>
      </c>
      <c r="I11" s="165"/>
      <c r="J11" s="166" t="s">
        <v>797</v>
      </c>
      <c r="K11" s="166" t="s">
        <v>797</v>
      </c>
      <c r="L11" s="167" t="s">
        <v>803</v>
      </c>
      <c r="M11" s="167" t="s">
        <v>804</v>
      </c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/>
      <c r="D12" s="15"/>
      <c r="E12" s="15" t="s">
        <v>805</v>
      </c>
      <c r="F12" s="29"/>
      <c r="G12" s="30"/>
      <c r="H12" s="31">
        <v>799.0</v>
      </c>
      <c r="I12" s="165"/>
      <c r="J12" s="172"/>
      <c r="K12" s="162"/>
      <c r="L12" s="167" t="s">
        <v>806</v>
      </c>
      <c r="M12" s="167" t="s">
        <v>807</v>
      </c>
      <c r="N12" s="32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38</v>
      </c>
      <c r="D13" s="15" t="s">
        <v>39</v>
      </c>
      <c r="E13" s="15" t="s">
        <v>40</v>
      </c>
      <c r="F13" s="29">
        <v>699.0</v>
      </c>
      <c r="G13" s="30">
        <v>999.0</v>
      </c>
      <c r="H13" s="31">
        <v>999.0</v>
      </c>
      <c r="I13" s="165"/>
      <c r="J13" s="166" t="s">
        <v>797</v>
      </c>
      <c r="K13" s="166" t="s">
        <v>797</v>
      </c>
      <c r="L13" s="167" t="s">
        <v>808</v>
      </c>
      <c r="M13" s="167" t="s">
        <v>809</v>
      </c>
      <c r="N13" s="32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8" t="s">
        <v>42</v>
      </c>
      <c r="D14" s="15" t="s">
        <v>43</v>
      </c>
      <c r="E14" s="15" t="s">
        <v>44</v>
      </c>
      <c r="F14" s="35">
        <f>F13+50</f>
        <v>749</v>
      </c>
      <c r="G14" s="30">
        <v>1049.0</v>
      </c>
      <c r="H14" s="31">
        <v>1049.0</v>
      </c>
      <c r="I14" s="165"/>
      <c r="J14" s="166" t="s">
        <v>797</v>
      </c>
      <c r="K14" s="166" t="s">
        <v>797</v>
      </c>
      <c r="L14" s="167" t="s">
        <v>810</v>
      </c>
      <c r="M14" s="167" t="s">
        <v>811</v>
      </c>
      <c r="N14" s="32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21" t="s">
        <v>17</v>
      </c>
      <c r="D15" s="22" t="s">
        <v>17</v>
      </c>
      <c r="E15" s="23" t="s">
        <v>45</v>
      </c>
      <c r="F15" s="24" t="s">
        <v>17</v>
      </c>
      <c r="G15" s="24" t="s">
        <v>17</v>
      </c>
      <c r="H15" s="25" t="s">
        <v>17</v>
      </c>
      <c r="I15" s="25" t="s">
        <v>17</v>
      </c>
      <c r="J15" s="25" t="s">
        <v>17</v>
      </c>
      <c r="K15" s="25" t="s">
        <v>17</v>
      </c>
      <c r="L15" s="25" t="s">
        <v>17</v>
      </c>
      <c r="M15" s="25" t="s">
        <v>17</v>
      </c>
      <c r="N15" s="25" t="s">
        <v>17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/>
      <c r="D16" s="40"/>
      <c r="E16" s="15" t="s">
        <v>812</v>
      </c>
      <c r="F16" s="35"/>
      <c r="G16" s="41"/>
      <c r="H16" s="42">
        <v>29.95</v>
      </c>
      <c r="I16" s="165"/>
      <c r="J16" s="172"/>
      <c r="K16" s="162"/>
      <c r="L16" s="174" t="s">
        <v>813</v>
      </c>
      <c r="M16" s="174" t="s">
        <v>814</v>
      </c>
      <c r="N16" s="175" t="s">
        <v>815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46</v>
      </c>
      <c r="D17" s="40" t="s">
        <v>47</v>
      </c>
      <c r="E17" s="15" t="s">
        <v>48</v>
      </c>
      <c r="F17" s="35">
        <f t="shared" ref="F17:F35" si="2">G17*0.9</f>
        <v>71.991</v>
      </c>
      <c r="G17" s="41">
        <v>79.99</v>
      </c>
      <c r="H17" s="42">
        <v>91.25</v>
      </c>
      <c r="I17" s="165"/>
      <c r="J17" s="172"/>
      <c r="K17" s="162"/>
      <c r="L17" s="162"/>
      <c r="M17" s="165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49</v>
      </c>
      <c r="D18" s="40" t="s">
        <v>50</v>
      </c>
      <c r="E18" s="15" t="s">
        <v>51</v>
      </c>
      <c r="F18" s="35">
        <f t="shared" si="2"/>
        <v>103.491</v>
      </c>
      <c r="G18" s="41">
        <v>114.99</v>
      </c>
      <c r="H18" s="42">
        <v>130.95</v>
      </c>
      <c r="I18" s="165"/>
      <c r="J18" s="172"/>
      <c r="K18" s="162"/>
      <c r="L18" s="162" t="s">
        <v>816</v>
      </c>
      <c r="M18" s="162" t="s">
        <v>817</v>
      </c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52</v>
      </c>
      <c r="D19" s="40" t="s">
        <v>53</v>
      </c>
      <c r="E19" s="15" t="s">
        <v>54</v>
      </c>
      <c r="F19" s="35">
        <f t="shared" si="2"/>
        <v>40.455</v>
      </c>
      <c r="G19" s="41">
        <v>44.95</v>
      </c>
      <c r="H19" s="42">
        <v>56.95</v>
      </c>
      <c r="I19" s="165"/>
      <c r="J19" s="172"/>
      <c r="K19" s="162"/>
      <c r="L19" s="162"/>
      <c r="M19" s="167" t="s">
        <v>818</v>
      </c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55</v>
      </c>
      <c r="D20" s="40" t="s">
        <v>56</v>
      </c>
      <c r="E20" s="15" t="s">
        <v>57</v>
      </c>
      <c r="F20" s="35">
        <f t="shared" si="2"/>
        <v>13.491</v>
      </c>
      <c r="G20" s="41">
        <v>14.99</v>
      </c>
      <c r="H20" s="42">
        <v>26.95</v>
      </c>
      <c r="I20" s="165"/>
      <c r="J20" s="172"/>
      <c r="K20" s="162"/>
      <c r="L20" s="162"/>
      <c r="M20" s="167" t="s">
        <v>818</v>
      </c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58</v>
      </c>
      <c r="D21" s="40" t="s">
        <v>59</v>
      </c>
      <c r="E21" s="15" t="s">
        <v>60</v>
      </c>
      <c r="F21" s="35">
        <f t="shared" si="2"/>
        <v>40.455</v>
      </c>
      <c r="G21" s="41">
        <v>44.95</v>
      </c>
      <c r="H21" s="42">
        <v>57.95</v>
      </c>
      <c r="I21" s="165"/>
      <c r="J21" s="172"/>
      <c r="K21" s="162"/>
      <c r="L21" s="162"/>
      <c r="M21" s="167" t="s">
        <v>818</v>
      </c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61</v>
      </c>
      <c r="D22" s="40" t="s">
        <v>62</v>
      </c>
      <c r="E22" s="15" t="s">
        <v>63</v>
      </c>
      <c r="F22" s="35">
        <f t="shared" si="2"/>
        <v>137.691</v>
      </c>
      <c r="G22" s="41">
        <v>152.99</v>
      </c>
      <c r="H22" s="31">
        <v>178.0</v>
      </c>
      <c r="I22" s="165"/>
      <c r="J22" s="172"/>
      <c r="K22" s="162"/>
      <c r="L22" s="162" t="s">
        <v>819</v>
      </c>
      <c r="M22" s="162" t="s">
        <v>820</v>
      </c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64</v>
      </c>
      <c r="D23" s="40" t="s">
        <v>65</v>
      </c>
      <c r="E23" s="15" t="s">
        <v>66</v>
      </c>
      <c r="F23" s="35">
        <f t="shared" si="2"/>
        <v>53.955</v>
      </c>
      <c r="G23" s="41">
        <v>59.95</v>
      </c>
      <c r="H23" s="42">
        <v>73.95</v>
      </c>
      <c r="I23" s="165"/>
      <c r="J23" s="172"/>
      <c r="K23" s="162"/>
      <c r="L23" s="162"/>
      <c r="M23" s="167" t="s">
        <v>818</v>
      </c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67</v>
      </c>
      <c r="D24" s="40" t="s">
        <v>68</v>
      </c>
      <c r="E24" s="15" t="s">
        <v>69</v>
      </c>
      <c r="F24" s="35">
        <f t="shared" si="2"/>
        <v>17.955</v>
      </c>
      <c r="G24" s="41">
        <v>19.95</v>
      </c>
      <c r="H24" s="42">
        <v>27.95</v>
      </c>
      <c r="I24" s="165"/>
      <c r="J24" s="172"/>
      <c r="K24" s="162"/>
      <c r="L24" s="162"/>
      <c r="M24" s="167" t="s">
        <v>818</v>
      </c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70</v>
      </c>
      <c r="D25" s="40" t="s">
        <v>71</v>
      </c>
      <c r="E25" s="15" t="s">
        <v>72</v>
      </c>
      <c r="F25" s="35">
        <f t="shared" si="2"/>
        <v>53.955</v>
      </c>
      <c r="G25" s="41">
        <v>59.95</v>
      </c>
      <c r="H25" s="42">
        <v>73.95</v>
      </c>
      <c r="I25" s="165"/>
      <c r="J25" s="172"/>
      <c r="K25" s="162"/>
      <c r="L25" s="162"/>
      <c r="M25" s="167" t="s">
        <v>818</v>
      </c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73</v>
      </c>
      <c r="D26" s="40" t="s">
        <v>74</v>
      </c>
      <c r="E26" s="15" t="s">
        <v>75</v>
      </c>
      <c r="F26" s="35">
        <f t="shared" si="2"/>
        <v>287.091</v>
      </c>
      <c r="G26" s="41">
        <v>318.99</v>
      </c>
      <c r="H26" s="42">
        <v>343.99</v>
      </c>
      <c r="I26" s="165"/>
      <c r="J26" s="172"/>
      <c r="K26" s="162"/>
      <c r="L26" s="167" t="s">
        <v>821</v>
      </c>
      <c r="M26" s="167" t="s">
        <v>822</v>
      </c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76</v>
      </c>
      <c r="D27" s="40" t="s">
        <v>77</v>
      </c>
      <c r="E27" s="15" t="s">
        <v>78</v>
      </c>
      <c r="F27" s="35">
        <f t="shared" si="2"/>
        <v>112.5</v>
      </c>
      <c r="G27" s="30">
        <v>125.0</v>
      </c>
      <c r="H27" s="42">
        <v>140.95</v>
      </c>
      <c r="I27" s="165"/>
      <c r="J27" s="172"/>
      <c r="K27" s="162"/>
      <c r="L27" s="162"/>
      <c r="M27" s="167" t="s">
        <v>818</v>
      </c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79</v>
      </c>
      <c r="D28" s="40" t="s">
        <v>80</v>
      </c>
      <c r="E28" s="15" t="s">
        <v>81</v>
      </c>
      <c r="F28" s="35">
        <f t="shared" si="2"/>
        <v>31.5</v>
      </c>
      <c r="G28" s="30">
        <v>35.0</v>
      </c>
      <c r="H28" s="42">
        <v>46.95</v>
      </c>
      <c r="I28" s="165"/>
      <c r="J28" s="172"/>
      <c r="K28" s="162"/>
      <c r="L28" s="162"/>
      <c r="M28" s="167" t="s">
        <v>818</v>
      </c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82</v>
      </c>
      <c r="D29" s="40" t="s">
        <v>83</v>
      </c>
      <c r="E29" s="15" t="s">
        <v>84</v>
      </c>
      <c r="F29" s="35">
        <f t="shared" si="2"/>
        <v>112.5</v>
      </c>
      <c r="G29" s="30">
        <v>125.0</v>
      </c>
      <c r="H29" s="42">
        <v>142.95</v>
      </c>
      <c r="I29" s="165"/>
      <c r="J29" s="172"/>
      <c r="K29" s="162"/>
      <c r="L29" s="162"/>
      <c r="M29" s="167" t="s">
        <v>818</v>
      </c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85</v>
      </c>
      <c r="D30" s="40" t="s">
        <v>86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165"/>
      <c r="J30" s="172"/>
      <c r="K30" s="162"/>
      <c r="L30" s="162"/>
      <c r="M30" s="165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88</v>
      </c>
      <c r="D31" s="40" t="s">
        <v>89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165"/>
      <c r="J31" s="172"/>
      <c r="K31" s="162"/>
      <c r="L31" s="162"/>
      <c r="M31" s="165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90</v>
      </c>
      <c r="D32" s="40" t="s">
        <v>91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165"/>
      <c r="J32" s="172"/>
      <c r="K32" s="162"/>
      <c r="L32" s="162"/>
      <c r="M32" s="165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92</v>
      </c>
      <c r="D33" s="40" t="s">
        <v>93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165"/>
      <c r="J33" s="172"/>
      <c r="K33" s="162"/>
      <c r="L33" s="162"/>
      <c r="M33" s="165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7"/>
      <c r="C34" s="39" t="s">
        <v>94</v>
      </c>
      <c r="D34" s="40" t="s">
        <v>95</v>
      </c>
      <c r="E34" s="15" t="s">
        <v>87</v>
      </c>
      <c r="F34" s="35">
        <f t="shared" si="2"/>
        <v>44.955</v>
      </c>
      <c r="G34" s="41">
        <v>49.95</v>
      </c>
      <c r="H34" s="42">
        <v>59.95</v>
      </c>
      <c r="I34" s="165"/>
      <c r="J34" s="172"/>
      <c r="K34" s="162"/>
      <c r="L34" s="162"/>
      <c r="M34" s="165"/>
      <c r="N34" s="32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39" t="s">
        <v>96</v>
      </c>
      <c r="D35" s="40" t="s">
        <v>97</v>
      </c>
      <c r="E35" s="15" t="s">
        <v>87</v>
      </c>
      <c r="F35" s="35">
        <f t="shared" si="2"/>
        <v>44.955</v>
      </c>
      <c r="G35" s="41">
        <v>49.95</v>
      </c>
      <c r="H35" s="42">
        <v>59.95</v>
      </c>
      <c r="I35" s="165"/>
      <c r="J35" s="172"/>
      <c r="K35" s="162"/>
      <c r="L35" s="162"/>
      <c r="M35" s="165"/>
      <c r="N35" s="32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0" t="s">
        <v>98</v>
      </c>
      <c r="C36" s="21" t="s">
        <v>17</v>
      </c>
      <c r="D36" s="22" t="s">
        <v>17</v>
      </c>
      <c r="E36" s="23" t="s">
        <v>99</v>
      </c>
      <c r="F36" s="24" t="s">
        <v>17</v>
      </c>
      <c r="G36" s="24" t="s">
        <v>17</v>
      </c>
      <c r="H36" s="25" t="s">
        <v>17</v>
      </c>
      <c r="I36" s="164" t="s">
        <v>17</v>
      </c>
      <c r="J36" s="164" t="s">
        <v>17</v>
      </c>
      <c r="K36" s="164" t="s">
        <v>17</v>
      </c>
      <c r="L36" s="164" t="s">
        <v>17</v>
      </c>
      <c r="M36" s="164" t="s">
        <v>17</v>
      </c>
      <c r="N36" s="25" t="s">
        <v>17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43" t="s">
        <v>100</v>
      </c>
      <c r="D37" s="15" t="s">
        <v>101</v>
      </c>
      <c r="E37" s="15" t="s">
        <v>102</v>
      </c>
      <c r="F37" s="35">
        <f t="shared" ref="F37:F38" si="3">G37*0.8</f>
        <v>359.2</v>
      </c>
      <c r="G37" s="41">
        <v>449.0</v>
      </c>
      <c r="H37" s="31">
        <v>475.0</v>
      </c>
      <c r="I37" s="165"/>
      <c r="J37" s="166" t="s">
        <v>797</v>
      </c>
      <c r="K37" s="166" t="s">
        <v>797</v>
      </c>
      <c r="L37" s="167" t="s">
        <v>823</v>
      </c>
      <c r="M37" s="167" t="s">
        <v>824</v>
      </c>
      <c r="N37" s="15" t="s">
        <v>793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45" t="s">
        <v>103</v>
      </c>
      <c r="D38" s="15" t="s">
        <v>104</v>
      </c>
      <c r="E38" s="15" t="s">
        <v>105</v>
      </c>
      <c r="F38" s="35">
        <f t="shared" si="3"/>
        <v>375.2</v>
      </c>
      <c r="G38" s="41">
        <v>469.0</v>
      </c>
      <c r="H38" s="31">
        <v>495.0</v>
      </c>
      <c r="I38" s="165"/>
      <c r="J38" s="166" t="s">
        <v>797</v>
      </c>
      <c r="K38" s="166" t="s">
        <v>797</v>
      </c>
      <c r="L38" s="167" t="s">
        <v>825</v>
      </c>
      <c r="M38" s="176" t="s">
        <v>826</v>
      </c>
      <c r="N38" s="15" t="s">
        <v>793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28" t="s">
        <v>106</v>
      </c>
      <c r="D39" s="15" t="s">
        <v>107</v>
      </c>
      <c r="E39" s="15" t="s">
        <v>108</v>
      </c>
      <c r="F39" s="35"/>
      <c r="G39" s="46"/>
      <c r="H39" s="31">
        <v>490.0</v>
      </c>
      <c r="I39" s="165"/>
      <c r="J39" s="177"/>
      <c r="K39" s="177"/>
      <c r="L39" s="167"/>
      <c r="M39" s="167"/>
      <c r="N39" s="32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28" t="s">
        <v>827</v>
      </c>
      <c r="D40" s="15" t="s">
        <v>828</v>
      </c>
      <c r="E40" s="15" t="s">
        <v>829</v>
      </c>
      <c r="F40" s="35">
        <f t="shared" ref="F40:F43" si="4">G40*0.8</f>
        <v>399.2</v>
      </c>
      <c r="G40" s="41">
        <v>499.0</v>
      </c>
      <c r="H40" s="31">
        <v>525.0</v>
      </c>
      <c r="I40" s="165"/>
      <c r="J40" s="177"/>
      <c r="K40" s="177"/>
      <c r="L40" s="167" t="s">
        <v>830</v>
      </c>
      <c r="M40" s="167" t="s">
        <v>831</v>
      </c>
      <c r="N40" s="32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112</v>
      </c>
      <c r="D41" s="15" t="s">
        <v>113</v>
      </c>
      <c r="E41" s="15" t="s">
        <v>832</v>
      </c>
      <c r="F41" s="35">
        <f t="shared" si="4"/>
        <v>415.2</v>
      </c>
      <c r="G41" s="41">
        <v>519.0</v>
      </c>
      <c r="H41" s="31">
        <v>545.0</v>
      </c>
      <c r="I41" s="165"/>
      <c r="J41" s="177"/>
      <c r="K41" s="177"/>
      <c r="L41" s="167" t="s">
        <v>833</v>
      </c>
      <c r="M41" s="167" t="s">
        <v>834</v>
      </c>
      <c r="N41" s="32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43" t="s">
        <v>115</v>
      </c>
      <c r="D42" s="15" t="s">
        <v>116</v>
      </c>
      <c r="E42" s="15" t="s">
        <v>117</v>
      </c>
      <c r="F42" s="35">
        <f t="shared" si="4"/>
        <v>287.2</v>
      </c>
      <c r="G42" s="41">
        <v>359.0</v>
      </c>
      <c r="H42" s="31">
        <v>375.0</v>
      </c>
      <c r="I42" s="165"/>
      <c r="J42" s="166" t="s">
        <v>797</v>
      </c>
      <c r="K42" s="166" t="s">
        <v>797</v>
      </c>
      <c r="L42" s="167" t="s">
        <v>835</v>
      </c>
      <c r="M42" s="167" t="s">
        <v>836</v>
      </c>
      <c r="N42" s="32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43" t="s">
        <v>118</v>
      </c>
      <c r="D43" s="15" t="s">
        <v>119</v>
      </c>
      <c r="E43" s="15" t="s">
        <v>120</v>
      </c>
      <c r="F43" s="35">
        <f t="shared" si="4"/>
        <v>303.2</v>
      </c>
      <c r="G43" s="48">
        <v>379.0</v>
      </c>
      <c r="H43" s="31">
        <v>395.0</v>
      </c>
      <c r="I43" s="165"/>
      <c r="J43" s="166" t="s">
        <v>797</v>
      </c>
      <c r="K43" s="166" t="s">
        <v>797</v>
      </c>
      <c r="L43" s="167" t="s">
        <v>837</v>
      </c>
      <c r="M43" s="167" t="s">
        <v>838</v>
      </c>
      <c r="N43" s="32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463</v>
      </c>
      <c r="D44" s="15" t="s">
        <v>464</v>
      </c>
      <c r="E44" s="15" t="s">
        <v>465</v>
      </c>
      <c r="F44" s="35"/>
      <c r="G44" s="47"/>
      <c r="H44" s="31">
        <v>425.0</v>
      </c>
      <c r="I44" s="165"/>
      <c r="J44" s="166" t="s">
        <v>797</v>
      </c>
      <c r="K44" s="166" t="s">
        <v>797</v>
      </c>
      <c r="L44" s="167" t="s">
        <v>839</v>
      </c>
      <c r="M44" s="167" t="s">
        <v>840</v>
      </c>
      <c r="N44" s="32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95" t="s">
        <v>466</v>
      </c>
      <c r="D45" s="96" t="s">
        <v>467</v>
      </c>
      <c r="E45" s="15" t="s">
        <v>468</v>
      </c>
      <c r="F45" s="35"/>
      <c r="G45" s="47"/>
      <c r="H45" s="31">
        <v>445.0</v>
      </c>
      <c r="I45" s="165"/>
      <c r="J45" s="166" t="s">
        <v>797</v>
      </c>
      <c r="K45" s="166" t="s">
        <v>797</v>
      </c>
      <c r="L45" s="167" t="s">
        <v>841</v>
      </c>
      <c r="M45" s="167" t="s">
        <v>842</v>
      </c>
      <c r="N45" s="15" t="s">
        <v>843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8" t="s">
        <v>121</v>
      </c>
      <c r="D46" s="15" t="s">
        <v>122</v>
      </c>
      <c r="E46" s="15" t="s">
        <v>123</v>
      </c>
      <c r="F46" s="35">
        <f t="shared" ref="F46:F47" si="5">G46*0.8</f>
        <v>287.2</v>
      </c>
      <c r="G46" s="41">
        <v>359.0</v>
      </c>
      <c r="H46" s="31">
        <v>375.0</v>
      </c>
      <c r="I46" s="165"/>
      <c r="J46" s="177"/>
      <c r="K46" s="177"/>
      <c r="L46" s="167" t="s">
        <v>844</v>
      </c>
      <c r="M46" s="167" t="s">
        <v>845</v>
      </c>
      <c r="N46" s="32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124</v>
      </c>
      <c r="D47" s="15" t="s">
        <v>125</v>
      </c>
      <c r="E47" s="15" t="s">
        <v>126</v>
      </c>
      <c r="F47" s="35">
        <f t="shared" si="5"/>
        <v>303.2</v>
      </c>
      <c r="G47" s="48">
        <v>379.0</v>
      </c>
      <c r="H47" s="31">
        <v>395.0</v>
      </c>
      <c r="I47" s="165"/>
      <c r="J47" s="177"/>
      <c r="K47" s="177"/>
      <c r="L47" s="167" t="s">
        <v>846</v>
      </c>
      <c r="M47" s="167" t="s">
        <v>847</v>
      </c>
      <c r="N47" s="32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21" t="s">
        <v>17</v>
      </c>
      <c r="D48" s="22" t="s">
        <v>17</v>
      </c>
      <c r="E48" s="23" t="s">
        <v>127</v>
      </c>
      <c r="F48" s="24" t="s">
        <v>17</v>
      </c>
      <c r="G48" s="24" t="s">
        <v>17</v>
      </c>
      <c r="H48" s="25" t="s">
        <v>17</v>
      </c>
      <c r="I48" s="164" t="s">
        <v>17</v>
      </c>
      <c r="J48" s="164" t="s">
        <v>17</v>
      </c>
      <c r="K48" s="164" t="s">
        <v>17</v>
      </c>
      <c r="L48" s="164" t="s">
        <v>17</v>
      </c>
      <c r="M48" s="164" t="s">
        <v>17</v>
      </c>
      <c r="N48" s="25" t="s">
        <v>17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128</v>
      </c>
      <c r="D49" s="49" t="s">
        <v>129</v>
      </c>
      <c r="E49" s="32" t="s">
        <v>130</v>
      </c>
      <c r="F49" s="50">
        <f t="shared" ref="F49:F58" si="6">H49</f>
        <v>59.95</v>
      </c>
      <c r="G49" s="51">
        <f t="shared" ref="G49:G58" si="7">H49</f>
        <v>59.95</v>
      </c>
      <c r="H49" s="52">
        <v>59.95</v>
      </c>
      <c r="I49" s="165"/>
      <c r="J49" s="177"/>
      <c r="K49" s="177"/>
      <c r="L49" s="165"/>
      <c r="M49" s="165"/>
      <c r="N49" s="15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131</v>
      </c>
      <c r="D50" s="15" t="s">
        <v>132</v>
      </c>
      <c r="E50" s="32" t="s">
        <v>133</v>
      </c>
      <c r="F50" s="50">
        <f t="shared" si="6"/>
        <v>59.95</v>
      </c>
      <c r="G50" s="51">
        <f t="shared" si="7"/>
        <v>59.95</v>
      </c>
      <c r="H50" s="52">
        <v>59.95</v>
      </c>
      <c r="I50" s="165"/>
      <c r="J50" s="177"/>
      <c r="K50" s="177"/>
      <c r="L50" s="165"/>
      <c r="M50" s="165"/>
      <c r="N50" s="15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134</v>
      </c>
      <c r="D51" s="15" t="s">
        <v>135</v>
      </c>
      <c r="E51" s="32" t="s">
        <v>136</v>
      </c>
      <c r="F51" s="50">
        <f t="shared" si="6"/>
        <v>33.95</v>
      </c>
      <c r="G51" s="51">
        <f t="shared" si="7"/>
        <v>33.95</v>
      </c>
      <c r="H51" s="52">
        <v>33.95</v>
      </c>
      <c r="I51" s="165"/>
      <c r="J51" s="165"/>
      <c r="K51" s="165"/>
      <c r="L51" s="165"/>
      <c r="M51" s="165"/>
      <c r="N51" s="15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137</v>
      </c>
      <c r="D52" s="15" t="s">
        <v>138</v>
      </c>
      <c r="E52" s="32" t="s">
        <v>139</v>
      </c>
      <c r="F52" s="50">
        <f t="shared" si="6"/>
        <v>42.95</v>
      </c>
      <c r="G52" s="51">
        <f t="shared" si="7"/>
        <v>42.95</v>
      </c>
      <c r="H52" s="52">
        <v>42.95</v>
      </c>
      <c r="I52" s="165"/>
      <c r="J52" s="165"/>
      <c r="K52" s="165"/>
      <c r="L52" s="165"/>
      <c r="M52" s="165"/>
      <c r="N52" s="15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140</v>
      </c>
      <c r="D53" s="15" t="s">
        <v>141</v>
      </c>
      <c r="E53" s="32" t="s">
        <v>142</v>
      </c>
      <c r="F53" s="50">
        <f t="shared" si="6"/>
        <v>79.95</v>
      </c>
      <c r="G53" s="51">
        <f t="shared" si="7"/>
        <v>79.95</v>
      </c>
      <c r="H53" s="52">
        <v>79.95</v>
      </c>
      <c r="I53" s="165"/>
      <c r="J53" s="165"/>
      <c r="K53" s="165"/>
      <c r="L53" s="165"/>
      <c r="M53" s="165"/>
      <c r="N53" s="15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143</v>
      </c>
      <c r="D54" s="15" t="s">
        <v>144</v>
      </c>
      <c r="E54" s="15" t="s">
        <v>145</v>
      </c>
      <c r="F54" s="50">
        <f t="shared" si="6"/>
        <v>42.95</v>
      </c>
      <c r="G54" s="51">
        <f t="shared" si="7"/>
        <v>42.95</v>
      </c>
      <c r="H54" s="52">
        <v>42.95</v>
      </c>
      <c r="I54" s="165"/>
      <c r="J54" s="165"/>
      <c r="K54" s="165"/>
      <c r="L54" s="165"/>
      <c r="M54" s="165"/>
      <c r="N54" s="15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146</v>
      </c>
      <c r="D55" s="15" t="s">
        <v>147</v>
      </c>
      <c r="E55" s="15" t="s">
        <v>148</v>
      </c>
      <c r="F55" s="50">
        <f t="shared" si="6"/>
        <v>59.95</v>
      </c>
      <c r="G55" s="51">
        <f t="shared" si="7"/>
        <v>59.95</v>
      </c>
      <c r="H55" s="52">
        <v>59.95</v>
      </c>
      <c r="I55" s="165"/>
      <c r="J55" s="165"/>
      <c r="K55" s="165"/>
      <c r="L55" s="165"/>
      <c r="M55" s="165"/>
      <c r="N55" s="15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43" t="s">
        <v>149</v>
      </c>
      <c r="D56" s="15" t="s">
        <v>150</v>
      </c>
      <c r="E56" s="15" t="s">
        <v>151</v>
      </c>
      <c r="F56" s="50">
        <f t="shared" si="6"/>
        <v>33.95</v>
      </c>
      <c r="G56" s="51">
        <f t="shared" si="7"/>
        <v>33.95</v>
      </c>
      <c r="H56" s="52">
        <v>33.95</v>
      </c>
      <c r="I56" s="165"/>
      <c r="J56" s="165"/>
      <c r="K56" s="165"/>
      <c r="L56" s="165"/>
      <c r="M56" s="165"/>
      <c r="N56" s="15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7"/>
      <c r="C57" s="43" t="s">
        <v>152</v>
      </c>
      <c r="D57" s="53" t="s">
        <v>153</v>
      </c>
      <c r="E57" s="15" t="s">
        <v>154</v>
      </c>
      <c r="F57" s="50">
        <f t="shared" si="6"/>
        <v>80</v>
      </c>
      <c r="G57" s="51">
        <f t="shared" si="7"/>
        <v>80</v>
      </c>
      <c r="H57" s="54">
        <v>80.0</v>
      </c>
      <c r="I57" s="165"/>
      <c r="J57" s="165"/>
      <c r="K57" s="165"/>
      <c r="L57" s="165"/>
      <c r="M57" s="165"/>
      <c r="N57" s="15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38"/>
      <c r="C58" s="28" t="s">
        <v>155</v>
      </c>
      <c r="D58" s="53" t="s">
        <v>156</v>
      </c>
      <c r="E58" s="15" t="s">
        <v>157</v>
      </c>
      <c r="F58" s="50">
        <f t="shared" si="6"/>
        <v>29.95</v>
      </c>
      <c r="G58" s="51">
        <f t="shared" si="7"/>
        <v>29.95</v>
      </c>
      <c r="H58" s="52">
        <v>29.95</v>
      </c>
      <c r="I58" s="165"/>
      <c r="J58" s="165"/>
      <c r="K58" s="165"/>
      <c r="L58" s="165"/>
      <c r="M58" s="165"/>
      <c r="N58" s="15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0" t="s">
        <v>158</v>
      </c>
      <c r="C59" s="21" t="s">
        <v>17</v>
      </c>
      <c r="D59" s="22" t="s">
        <v>17</v>
      </c>
      <c r="E59" s="23" t="s">
        <v>159</v>
      </c>
      <c r="F59" s="24" t="s">
        <v>17</v>
      </c>
      <c r="G59" s="24" t="s">
        <v>17</v>
      </c>
      <c r="H59" s="25" t="s">
        <v>17</v>
      </c>
      <c r="I59" s="164" t="s">
        <v>17</v>
      </c>
      <c r="J59" s="164" t="s">
        <v>17</v>
      </c>
      <c r="K59" s="164" t="s">
        <v>17</v>
      </c>
      <c r="L59" s="164" t="s">
        <v>17</v>
      </c>
      <c r="M59" s="164" t="s">
        <v>17</v>
      </c>
      <c r="N59" s="25" t="s">
        <v>17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160</v>
      </c>
      <c r="D60" s="15" t="s">
        <v>161</v>
      </c>
      <c r="E60" s="15" t="s">
        <v>162</v>
      </c>
      <c r="F60" s="50">
        <f t="shared" ref="F60:F62" si="8">H60*80%</f>
        <v>208</v>
      </c>
      <c r="G60" s="56">
        <v>260.0</v>
      </c>
      <c r="H60" s="52">
        <v>260.0</v>
      </c>
      <c r="I60" s="178"/>
      <c r="J60" s="178"/>
      <c r="K60" s="178"/>
      <c r="L60" s="179" t="s">
        <v>848</v>
      </c>
      <c r="M60" s="179" t="s">
        <v>849</v>
      </c>
      <c r="N60" s="180" t="s">
        <v>850</v>
      </c>
      <c r="O60" s="181" t="s">
        <v>851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164</v>
      </c>
      <c r="D61" s="15" t="s">
        <v>165</v>
      </c>
      <c r="E61" s="15" t="s">
        <v>166</v>
      </c>
      <c r="F61" s="50">
        <f t="shared" si="8"/>
        <v>208</v>
      </c>
      <c r="G61" s="56">
        <v>260.0</v>
      </c>
      <c r="H61" s="52">
        <v>260.0</v>
      </c>
      <c r="I61" s="178"/>
      <c r="J61" s="178"/>
      <c r="K61" s="178"/>
      <c r="L61" s="178"/>
      <c r="M61" s="178"/>
      <c r="N61" s="180" t="s">
        <v>852</v>
      </c>
      <c r="O61" s="181" t="s">
        <v>853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167</v>
      </c>
      <c r="D62" s="15" t="s">
        <v>168</v>
      </c>
      <c r="E62" s="15" t="s">
        <v>169</v>
      </c>
      <c r="F62" s="50">
        <f t="shared" si="8"/>
        <v>208</v>
      </c>
      <c r="G62" s="56">
        <v>260.0</v>
      </c>
      <c r="H62" s="52">
        <v>260.0</v>
      </c>
      <c r="I62" s="178"/>
      <c r="J62" s="178"/>
      <c r="K62" s="178"/>
      <c r="L62" s="178"/>
      <c r="M62" s="178"/>
      <c r="N62" s="180" t="s">
        <v>854</v>
      </c>
      <c r="O62" s="181" t="s">
        <v>855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21" t="s">
        <v>17</v>
      </c>
      <c r="D63" s="22" t="s">
        <v>17</v>
      </c>
      <c r="E63" s="23" t="s">
        <v>170</v>
      </c>
      <c r="F63" s="24" t="s">
        <v>17</v>
      </c>
      <c r="G63" s="24" t="s">
        <v>17</v>
      </c>
      <c r="H63" s="25" t="s">
        <v>17</v>
      </c>
      <c r="I63" s="164" t="s">
        <v>17</v>
      </c>
      <c r="J63" s="164" t="s">
        <v>17</v>
      </c>
      <c r="K63" s="164" t="s">
        <v>17</v>
      </c>
      <c r="L63" s="164" t="s">
        <v>17</v>
      </c>
      <c r="M63" s="164" t="s">
        <v>17</v>
      </c>
      <c r="N63" s="25" t="s">
        <v>17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171</v>
      </c>
      <c r="D64" s="15" t="s">
        <v>172</v>
      </c>
      <c r="E64" s="15" t="s">
        <v>173</v>
      </c>
      <c r="F64" s="50">
        <f t="shared" ref="F64:F67" si="9">H64*70%</f>
        <v>51.1</v>
      </c>
      <c r="G64" s="56">
        <v>73.0</v>
      </c>
      <c r="H64" s="52">
        <v>73.0</v>
      </c>
      <c r="I64" s="178"/>
      <c r="J64" s="178"/>
      <c r="K64" s="178"/>
      <c r="L64" s="178"/>
      <c r="M64" s="178"/>
      <c r="N64" s="182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176</v>
      </c>
      <c r="D65" s="15" t="s">
        <v>177</v>
      </c>
      <c r="E65" s="15" t="s">
        <v>178</v>
      </c>
      <c r="F65" s="50">
        <f t="shared" si="9"/>
        <v>51.1</v>
      </c>
      <c r="G65" s="56">
        <v>73.0</v>
      </c>
      <c r="H65" s="52">
        <v>73.0</v>
      </c>
      <c r="I65" s="178"/>
      <c r="J65" s="178"/>
      <c r="K65" s="178"/>
      <c r="L65" s="178"/>
      <c r="M65" s="178"/>
      <c r="N65" s="18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179</v>
      </c>
      <c r="D66" s="15" t="s">
        <v>180</v>
      </c>
      <c r="E66" s="15" t="s">
        <v>181</v>
      </c>
      <c r="F66" s="50">
        <f t="shared" si="9"/>
        <v>57.365</v>
      </c>
      <c r="G66" s="56">
        <v>81.95</v>
      </c>
      <c r="H66" s="52">
        <v>81.95</v>
      </c>
      <c r="I66" s="178"/>
      <c r="J66" s="178"/>
      <c r="K66" s="178"/>
      <c r="L66" s="179" t="s">
        <v>856</v>
      </c>
      <c r="M66" s="179" t="s">
        <v>857</v>
      </c>
      <c r="N66" s="180" t="s">
        <v>858</v>
      </c>
      <c r="O66" s="181" t="s">
        <v>859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182</v>
      </c>
      <c r="D67" s="15" t="s">
        <v>183</v>
      </c>
      <c r="E67" s="15" t="s">
        <v>184</v>
      </c>
      <c r="F67" s="50">
        <f t="shared" si="9"/>
        <v>60.865</v>
      </c>
      <c r="G67" s="56">
        <v>86.95</v>
      </c>
      <c r="H67" s="52">
        <v>86.95</v>
      </c>
      <c r="I67" s="178"/>
      <c r="J67" s="178"/>
      <c r="K67" s="178"/>
      <c r="L67" s="179" t="s">
        <v>860</v>
      </c>
      <c r="M67" s="179" t="s">
        <v>861</v>
      </c>
      <c r="N67" s="180" t="s">
        <v>858</v>
      </c>
      <c r="O67" s="181" t="s">
        <v>862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39" t="s">
        <v>623</v>
      </c>
      <c r="D68" s="15" t="s">
        <v>624</v>
      </c>
      <c r="E68" s="15" t="s">
        <v>625</v>
      </c>
      <c r="F68" s="50"/>
      <c r="G68" s="56"/>
      <c r="H68" s="52">
        <v>32.5</v>
      </c>
      <c r="I68" s="178"/>
      <c r="J68" s="178"/>
      <c r="K68" s="178"/>
      <c r="L68" s="179" t="s">
        <v>863</v>
      </c>
      <c r="M68" s="179" t="s">
        <v>864</v>
      </c>
      <c r="N68" s="180" t="s">
        <v>865</v>
      </c>
      <c r="O68" s="181" t="s">
        <v>866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39" t="s">
        <v>191</v>
      </c>
      <c r="D69" s="183" t="s">
        <v>192</v>
      </c>
      <c r="E69" s="15" t="s">
        <v>193</v>
      </c>
      <c r="F69" s="50"/>
      <c r="G69" s="56"/>
      <c r="H69" s="52">
        <v>40.0</v>
      </c>
      <c r="I69" s="178"/>
      <c r="J69" s="178"/>
      <c r="K69" s="178"/>
      <c r="L69" s="179" t="s">
        <v>867</v>
      </c>
      <c r="M69" s="179" t="s">
        <v>868</v>
      </c>
      <c r="N69" s="180" t="s">
        <v>865</v>
      </c>
      <c r="O69" s="181" t="s">
        <v>869</v>
      </c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39" t="s">
        <v>620</v>
      </c>
      <c r="D70" s="15" t="s">
        <v>621</v>
      </c>
      <c r="E70" s="15" t="s">
        <v>622</v>
      </c>
      <c r="F70" s="50"/>
      <c r="G70" s="56"/>
      <c r="H70" s="52">
        <v>55.0</v>
      </c>
      <c r="I70" s="178"/>
      <c r="J70" s="178"/>
      <c r="K70" s="178"/>
      <c r="L70" s="179" t="s">
        <v>870</v>
      </c>
      <c r="M70" s="179" t="s">
        <v>871</v>
      </c>
      <c r="N70" s="180" t="s">
        <v>858</v>
      </c>
      <c r="O70" s="181" t="s">
        <v>872</v>
      </c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185</v>
      </c>
      <c r="D71" s="15" t="s">
        <v>186</v>
      </c>
      <c r="E71" s="15" t="s">
        <v>187</v>
      </c>
      <c r="F71" s="50">
        <f t="shared" ref="F71:F73" si="10">H71*70%</f>
        <v>67.165</v>
      </c>
      <c r="G71" s="56">
        <v>95.95</v>
      </c>
      <c r="H71" s="52">
        <v>95.95</v>
      </c>
      <c r="I71" s="178"/>
      <c r="J71" s="178"/>
      <c r="K71" s="178"/>
      <c r="L71" s="184"/>
      <c r="M71" s="178"/>
      <c r="N71" s="182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188</v>
      </c>
      <c r="D72" s="15" t="s">
        <v>189</v>
      </c>
      <c r="E72" s="15" t="s">
        <v>190</v>
      </c>
      <c r="F72" s="50">
        <f t="shared" si="10"/>
        <v>74.865</v>
      </c>
      <c r="G72" s="56">
        <v>106.95</v>
      </c>
      <c r="H72" s="52">
        <v>106.95</v>
      </c>
      <c r="I72" s="178"/>
      <c r="J72" s="178"/>
      <c r="K72" s="178"/>
      <c r="L72" s="184"/>
      <c r="M72" s="178"/>
      <c r="N72" s="182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39" t="s">
        <v>191</v>
      </c>
      <c r="D73" s="183" t="s">
        <v>192</v>
      </c>
      <c r="E73" s="15" t="s">
        <v>193</v>
      </c>
      <c r="F73" s="50">
        <f t="shared" si="10"/>
        <v>74.865</v>
      </c>
      <c r="G73" s="56">
        <v>106.95</v>
      </c>
      <c r="H73" s="52">
        <v>106.95</v>
      </c>
      <c r="I73" s="178"/>
      <c r="J73" s="178"/>
      <c r="K73" s="178"/>
      <c r="L73" s="179" t="s">
        <v>873</v>
      </c>
      <c r="M73" s="179" t="s">
        <v>874</v>
      </c>
      <c r="N73" s="180" t="s">
        <v>865</v>
      </c>
      <c r="O73" s="181" t="s">
        <v>875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21" t="s">
        <v>17</v>
      </c>
      <c r="D74" s="22" t="s">
        <v>17</v>
      </c>
      <c r="E74" s="23" t="s">
        <v>194</v>
      </c>
      <c r="F74" s="24" t="s">
        <v>17</v>
      </c>
      <c r="G74" s="24" t="s">
        <v>17</v>
      </c>
      <c r="H74" s="25" t="s">
        <v>17</v>
      </c>
      <c r="I74" s="164" t="s">
        <v>17</v>
      </c>
      <c r="J74" s="164" t="s">
        <v>17</v>
      </c>
      <c r="K74" s="164" t="s">
        <v>17</v>
      </c>
      <c r="L74" s="164" t="s">
        <v>17</v>
      </c>
      <c r="M74" s="164" t="s">
        <v>17</v>
      </c>
      <c r="N74" s="25" t="s">
        <v>17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195</v>
      </c>
      <c r="D75" s="15" t="s">
        <v>196</v>
      </c>
      <c r="E75" s="15" t="s">
        <v>197</v>
      </c>
      <c r="F75" s="50">
        <f t="shared" ref="F75:F83" si="11">H75*70%</f>
        <v>18.2</v>
      </c>
      <c r="G75" s="56">
        <v>26.0</v>
      </c>
      <c r="H75" s="54">
        <v>26.0</v>
      </c>
      <c r="I75" s="178"/>
      <c r="J75" s="178"/>
      <c r="K75" s="178"/>
      <c r="L75" s="178"/>
      <c r="M75" s="178"/>
      <c r="N75" s="182" t="s">
        <v>876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198</v>
      </c>
      <c r="D76" s="15" t="s">
        <v>199</v>
      </c>
      <c r="E76" s="15" t="s">
        <v>200</v>
      </c>
      <c r="F76" s="50">
        <f t="shared" si="11"/>
        <v>18.2</v>
      </c>
      <c r="G76" s="56">
        <v>26.0</v>
      </c>
      <c r="H76" s="54">
        <v>26.0</v>
      </c>
      <c r="I76" s="178"/>
      <c r="J76" s="178"/>
      <c r="K76" s="178"/>
      <c r="L76" s="178"/>
      <c r="M76" s="178"/>
      <c r="N76" s="185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201</v>
      </c>
      <c r="D77" s="15" t="s">
        <v>202</v>
      </c>
      <c r="E77" s="15" t="s">
        <v>203</v>
      </c>
      <c r="F77" s="50">
        <f t="shared" si="11"/>
        <v>21</v>
      </c>
      <c r="G77" s="56">
        <v>30.0</v>
      </c>
      <c r="H77" s="54">
        <v>30.0</v>
      </c>
      <c r="I77" s="178"/>
      <c r="J77" s="178"/>
      <c r="K77" s="178"/>
      <c r="L77" s="178"/>
      <c r="M77" s="178"/>
      <c r="N77" s="185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55" t="s">
        <v>204</v>
      </c>
      <c r="D78" s="15" t="s">
        <v>205</v>
      </c>
      <c r="E78" s="15" t="s">
        <v>206</v>
      </c>
      <c r="F78" s="50">
        <f t="shared" si="11"/>
        <v>12.6</v>
      </c>
      <c r="G78" s="56">
        <v>18.0</v>
      </c>
      <c r="H78" s="52">
        <v>18.0</v>
      </c>
      <c r="I78" s="178"/>
      <c r="J78" s="178"/>
      <c r="K78" s="178"/>
      <c r="L78" s="178"/>
      <c r="M78" s="178"/>
      <c r="N78" s="185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7"/>
      <c r="C79" s="55" t="s">
        <v>207</v>
      </c>
      <c r="D79" s="15" t="s">
        <v>208</v>
      </c>
      <c r="E79" s="15" t="s">
        <v>209</v>
      </c>
      <c r="F79" s="50">
        <f t="shared" si="11"/>
        <v>15.4</v>
      </c>
      <c r="G79" s="56">
        <v>22.0</v>
      </c>
      <c r="H79" s="54">
        <v>22.0</v>
      </c>
      <c r="I79" s="178"/>
      <c r="J79" s="178"/>
      <c r="K79" s="178"/>
      <c r="L79" s="178"/>
      <c r="M79" s="178"/>
      <c r="N79" s="185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55" t="s">
        <v>210</v>
      </c>
      <c r="D80" s="15" t="s">
        <v>211</v>
      </c>
      <c r="E80" s="15" t="s">
        <v>212</v>
      </c>
      <c r="F80" s="50">
        <f t="shared" si="11"/>
        <v>11.2</v>
      </c>
      <c r="G80" s="56">
        <v>16.0</v>
      </c>
      <c r="H80" s="52">
        <v>16.0</v>
      </c>
      <c r="I80" s="178"/>
      <c r="J80" s="178"/>
      <c r="K80" s="178"/>
      <c r="L80" s="178"/>
      <c r="M80" s="178"/>
      <c r="N80" s="185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55" t="s">
        <v>213</v>
      </c>
      <c r="D81" s="15" t="s">
        <v>214</v>
      </c>
      <c r="E81" s="15" t="s">
        <v>215</v>
      </c>
      <c r="F81" s="50">
        <f t="shared" si="11"/>
        <v>11.2</v>
      </c>
      <c r="G81" s="56">
        <v>16.0</v>
      </c>
      <c r="H81" s="52">
        <v>16.0</v>
      </c>
      <c r="I81" s="178"/>
      <c r="J81" s="178"/>
      <c r="K81" s="178"/>
      <c r="L81" s="178"/>
      <c r="M81" s="178"/>
      <c r="N81" s="185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55" t="s">
        <v>216</v>
      </c>
      <c r="D82" s="15" t="s">
        <v>217</v>
      </c>
      <c r="E82" s="15" t="s">
        <v>218</v>
      </c>
      <c r="F82" s="50">
        <f t="shared" si="11"/>
        <v>14.7</v>
      </c>
      <c r="G82" s="56">
        <v>21.0</v>
      </c>
      <c r="H82" s="54">
        <v>21.0</v>
      </c>
      <c r="I82" s="178"/>
      <c r="J82" s="178"/>
      <c r="K82" s="178"/>
      <c r="L82" s="178"/>
      <c r="M82" s="178"/>
      <c r="N82" s="185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38"/>
      <c r="C83" s="55" t="s">
        <v>219</v>
      </c>
      <c r="D83" s="49" t="s">
        <v>220</v>
      </c>
      <c r="E83" s="15" t="s">
        <v>221</v>
      </c>
      <c r="F83" s="50">
        <f t="shared" si="11"/>
        <v>15.4</v>
      </c>
      <c r="G83" s="56">
        <v>22.0</v>
      </c>
      <c r="H83" s="54">
        <v>22.0</v>
      </c>
      <c r="I83" s="178"/>
      <c r="J83" s="178"/>
      <c r="K83" s="178"/>
      <c r="L83" s="178"/>
      <c r="M83" s="178"/>
      <c r="N83" s="185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0"/>
      <c r="C84" s="186" t="s">
        <v>17</v>
      </c>
      <c r="D84" s="187" t="s">
        <v>17</v>
      </c>
      <c r="E84" s="23" t="s">
        <v>533</v>
      </c>
      <c r="F84" s="188" t="s">
        <v>17</v>
      </c>
      <c r="G84" s="188" t="s">
        <v>17</v>
      </c>
      <c r="H84" s="189" t="s">
        <v>17</v>
      </c>
      <c r="I84" s="190" t="s">
        <v>17</v>
      </c>
      <c r="J84" s="190" t="s">
        <v>17</v>
      </c>
      <c r="K84" s="190" t="s">
        <v>17</v>
      </c>
      <c r="L84" s="190" t="s">
        <v>17</v>
      </c>
      <c r="M84" s="190" t="s">
        <v>17</v>
      </c>
      <c r="N84" s="191" t="s">
        <v>17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105" t="s">
        <v>738</v>
      </c>
      <c r="D85" s="150" t="s">
        <v>538</v>
      </c>
      <c r="E85" s="192" t="s">
        <v>539</v>
      </c>
      <c r="F85" s="133">
        <v>149.95</v>
      </c>
      <c r="G85" s="134">
        <v>149.95</v>
      </c>
      <c r="H85" s="135">
        <v>199.0</v>
      </c>
      <c r="I85" s="165"/>
      <c r="J85" s="165"/>
      <c r="K85" s="165"/>
      <c r="L85" s="167" t="s">
        <v>877</v>
      </c>
      <c r="M85" s="167" t="s">
        <v>878</v>
      </c>
      <c r="N85" s="15"/>
      <c r="O85" s="181" t="s">
        <v>879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105" t="s">
        <v>740</v>
      </c>
      <c r="D86" s="150" t="s">
        <v>535</v>
      </c>
      <c r="E86" s="192" t="s">
        <v>536</v>
      </c>
      <c r="F86" s="133">
        <v>239.96</v>
      </c>
      <c r="G86" s="134">
        <v>299.95</v>
      </c>
      <c r="H86" s="135">
        <v>299.95</v>
      </c>
      <c r="I86" s="165"/>
      <c r="J86" s="166" t="s">
        <v>880</v>
      </c>
      <c r="K86" s="166" t="s">
        <v>881</v>
      </c>
      <c r="L86" s="167" t="s">
        <v>882</v>
      </c>
      <c r="M86" s="166" t="s">
        <v>883</v>
      </c>
      <c r="N86" s="15" t="s">
        <v>884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38"/>
      <c r="C87" s="105" t="s">
        <v>885</v>
      </c>
      <c r="D87" s="150" t="s">
        <v>541</v>
      </c>
      <c r="E87" s="192" t="s">
        <v>542</v>
      </c>
      <c r="F87" s="133">
        <v>354.15</v>
      </c>
      <c r="G87" s="134">
        <v>399.0</v>
      </c>
      <c r="H87" s="135">
        <v>399.0</v>
      </c>
      <c r="I87" s="165"/>
      <c r="J87" s="165"/>
      <c r="K87" s="165"/>
      <c r="L87" s="167" t="s">
        <v>886</v>
      </c>
      <c r="M87" s="167" t="s">
        <v>887</v>
      </c>
      <c r="N87" s="15" t="s">
        <v>888</v>
      </c>
      <c r="O87" s="181" t="s">
        <v>889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0" t="s">
        <v>222</v>
      </c>
      <c r="C88" s="21" t="s">
        <v>17</v>
      </c>
      <c r="D88" s="22" t="s">
        <v>17</v>
      </c>
      <c r="E88" s="23" t="s">
        <v>223</v>
      </c>
      <c r="F88" s="24" t="s">
        <v>17</v>
      </c>
      <c r="G88" s="24" t="s">
        <v>17</v>
      </c>
      <c r="H88" s="25" t="s">
        <v>17</v>
      </c>
      <c r="I88" s="164" t="s">
        <v>17</v>
      </c>
      <c r="J88" s="164" t="s">
        <v>17</v>
      </c>
      <c r="K88" s="164" t="s">
        <v>17</v>
      </c>
      <c r="L88" s="164" t="s">
        <v>17</v>
      </c>
      <c r="M88" s="164" t="s">
        <v>17</v>
      </c>
      <c r="N88" s="25" t="s">
        <v>17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224</v>
      </c>
      <c r="D89" s="15" t="s">
        <v>225</v>
      </c>
      <c r="E89" s="15" t="s">
        <v>226</v>
      </c>
      <c r="F89" s="58">
        <v>45.49</v>
      </c>
      <c r="G89" s="56">
        <v>69.95</v>
      </c>
      <c r="H89" s="52">
        <v>69.95</v>
      </c>
      <c r="I89" s="165"/>
      <c r="J89" s="165"/>
      <c r="K89" s="165"/>
      <c r="L89" s="167" t="s">
        <v>890</v>
      </c>
      <c r="M89" s="167" t="s">
        <v>891</v>
      </c>
      <c r="N89" s="15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227</v>
      </c>
      <c r="D90" s="15" t="s">
        <v>228</v>
      </c>
      <c r="E90" s="15" t="s">
        <v>229</v>
      </c>
      <c r="F90" s="58">
        <v>58.84</v>
      </c>
      <c r="G90" s="56">
        <v>79.95</v>
      </c>
      <c r="H90" s="52">
        <v>79.95</v>
      </c>
      <c r="I90" s="165"/>
      <c r="J90" s="165"/>
      <c r="K90" s="165"/>
      <c r="L90" s="167" t="s">
        <v>892</v>
      </c>
      <c r="M90" s="167" t="s">
        <v>893</v>
      </c>
      <c r="N90" s="32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230</v>
      </c>
      <c r="D91" s="15" t="s">
        <v>231</v>
      </c>
      <c r="E91" s="15" t="s">
        <v>232</v>
      </c>
      <c r="F91" s="58">
        <v>92.41</v>
      </c>
      <c r="G91" s="56">
        <v>114.95</v>
      </c>
      <c r="H91" s="54">
        <v>119.0</v>
      </c>
      <c r="I91" s="165"/>
      <c r="J91" s="166" t="s">
        <v>894</v>
      </c>
      <c r="K91" s="166" t="s">
        <v>895</v>
      </c>
      <c r="L91" s="167" t="s">
        <v>896</v>
      </c>
      <c r="M91" s="166" t="s">
        <v>897</v>
      </c>
      <c r="N91" s="15" t="s">
        <v>793</v>
      </c>
      <c r="O91" s="88" t="s">
        <v>898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233</v>
      </c>
      <c r="D92" s="15" t="s">
        <v>234</v>
      </c>
      <c r="E92" s="15" t="s">
        <v>235</v>
      </c>
      <c r="F92" s="58">
        <v>17.99</v>
      </c>
      <c r="G92" s="56">
        <v>24.95</v>
      </c>
      <c r="H92" s="52">
        <v>24.95</v>
      </c>
      <c r="I92" s="165"/>
      <c r="J92" s="167"/>
      <c r="K92" s="167"/>
      <c r="L92" s="167" t="s">
        <v>899</v>
      </c>
      <c r="M92" s="167" t="s">
        <v>900</v>
      </c>
      <c r="N92" s="15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236</v>
      </c>
      <c r="D93" s="15" t="s">
        <v>237</v>
      </c>
      <c r="E93" s="15" t="s">
        <v>238</v>
      </c>
      <c r="F93" s="58">
        <v>27.99</v>
      </c>
      <c r="G93" s="59">
        <v>32.95</v>
      </c>
      <c r="H93" s="52">
        <v>32.95</v>
      </c>
      <c r="I93" s="165"/>
      <c r="J93" s="165"/>
      <c r="K93" s="165"/>
      <c r="L93" s="167" t="s">
        <v>901</v>
      </c>
      <c r="M93" s="167" t="s">
        <v>902</v>
      </c>
      <c r="N93" s="15"/>
      <c r="O93" s="88" t="s">
        <v>903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239</v>
      </c>
      <c r="D94" s="15" t="s">
        <v>240</v>
      </c>
      <c r="E94" s="15" t="s">
        <v>241</v>
      </c>
      <c r="F94" s="58">
        <v>19.95</v>
      </c>
      <c r="G94" s="59">
        <v>19.95</v>
      </c>
      <c r="H94" s="52">
        <v>19.95</v>
      </c>
      <c r="I94" s="165"/>
      <c r="J94" s="167"/>
      <c r="K94" s="167"/>
      <c r="L94" s="167" t="s">
        <v>904</v>
      </c>
      <c r="M94" s="167" t="s">
        <v>905</v>
      </c>
      <c r="N94" s="15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/>
      <c r="D95" s="15" t="s">
        <v>906</v>
      </c>
      <c r="E95" s="15" t="s">
        <v>907</v>
      </c>
      <c r="F95" s="58">
        <f>H95-(H95*0.25)</f>
        <v>26.2125</v>
      </c>
      <c r="G95" s="59">
        <v>34.95</v>
      </c>
      <c r="H95" s="52">
        <v>34.95</v>
      </c>
      <c r="I95" s="165"/>
      <c r="J95" s="167"/>
      <c r="K95" s="167"/>
      <c r="L95" s="167" t="s">
        <v>908</v>
      </c>
      <c r="M95" s="167" t="s">
        <v>909</v>
      </c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242</v>
      </c>
      <c r="D96" s="15" t="s">
        <v>243</v>
      </c>
      <c r="E96" s="15" t="s">
        <v>244</v>
      </c>
      <c r="F96" s="58">
        <v>33.71</v>
      </c>
      <c r="G96" s="59">
        <v>44.95</v>
      </c>
      <c r="H96" s="52">
        <v>44.95</v>
      </c>
      <c r="I96" s="165"/>
      <c r="J96" s="165"/>
      <c r="K96" s="165"/>
      <c r="L96" s="167" t="s">
        <v>910</v>
      </c>
      <c r="M96" s="167" t="s">
        <v>911</v>
      </c>
      <c r="N96" s="32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245</v>
      </c>
      <c r="D97" s="15" t="s">
        <v>246</v>
      </c>
      <c r="E97" s="15" t="s">
        <v>247</v>
      </c>
      <c r="F97" s="58">
        <v>33.71</v>
      </c>
      <c r="G97" s="59">
        <v>44.95</v>
      </c>
      <c r="H97" s="52">
        <v>44.95</v>
      </c>
      <c r="I97" s="165"/>
      <c r="J97" s="165"/>
      <c r="K97" s="165"/>
      <c r="L97" s="167" t="s">
        <v>912</v>
      </c>
      <c r="M97" s="167" t="s">
        <v>913</v>
      </c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248</v>
      </c>
      <c r="D98" s="15" t="s">
        <v>249</v>
      </c>
      <c r="E98" s="15" t="s">
        <v>250</v>
      </c>
      <c r="F98" s="58">
        <v>104.99</v>
      </c>
      <c r="G98" s="59">
        <v>129.95</v>
      </c>
      <c r="H98" s="52">
        <v>129.95</v>
      </c>
      <c r="I98" s="165"/>
      <c r="J98" s="165"/>
      <c r="K98" s="165"/>
      <c r="L98" s="167" t="s">
        <v>914</v>
      </c>
      <c r="M98" s="167" t="s">
        <v>915</v>
      </c>
      <c r="N98" s="32"/>
      <c r="O98" s="88" t="s">
        <v>898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39"/>
      <c r="D99" s="193" t="s">
        <v>633</v>
      </c>
      <c r="E99" s="15" t="s">
        <v>634</v>
      </c>
      <c r="F99" s="58"/>
      <c r="G99" s="59"/>
      <c r="H99" s="52"/>
      <c r="I99" s="165"/>
      <c r="J99" s="165"/>
      <c r="K99" s="165"/>
      <c r="L99" s="167" t="s">
        <v>916</v>
      </c>
      <c r="M99" s="167" t="s">
        <v>917</v>
      </c>
      <c r="N99" s="32"/>
      <c r="O99" s="8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251</v>
      </c>
      <c r="D100" s="15" t="s">
        <v>252</v>
      </c>
      <c r="E100" s="15" t="s">
        <v>253</v>
      </c>
      <c r="F100" s="58">
        <v>21.24</v>
      </c>
      <c r="G100" s="59">
        <v>24.95</v>
      </c>
      <c r="H100" s="52">
        <v>24.95</v>
      </c>
      <c r="I100" s="165"/>
      <c r="J100" s="165"/>
      <c r="K100" s="165"/>
      <c r="L100" s="167" t="s">
        <v>918</v>
      </c>
      <c r="M100" s="167" t="s">
        <v>919</v>
      </c>
      <c r="N100" s="32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21" t="s">
        <v>17</v>
      </c>
      <c r="D101" s="22" t="s">
        <v>17</v>
      </c>
      <c r="E101" s="23" t="s">
        <v>254</v>
      </c>
      <c r="F101" s="24" t="s">
        <v>17</v>
      </c>
      <c r="G101" s="24" t="s">
        <v>17</v>
      </c>
      <c r="H101" s="25" t="s">
        <v>17</v>
      </c>
      <c r="I101" s="164" t="s">
        <v>17</v>
      </c>
      <c r="J101" s="164" t="s">
        <v>17</v>
      </c>
      <c r="K101" s="164" t="s">
        <v>17</v>
      </c>
      <c r="L101" s="164" t="s">
        <v>17</v>
      </c>
      <c r="M101" s="164" t="s">
        <v>17</v>
      </c>
      <c r="N101" s="25" t="s">
        <v>17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255</v>
      </c>
      <c r="D102" s="15" t="s">
        <v>256</v>
      </c>
      <c r="E102" s="15" t="s">
        <v>257</v>
      </c>
      <c r="F102" s="58">
        <v>84.4</v>
      </c>
      <c r="G102" s="59">
        <v>99.95</v>
      </c>
      <c r="H102" s="52">
        <v>99.95</v>
      </c>
      <c r="I102" s="165"/>
      <c r="J102" s="165"/>
      <c r="K102" s="165"/>
      <c r="L102" s="165"/>
      <c r="M102" s="165"/>
      <c r="N102" s="32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258</v>
      </c>
      <c r="D103" s="15" t="s">
        <v>259</v>
      </c>
      <c r="E103" s="15" t="s">
        <v>260</v>
      </c>
      <c r="F103" s="58">
        <v>126.82</v>
      </c>
      <c r="G103" s="59">
        <v>163.95</v>
      </c>
      <c r="H103" s="52">
        <v>163.95</v>
      </c>
      <c r="I103" s="165"/>
      <c r="J103" s="165"/>
      <c r="K103" s="165"/>
      <c r="L103" s="165"/>
      <c r="M103" s="165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261</v>
      </c>
      <c r="D104" s="15" t="s">
        <v>262</v>
      </c>
      <c r="E104" s="15" t="s">
        <v>263</v>
      </c>
      <c r="F104" s="58">
        <v>24.95</v>
      </c>
      <c r="G104" s="59">
        <v>24.95</v>
      </c>
      <c r="H104" s="52">
        <v>24.95</v>
      </c>
      <c r="I104" s="165"/>
      <c r="J104" s="165"/>
      <c r="K104" s="165"/>
      <c r="L104" s="165"/>
      <c r="M104" s="165"/>
      <c r="N104" s="32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21" t="s">
        <v>17</v>
      </c>
      <c r="D105" s="22" t="s">
        <v>17</v>
      </c>
      <c r="E105" s="23" t="s">
        <v>264</v>
      </c>
      <c r="F105" s="24" t="s">
        <v>17</v>
      </c>
      <c r="G105" s="24" t="s">
        <v>17</v>
      </c>
      <c r="H105" s="25" t="s">
        <v>17</v>
      </c>
      <c r="I105" s="164" t="s">
        <v>17</v>
      </c>
      <c r="J105" s="164" t="s">
        <v>17</v>
      </c>
      <c r="K105" s="164" t="s">
        <v>17</v>
      </c>
      <c r="L105" s="164" t="s">
        <v>17</v>
      </c>
      <c r="M105" s="164" t="s">
        <v>17</v>
      </c>
      <c r="N105" s="25" t="s">
        <v>17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265</v>
      </c>
      <c r="D106" s="15" t="s">
        <v>266</v>
      </c>
      <c r="E106" s="15" t="s">
        <v>267</v>
      </c>
      <c r="F106" s="58">
        <v>104.97</v>
      </c>
      <c r="G106" s="56">
        <v>199.95</v>
      </c>
      <c r="H106" s="52">
        <v>149.95</v>
      </c>
      <c r="I106" s="165"/>
      <c r="J106" s="167" t="s">
        <v>920</v>
      </c>
      <c r="K106" s="167" t="s">
        <v>921</v>
      </c>
      <c r="L106" s="167" t="s">
        <v>922</v>
      </c>
      <c r="M106" s="167" t="s">
        <v>923</v>
      </c>
      <c r="N106" s="15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268</v>
      </c>
      <c r="D107" s="15" t="s">
        <v>269</v>
      </c>
      <c r="E107" s="15" t="s">
        <v>270</v>
      </c>
      <c r="F107" s="58">
        <v>136.5</v>
      </c>
      <c r="G107" s="56">
        <v>244.95</v>
      </c>
      <c r="H107" s="54">
        <v>195.0</v>
      </c>
      <c r="I107" s="165"/>
      <c r="J107" s="166" t="s">
        <v>924</v>
      </c>
      <c r="K107" s="166" t="s">
        <v>925</v>
      </c>
      <c r="L107" s="167" t="s">
        <v>926</v>
      </c>
      <c r="M107" s="166" t="s">
        <v>927</v>
      </c>
      <c r="N107" s="15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271</v>
      </c>
      <c r="D108" s="15" t="s">
        <v>272</v>
      </c>
      <c r="E108" s="15" t="s">
        <v>273</v>
      </c>
      <c r="F108" s="58">
        <v>19.95</v>
      </c>
      <c r="G108" s="56">
        <v>49.95</v>
      </c>
      <c r="H108" s="52">
        <v>29.95</v>
      </c>
      <c r="I108" s="165"/>
      <c r="J108" s="165"/>
      <c r="K108" s="165"/>
      <c r="L108" s="167" t="s">
        <v>928</v>
      </c>
      <c r="M108" s="167" t="s">
        <v>929</v>
      </c>
      <c r="N108" s="14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274</v>
      </c>
      <c r="D109" s="15" t="s">
        <v>275</v>
      </c>
      <c r="E109" s="15" t="s">
        <v>276</v>
      </c>
      <c r="F109" s="58">
        <v>19.95</v>
      </c>
      <c r="G109" s="56">
        <v>29.95</v>
      </c>
      <c r="H109" s="52">
        <v>29.95</v>
      </c>
      <c r="I109" s="165"/>
      <c r="J109" s="165"/>
      <c r="K109" s="165"/>
      <c r="L109" s="167" t="s">
        <v>930</v>
      </c>
      <c r="M109" s="167" t="s">
        <v>931</v>
      </c>
      <c r="N109" s="194"/>
      <c r="O109" s="88" t="s">
        <v>898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21" t="s">
        <v>17</v>
      </c>
      <c r="D110" s="22" t="s">
        <v>17</v>
      </c>
      <c r="E110" s="23" t="s">
        <v>277</v>
      </c>
      <c r="F110" s="24" t="s">
        <v>17</v>
      </c>
      <c r="G110" s="24" t="s">
        <v>17</v>
      </c>
      <c r="H110" s="25" t="s">
        <v>17</v>
      </c>
      <c r="I110" s="164" t="s">
        <v>17</v>
      </c>
      <c r="J110" s="164" t="s">
        <v>17</v>
      </c>
      <c r="K110" s="164" t="s">
        <v>17</v>
      </c>
      <c r="L110" s="164" t="s">
        <v>17</v>
      </c>
      <c r="M110" s="164" t="s">
        <v>17</v>
      </c>
      <c r="N110" s="25" t="s">
        <v>17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278</v>
      </c>
      <c r="D111" s="15" t="s">
        <v>279</v>
      </c>
      <c r="E111" s="15" t="s">
        <v>280</v>
      </c>
      <c r="F111" s="58">
        <v>52.61</v>
      </c>
      <c r="G111" s="59">
        <v>79.95</v>
      </c>
      <c r="H111" s="52">
        <v>79.95</v>
      </c>
      <c r="I111" s="165"/>
      <c r="J111" s="165"/>
      <c r="K111" s="165"/>
      <c r="L111" s="165"/>
      <c r="M111" s="165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281</v>
      </c>
      <c r="D112" s="15" t="s">
        <v>282</v>
      </c>
      <c r="E112" s="15" t="s">
        <v>283</v>
      </c>
      <c r="F112" s="58">
        <v>64.5</v>
      </c>
      <c r="G112" s="59">
        <v>129.0</v>
      </c>
      <c r="H112" s="52">
        <v>49.95</v>
      </c>
      <c r="I112" s="165"/>
      <c r="J112" s="165"/>
      <c r="K112" s="165"/>
      <c r="L112" s="167" t="s">
        <v>932</v>
      </c>
      <c r="M112" s="167" t="s">
        <v>933</v>
      </c>
      <c r="N112" s="32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21" t="s">
        <v>17</v>
      </c>
      <c r="D113" s="22" t="s">
        <v>17</v>
      </c>
      <c r="E113" s="23" t="s">
        <v>284</v>
      </c>
      <c r="F113" s="24" t="s">
        <v>17</v>
      </c>
      <c r="G113" s="24" t="s">
        <v>17</v>
      </c>
      <c r="H113" s="25" t="s">
        <v>17</v>
      </c>
      <c r="I113" s="164" t="s">
        <v>17</v>
      </c>
      <c r="J113" s="164" t="s">
        <v>17</v>
      </c>
      <c r="K113" s="164" t="s">
        <v>17</v>
      </c>
      <c r="L113" s="164" t="s">
        <v>17</v>
      </c>
      <c r="M113" s="164" t="s">
        <v>17</v>
      </c>
      <c r="N113" s="25" t="s">
        <v>17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285</v>
      </c>
      <c r="D114" s="60" t="s">
        <v>286</v>
      </c>
      <c r="E114" s="15" t="s">
        <v>287</v>
      </c>
      <c r="F114" s="58">
        <v>34.68</v>
      </c>
      <c r="G114" s="59">
        <v>39.95</v>
      </c>
      <c r="H114" s="52">
        <v>39.95</v>
      </c>
      <c r="I114" s="165"/>
      <c r="J114" s="165"/>
      <c r="K114" s="165"/>
      <c r="L114" s="167" t="s">
        <v>934</v>
      </c>
      <c r="M114" s="167" t="s">
        <v>935</v>
      </c>
      <c r="N114" s="32"/>
      <c r="O114" s="88" t="s">
        <v>898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288</v>
      </c>
      <c r="D115" s="60" t="s">
        <v>289</v>
      </c>
      <c r="E115" s="15" t="s">
        <v>290</v>
      </c>
      <c r="F115" s="58">
        <v>34.68</v>
      </c>
      <c r="G115" s="59">
        <v>39.95</v>
      </c>
      <c r="H115" s="52">
        <v>39.95</v>
      </c>
      <c r="I115" s="165"/>
      <c r="J115" s="165"/>
      <c r="K115" s="165"/>
      <c r="L115" s="167" t="s">
        <v>936</v>
      </c>
      <c r="M115" s="167" t="s">
        <v>937</v>
      </c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291</v>
      </c>
      <c r="D116" s="60" t="s">
        <v>292</v>
      </c>
      <c r="E116" s="15" t="s">
        <v>293</v>
      </c>
      <c r="F116" s="58">
        <v>34.68</v>
      </c>
      <c r="G116" s="59">
        <v>39.95</v>
      </c>
      <c r="H116" s="52">
        <v>39.95</v>
      </c>
      <c r="I116" s="165"/>
      <c r="J116" s="165"/>
      <c r="K116" s="165"/>
      <c r="L116" s="167" t="s">
        <v>938</v>
      </c>
      <c r="M116" s="167" t="s">
        <v>939</v>
      </c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294</v>
      </c>
      <c r="D117" s="61" t="s">
        <v>295</v>
      </c>
      <c r="E117" s="15" t="s">
        <v>296</v>
      </c>
      <c r="F117" s="58">
        <v>34.68</v>
      </c>
      <c r="G117" s="59">
        <v>39.95</v>
      </c>
      <c r="H117" s="52">
        <v>39.95</v>
      </c>
      <c r="I117" s="165"/>
      <c r="J117" s="165"/>
      <c r="K117" s="165"/>
      <c r="L117" s="167" t="s">
        <v>940</v>
      </c>
      <c r="M117" s="167" t="s">
        <v>941</v>
      </c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297</v>
      </c>
      <c r="D118" s="60" t="s">
        <v>298</v>
      </c>
      <c r="E118" s="15" t="s">
        <v>299</v>
      </c>
      <c r="F118" s="58">
        <v>34.68</v>
      </c>
      <c r="G118" s="59">
        <v>39.95</v>
      </c>
      <c r="H118" s="52">
        <v>39.95</v>
      </c>
      <c r="I118" s="165"/>
      <c r="J118" s="166" t="s">
        <v>942</v>
      </c>
      <c r="K118" s="166" t="s">
        <v>943</v>
      </c>
      <c r="L118" s="167" t="s">
        <v>944</v>
      </c>
      <c r="M118" s="167" t="s">
        <v>945</v>
      </c>
      <c r="N118" s="15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300</v>
      </c>
      <c r="D119" s="60" t="s">
        <v>301</v>
      </c>
      <c r="E119" s="15" t="s">
        <v>302</v>
      </c>
      <c r="F119" s="58">
        <v>34.68</v>
      </c>
      <c r="G119" s="59">
        <v>39.95</v>
      </c>
      <c r="H119" s="52">
        <v>39.95</v>
      </c>
      <c r="I119" s="165"/>
      <c r="J119" s="166" t="s">
        <v>946</v>
      </c>
      <c r="K119" s="166" t="s">
        <v>947</v>
      </c>
      <c r="L119" s="167" t="s">
        <v>948</v>
      </c>
      <c r="M119" s="167" t="s">
        <v>949</v>
      </c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303</v>
      </c>
      <c r="D120" s="60" t="s">
        <v>304</v>
      </c>
      <c r="E120" s="15" t="s">
        <v>305</v>
      </c>
      <c r="F120" s="58">
        <v>34.68</v>
      </c>
      <c r="G120" s="59">
        <v>39.95</v>
      </c>
      <c r="H120" s="52">
        <v>39.95</v>
      </c>
      <c r="I120" s="165"/>
      <c r="J120" s="166" t="s">
        <v>950</v>
      </c>
      <c r="K120" s="166" t="s">
        <v>951</v>
      </c>
      <c r="L120" s="167" t="s">
        <v>952</v>
      </c>
      <c r="M120" s="167" t="s">
        <v>953</v>
      </c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306</v>
      </c>
      <c r="D121" s="62" t="s">
        <v>307</v>
      </c>
      <c r="E121" s="15" t="s">
        <v>308</v>
      </c>
      <c r="F121" s="58">
        <v>34.68</v>
      </c>
      <c r="G121" s="59">
        <v>39.95</v>
      </c>
      <c r="H121" s="52">
        <v>39.95</v>
      </c>
      <c r="I121" s="165"/>
      <c r="J121" s="165"/>
      <c r="K121" s="165"/>
      <c r="L121" s="167" t="s">
        <v>954</v>
      </c>
      <c r="M121" s="167" t="s">
        <v>955</v>
      </c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309</v>
      </c>
      <c r="D122" s="60" t="s">
        <v>310</v>
      </c>
      <c r="E122" s="15" t="s">
        <v>311</v>
      </c>
      <c r="F122" s="58">
        <v>34.68</v>
      </c>
      <c r="G122" s="59">
        <v>39.95</v>
      </c>
      <c r="H122" s="52">
        <v>39.95</v>
      </c>
      <c r="I122" s="165"/>
      <c r="J122" s="165"/>
      <c r="K122" s="165"/>
      <c r="L122" s="167" t="s">
        <v>956</v>
      </c>
      <c r="M122" s="167" t="s">
        <v>957</v>
      </c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39" t="s">
        <v>312</v>
      </c>
      <c r="D123" s="60" t="s">
        <v>313</v>
      </c>
      <c r="E123" s="15" t="s">
        <v>314</v>
      </c>
      <c r="F123" s="58">
        <v>34.68</v>
      </c>
      <c r="G123" s="59">
        <v>39.95</v>
      </c>
      <c r="H123" s="52">
        <v>39.95</v>
      </c>
      <c r="I123" s="165"/>
      <c r="J123" s="165"/>
      <c r="K123" s="165"/>
      <c r="L123" s="167" t="s">
        <v>958</v>
      </c>
      <c r="M123" s="167" t="s">
        <v>959</v>
      </c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39" t="s">
        <v>315</v>
      </c>
      <c r="D124" s="60" t="s">
        <v>316</v>
      </c>
      <c r="E124" s="15" t="s">
        <v>317</v>
      </c>
      <c r="F124" s="58">
        <v>34.68</v>
      </c>
      <c r="G124" s="59">
        <v>39.95</v>
      </c>
      <c r="H124" s="52">
        <v>39.95</v>
      </c>
      <c r="I124" s="165"/>
      <c r="J124" s="165"/>
      <c r="K124" s="165"/>
      <c r="L124" s="167" t="s">
        <v>960</v>
      </c>
      <c r="M124" s="167" t="s">
        <v>961</v>
      </c>
      <c r="N124" s="32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21" t="s">
        <v>17</v>
      </c>
      <c r="D125" s="22" t="s">
        <v>17</v>
      </c>
      <c r="E125" s="23" t="s">
        <v>331</v>
      </c>
      <c r="F125" s="24" t="s">
        <v>17</v>
      </c>
      <c r="G125" s="24" t="s">
        <v>17</v>
      </c>
      <c r="H125" s="25" t="s">
        <v>17</v>
      </c>
      <c r="I125" s="164" t="s">
        <v>17</v>
      </c>
      <c r="J125" s="164" t="s">
        <v>17</v>
      </c>
      <c r="K125" s="164" t="s">
        <v>17</v>
      </c>
      <c r="L125" s="164" t="s">
        <v>17</v>
      </c>
      <c r="M125" s="164" t="s">
        <v>17</v>
      </c>
      <c r="N125" s="25" t="s">
        <v>17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39" t="s">
        <v>332</v>
      </c>
      <c r="D126" s="15" t="s">
        <v>333</v>
      </c>
      <c r="E126" s="15" t="s">
        <v>334</v>
      </c>
      <c r="F126" s="58">
        <v>41.97</v>
      </c>
      <c r="G126" s="56">
        <v>79.95</v>
      </c>
      <c r="H126" s="52">
        <v>59.95</v>
      </c>
      <c r="I126" s="165"/>
      <c r="J126" s="165"/>
      <c r="K126" s="165"/>
      <c r="L126" s="167" t="s">
        <v>962</v>
      </c>
      <c r="M126" s="167" t="s">
        <v>963</v>
      </c>
      <c r="N126" s="32"/>
      <c r="O126" s="88" t="s">
        <v>964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39" t="s">
        <v>335</v>
      </c>
      <c r="D127" s="15" t="s">
        <v>336</v>
      </c>
      <c r="E127" s="15" t="s">
        <v>337</v>
      </c>
      <c r="F127" s="58">
        <v>41.97</v>
      </c>
      <c r="G127" s="56">
        <v>79.95</v>
      </c>
      <c r="H127" s="52">
        <v>59.95</v>
      </c>
      <c r="I127" s="165"/>
      <c r="J127" s="165"/>
      <c r="K127" s="165"/>
      <c r="L127" s="167" t="s">
        <v>965</v>
      </c>
      <c r="M127" s="167" t="s">
        <v>966</v>
      </c>
      <c r="N127" s="32"/>
      <c r="O127" s="88" t="s">
        <v>964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39" t="s">
        <v>338</v>
      </c>
      <c r="D128" s="15" t="s">
        <v>339</v>
      </c>
      <c r="E128" s="15" t="s">
        <v>340</v>
      </c>
      <c r="F128" s="58">
        <v>41.97</v>
      </c>
      <c r="G128" s="56">
        <v>79.95</v>
      </c>
      <c r="H128" s="52">
        <v>59.95</v>
      </c>
      <c r="I128" s="165"/>
      <c r="J128" s="165"/>
      <c r="K128" s="165"/>
      <c r="L128" s="167" t="s">
        <v>967</v>
      </c>
      <c r="M128" s="167" t="s">
        <v>968</v>
      </c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39" t="s">
        <v>341</v>
      </c>
      <c r="D129" s="15" t="s">
        <v>342</v>
      </c>
      <c r="E129" s="15" t="s">
        <v>340</v>
      </c>
      <c r="F129" s="58">
        <v>41.97</v>
      </c>
      <c r="G129" s="56">
        <v>79.95</v>
      </c>
      <c r="H129" s="52">
        <v>59.95</v>
      </c>
      <c r="I129" s="165"/>
      <c r="J129" s="165"/>
      <c r="K129" s="165"/>
      <c r="L129" s="167" t="s">
        <v>969</v>
      </c>
      <c r="M129" s="167" t="s">
        <v>970</v>
      </c>
      <c r="N129" s="32"/>
      <c r="O129" s="88" t="s">
        <v>964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39" t="s">
        <v>343</v>
      </c>
      <c r="D130" s="15" t="s">
        <v>344</v>
      </c>
      <c r="E130" s="15" t="s">
        <v>345</v>
      </c>
      <c r="F130" s="58">
        <v>41.97</v>
      </c>
      <c r="G130" s="56">
        <v>79.95</v>
      </c>
      <c r="H130" s="52">
        <v>59.95</v>
      </c>
      <c r="I130" s="165"/>
      <c r="J130" s="165"/>
      <c r="K130" s="165"/>
      <c r="L130" s="167" t="s">
        <v>971</v>
      </c>
      <c r="M130" s="167" t="s">
        <v>972</v>
      </c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39" t="s">
        <v>346</v>
      </c>
      <c r="D131" s="15" t="s">
        <v>347</v>
      </c>
      <c r="E131" s="15" t="s">
        <v>340</v>
      </c>
      <c r="F131" s="58">
        <v>41.97</v>
      </c>
      <c r="G131" s="56">
        <v>79.95</v>
      </c>
      <c r="H131" s="52">
        <v>59.95</v>
      </c>
      <c r="I131" s="165"/>
      <c r="J131" s="165"/>
      <c r="K131" s="165"/>
      <c r="L131" s="167" t="s">
        <v>973</v>
      </c>
      <c r="M131" s="167" t="s">
        <v>974</v>
      </c>
      <c r="N131" s="32"/>
      <c r="O131" s="15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39" t="s">
        <v>348</v>
      </c>
      <c r="D132" s="15" t="s">
        <v>349</v>
      </c>
      <c r="E132" s="15" t="s">
        <v>340</v>
      </c>
      <c r="F132" s="58">
        <v>41.97</v>
      </c>
      <c r="G132" s="56">
        <v>79.95</v>
      </c>
      <c r="H132" s="52">
        <v>59.95</v>
      </c>
      <c r="I132" s="165"/>
      <c r="J132" s="165"/>
      <c r="K132" s="165"/>
      <c r="L132" s="167" t="s">
        <v>975</v>
      </c>
      <c r="M132" s="167" t="s">
        <v>976</v>
      </c>
      <c r="N132" s="32"/>
      <c r="O132" s="88" t="s">
        <v>964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39" t="s">
        <v>350</v>
      </c>
      <c r="D133" s="15" t="s">
        <v>351</v>
      </c>
      <c r="E133" s="15" t="s">
        <v>352</v>
      </c>
      <c r="F133" s="58">
        <v>41.97</v>
      </c>
      <c r="G133" s="56">
        <v>79.95</v>
      </c>
      <c r="H133" s="52">
        <v>59.95</v>
      </c>
      <c r="I133" s="165"/>
      <c r="J133" s="165"/>
      <c r="K133" s="165"/>
      <c r="L133" s="167" t="s">
        <v>977</v>
      </c>
      <c r="M133" s="167" t="s">
        <v>978</v>
      </c>
      <c r="N133" s="147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38"/>
      <c r="C134" s="64" t="s">
        <v>353</v>
      </c>
      <c r="D134" s="65" t="s">
        <v>354</v>
      </c>
      <c r="E134" s="65" t="s">
        <v>355</v>
      </c>
      <c r="F134" s="58">
        <v>41.97</v>
      </c>
      <c r="G134" s="56">
        <v>79.95</v>
      </c>
      <c r="H134" s="52">
        <v>59.95</v>
      </c>
      <c r="I134" s="165"/>
      <c r="J134" s="165"/>
      <c r="K134" s="165"/>
      <c r="L134" s="167" t="s">
        <v>979</v>
      </c>
      <c r="M134" s="167" t="s">
        <v>980</v>
      </c>
      <c r="N134" s="32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0" t="s">
        <v>356</v>
      </c>
      <c r="C135" s="66" t="s">
        <v>17</v>
      </c>
      <c r="D135" s="67" t="s">
        <v>17</v>
      </c>
      <c r="E135" s="23" t="s">
        <v>357</v>
      </c>
      <c r="F135" s="68" t="s">
        <v>17</v>
      </c>
      <c r="G135" s="68" t="s">
        <v>17</v>
      </c>
      <c r="H135" s="25" t="s">
        <v>17</v>
      </c>
      <c r="I135" s="164" t="s">
        <v>17</v>
      </c>
      <c r="J135" s="164" t="s">
        <v>17</v>
      </c>
      <c r="K135" s="164" t="s">
        <v>17</v>
      </c>
      <c r="L135" s="164" t="s">
        <v>17</v>
      </c>
      <c r="M135" s="164" t="s">
        <v>17</v>
      </c>
      <c r="N135" s="25" t="s">
        <v>17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69" t="s">
        <v>358</v>
      </c>
      <c r="D136" s="70" t="s">
        <v>359</v>
      </c>
      <c r="E136" s="70" t="s">
        <v>360</v>
      </c>
      <c r="F136" s="71">
        <v>35.95</v>
      </c>
      <c r="G136" s="72">
        <v>69.95</v>
      </c>
      <c r="H136" s="52">
        <v>54.95</v>
      </c>
      <c r="I136" s="195"/>
      <c r="J136" s="195"/>
      <c r="K136" s="195"/>
      <c r="L136" s="195"/>
      <c r="M136" s="195"/>
      <c r="N136" s="196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66" t="s">
        <v>17</v>
      </c>
      <c r="D137" s="67" t="s">
        <v>17</v>
      </c>
      <c r="E137" s="23" t="s">
        <v>361</v>
      </c>
      <c r="F137" s="68" t="s">
        <v>17</v>
      </c>
      <c r="G137" s="68" t="s">
        <v>17</v>
      </c>
      <c r="H137" s="25" t="s">
        <v>17</v>
      </c>
      <c r="I137" s="197" t="s">
        <v>17</v>
      </c>
      <c r="J137" s="197" t="s">
        <v>17</v>
      </c>
      <c r="K137" s="197" t="s">
        <v>17</v>
      </c>
      <c r="L137" s="197" t="s">
        <v>17</v>
      </c>
      <c r="M137" s="197" t="s">
        <v>17</v>
      </c>
      <c r="N137" s="198" t="s">
        <v>17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362</v>
      </c>
      <c r="D138" s="70" t="s">
        <v>363</v>
      </c>
      <c r="E138" s="70" t="s">
        <v>364</v>
      </c>
      <c r="F138" s="71">
        <v>35.95</v>
      </c>
      <c r="G138" s="72">
        <v>59.95</v>
      </c>
      <c r="H138" s="52">
        <v>59.95</v>
      </c>
      <c r="I138" s="195"/>
      <c r="J138" s="199" t="s">
        <v>981</v>
      </c>
      <c r="K138" s="199" t="s">
        <v>982</v>
      </c>
      <c r="L138" s="200" t="s">
        <v>983</v>
      </c>
      <c r="M138" s="200" t="s">
        <v>984</v>
      </c>
      <c r="N138" s="201" t="s">
        <v>985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365</v>
      </c>
      <c r="D139" s="70" t="s">
        <v>366</v>
      </c>
      <c r="E139" s="70" t="s">
        <v>367</v>
      </c>
      <c r="F139" s="71">
        <v>71.9</v>
      </c>
      <c r="G139" s="72">
        <v>79.9</v>
      </c>
      <c r="H139" s="52">
        <v>97.12</v>
      </c>
      <c r="I139" s="195"/>
      <c r="J139" s="195"/>
      <c r="K139" s="195"/>
      <c r="L139" s="195"/>
      <c r="M139" s="195"/>
      <c r="N139" s="196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368</v>
      </c>
      <c r="D140" s="70" t="s">
        <v>369</v>
      </c>
      <c r="E140" s="70" t="s">
        <v>370</v>
      </c>
      <c r="F140" s="71">
        <v>45.95</v>
      </c>
      <c r="G140" s="72">
        <v>69.95</v>
      </c>
      <c r="H140" s="52">
        <v>69.95</v>
      </c>
      <c r="I140" s="195"/>
      <c r="J140" s="195"/>
      <c r="K140" s="195"/>
      <c r="L140" s="200" t="s">
        <v>986</v>
      </c>
      <c r="M140" s="200" t="s">
        <v>987</v>
      </c>
      <c r="N140" s="201" t="s">
        <v>985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73" t="s">
        <v>371</v>
      </c>
      <c r="D141" s="70" t="s">
        <v>372</v>
      </c>
      <c r="E141" s="70" t="s">
        <v>373</v>
      </c>
      <c r="F141" s="71">
        <v>91.9</v>
      </c>
      <c r="G141" s="72">
        <v>99.9</v>
      </c>
      <c r="H141" s="52">
        <v>107.03</v>
      </c>
      <c r="I141" s="195"/>
      <c r="J141" s="195"/>
      <c r="K141" s="195"/>
      <c r="L141" s="195"/>
      <c r="M141" s="195"/>
      <c r="N141" s="196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6" t="s">
        <v>17</v>
      </c>
      <c r="D142" s="67" t="s">
        <v>17</v>
      </c>
      <c r="E142" s="23" t="s">
        <v>374</v>
      </c>
      <c r="F142" s="68" t="s">
        <v>17</v>
      </c>
      <c r="G142" s="68" t="s">
        <v>17</v>
      </c>
      <c r="H142" s="25" t="s">
        <v>17</v>
      </c>
      <c r="I142" s="197" t="s">
        <v>17</v>
      </c>
      <c r="J142" s="197" t="s">
        <v>17</v>
      </c>
      <c r="K142" s="197" t="s">
        <v>17</v>
      </c>
      <c r="L142" s="197" t="s">
        <v>17</v>
      </c>
      <c r="M142" s="197" t="s">
        <v>17</v>
      </c>
      <c r="N142" s="198" t="s">
        <v>17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74" t="s">
        <v>375</v>
      </c>
      <c r="D143" s="70" t="s">
        <v>376</v>
      </c>
      <c r="E143" s="70" t="s">
        <v>374</v>
      </c>
      <c r="F143" s="71">
        <v>35.95</v>
      </c>
      <c r="G143" s="72">
        <v>36.0</v>
      </c>
      <c r="H143" s="54">
        <v>36.0</v>
      </c>
      <c r="I143" s="195"/>
      <c r="J143" s="195"/>
      <c r="K143" s="195"/>
      <c r="L143" s="195"/>
      <c r="M143" s="195"/>
      <c r="N143" s="196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69" t="s">
        <v>377</v>
      </c>
      <c r="D144" s="70" t="s">
        <v>378</v>
      </c>
      <c r="E144" s="70" t="s">
        <v>379</v>
      </c>
      <c r="F144" s="71">
        <v>45.95</v>
      </c>
      <c r="G144" s="72">
        <v>58.65</v>
      </c>
      <c r="H144" s="52">
        <v>58.65</v>
      </c>
      <c r="I144" s="195"/>
      <c r="J144" s="195"/>
      <c r="K144" s="195"/>
      <c r="L144" s="195"/>
      <c r="M144" s="195"/>
      <c r="N144" s="196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66" t="s">
        <v>17</v>
      </c>
      <c r="D145" s="67" t="s">
        <v>17</v>
      </c>
      <c r="E145" s="23" t="s">
        <v>380</v>
      </c>
      <c r="F145" s="68" t="s">
        <v>17</v>
      </c>
      <c r="G145" s="68" t="s">
        <v>17</v>
      </c>
      <c r="H145" s="25" t="s">
        <v>17</v>
      </c>
      <c r="I145" s="197" t="s">
        <v>17</v>
      </c>
      <c r="J145" s="197" t="s">
        <v>17</v>
      </c>
      <c r="K145" s="197" t="s">
        <v>17</v>
      </c>
      <c r="L145" s="197" t="s">
        <v>17</v>
      </c>
      <c r="M145" s="197" t="s">
        <v>17</v>
      </c>
      <c r="N145" s="198" t="s">
        <v>17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4" t="s">
        <v>381</v>
      </c>
      <c r="D146" s="70" t="s">
        <v>382</v>
      </c>
      <c r="E146" s="70" t="s">
        <v>380</v>
      </c>
      <c r="F146" s="71">
        <v>35.95</v>
      </c>
      <c r="G146" s="72">
        <v>59.95</v>
      </c>
      <c r="H146" s="54">
        <v>55.0</v>
      </c>
      <c r="I146" s="195"/>
      <c r="J146" s="199" t="s">
        <v>988</v>
      </c>
      <c r="K146" s="199" t="s">
        <v>989</v>
      </c>
      <c r="L146" s="200" t="s">
        <v>990</v>
      </c>
      <c r="M146" s="200" t="s">
        <v>991</v>
      </c>
      <c r="N146" s="201" t="s">
        <v>992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74" t="s">
        <v>383</v>
      </c>
      <c r="D147" s="70" t="s">
        <v>384</v>
      </c>
      <c r="E147" s="70" t="s">
        <v>385</v>
      </c>
      <c r="F147" s="71">
        <v>45.95</v>
      </c>
      <c r="G147" s="72">
        <v>69.95</v>
      </c>
      <c r="H147" s="54">
        <v>69.95</v>
      </c>
      <c r="I147" s="195"/>
      <c r="J147" s="199" t="s">
        <v>993</v>
      </c>
      <c r="K147" s="199" t="s">
        <v>994</v>
      </c>
      <c r="L147" s="200" t="s">
        <v>995</v>
      </c>
      <c r="M147" s="200" t="s">
        <v>996</v>
      </c>
      <c r="N147" s="201" t="s">
        <v>992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66" t="s">
        <v>17</v>
      </c>
      <c r="D148" s="67" t="s">
        <v>17</v>
      </c>
      <c r="E148" s="23" t="s">
        <v>386</v>
      </c>
      <c r="F148" s="68" t="s">
        <v>17</v>
      </c>
      <c r="G148" s="68" t="s">
        <v>17</v>
      </c>
      <c r="H148" s="25" t="s">
        <v>17</v>
      </c>
      <c r="I148" s="202" t="s">
        <v>17</v>
      </c>
      <c r="J148" s="203" t="s">
        <v>17</v>
      </c>
      <c r="K148" s="203" t="s">
        <v>17</v>
      </c>
      <c r="L148" s="204" t="s">
        <v>17</v>
      </c>
      <c r="M148" s="204" t="s">
        <v>17</v>
      </c>
      <c r="N148" s="198" t="s">
        <v>17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3" t="s">
        <v>387</v>
      </c>
      <c r="D149" s="70" t="s">
        <v>388</v>
      </c>
      <c r="E149" s="70" t="s">
        <v>389</v>
      </c>
      <c r="F149" s="71">
        <v>19.99</v>
      </c>
      <c r="G149" s="72">
        <v>24.99</v>
      </c>
      <c r="H149" s="52">
        <v>34.95</v>
      </c>
      <c r="I149" s="195"/>
      <c r="J149" s="195"/>
      <c r="K149" s="195"/>
      <c r="L149" s="195"/>
      <c r="M149" s="195"/>
      <c r="N149" s="196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7"/>
      <c r="C150" s="73" t="s">
        <v>390</v>
      </c>
      <c r="D150" s="70" t="s">
        <v>391</v>
      </c>
      <c r="E150" s="70" t="s">
        <v>392</v>
      </c>
      <c r="F150" s="71">
        <v>39.95</v>
      </c>
      <c r="G150" s="72">
        <v>49.95</v>
      </c>
      <c r="H150" s="52">
        <v>59.99</v>
      </c>
      <c r="I150" s="195"/>
      <c r="J150" s="195"/>
      <c r="K150" s="195"/>
      <c r="L150" s="195"/>
      <c r="M150" s="195"/>
      <c r="N150" s="196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7"/>
      <c r="C151" s="73" t="s">
        <v>393</v>
      </c>
      <c r="D151" s="70" t="s">
        <v>394</v>
      </c>
      <c r="E151" s="70" t="s">
        <v>395</v>
      </c>
      <c r="F151" s="71">
        <v>79.9</v>
      </c>
      <c r="G151" s="72">
        <v>99.9</v>
      </c>
      <c r="H151" s="52">
        <v>124.95</v>
      </c>
      <c r="I151" s="195"/>
      <c r="J151" s="195"/>
      <c r="K151" s="195"/>
      <c r="L151" s="195"/>
      <c r="M151" s="195"/>
      <c r="N151" s="196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7"/>
      <c r="C152" s="73" t="s">
        <v>396</v>
      </c>
      <c r="D152" s="70" t="s">
        <v>397</v>
      </c>
      <c r="E152" s="70" t="s">
        <v>398</v>
      </c>
      <c r="F152" s="71">
        <v>49.95</v>
      </c>
      <c r="G152" s="72">
        <v>59.95</v>
      </c>
      <c r="H152" s="52">
        <v>69.95</v>
      </c>
      <c r="I152" s="195"/>
      <c r="J152" s="195"/>
      <c r="K152" s="195"/>
      <c r="L152" s="195"/>
      <c r="M152" s="195"/>
      <c r="N152" s="196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7"/>
      <c r="C153" s="66" t="s">
        <v>17</v>
      </c>
      <c r="D153" s="67" t="s">
        <v>17</v>
      </c>
      <c r="E153" s="23" t="s">
        <v>399</v>
      </c>
      <c r="F153" s="68" t="s">
        <v>17</v>
      </c>
      <c r="G153" s="68" t="s">
        <v>17</v>
      </c>
      <c r="H153" s="25" t="s">
        <v>17</v>
      </c>
      <c r="I153" s="202" t="s">
        <v>17</v>
      </c>
      <c r="J153" s="203" t="s">
        <v>17</v>
      </c>
      <c r="K153" s="203" t="s">
        <v>17</v>
      </c>
      <c r="L153" s="204" t="s">
        <v>17</v>
      </c>
      <c r="M153" s="204" t="s">
        <v>17</v>
      </c>
      <c r="N153" s="198" t="s">
        <v>17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7"/>
      <c r="C154" s="73" t="s">
        <v>400</v>
      </c>
      <c r="D154" s="70" t="s">
        <v>401</v>
      </c>
      <c r="E154" s="70" t="s">
        <v>399</v>
      </c>
      <c r="F154" s="71">
        <v>29.95</v>
      </c>
      <c r="G154" s="72">
        <v>39.95</v>
      </c>
      <c r="H154" s="52">
        <v>29.95</v>
      </c>
      <c r="I154" s="195"/>
      <c r="J154" s="195"/>
      <c r="K154" s="195"/>
      <c r="L154" s="195"/>
      <c r="M154" s="195"/>
      <c r="N154" s="196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27"/>
      <c r="C155" s="66" t="s">
        <v>17</v>
      </c>
      <c r="D155" s="67" t="s">
        <v>17</v>
      </c>
      <c r="E155" s="23" t="s">
        <v>402</v>
      </c>
      <c r="F155" s="68" t="s">
        <v>17</v>
      </c>
      <c r="G155" s="68" t="s">
        <v>17</v>
      </c>
      <c r="H155" s="25" t="s">
        <v>17</v>
      </c>
      <c r="I155" s="202" t="s">
        <v>17</v>
      </c>
      <c r="J155" s="203" t="s">
        <v>17</v>
      </c>
      <c r="K155" s="203" t="s">
        <v>17</v>
      </c>
      <c r="L155" s="204" t="s">
        <v>17</v>
      </c>
      <c r="M155" s="204" t="s">
        <v>17</v>
      </c>
      <c r="N155" s="198" t="s">
        <v>17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27"/>
      <c r="C156" s="69" t="s">
        <v>403</v>
      </c>
      <c r="D156" s="70" t="s">
        <v>404</v>
      </c>
      <c r="E156" s="70" t="s">
        <v>405</v>
      </c>
      <c r="F156" s="71">
        <v>69.95</v>
      </c>
      <c r="G156" s="72">
        <v>69.95</v>
      </c>
      <c r="H156" s="52">
        <v>69.95</v>
      </c>
      <c r="I156" s="195"/>
      <c r="J156" s="195"/>
      <c r="K156" s="195"/>
      <c r="L156" s="195"/>
      <c r="M156" s="195"/>
      <c r="N156" s="196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27"/>
      <c r="C157" s="66" t="s">
        <v>17</v>
      </c>
      <c r="D157" s="67" t="s">
        <v>17</v>
      </c>
      <c r="E157" s="23" t="s">
        <v>406</v>
      </c>
      <c r="F157" s="68" t="s">
        <v>17</v>
      </c>
      <c r="G157" s="68" t="s">
        <v>17</v>
      </c>
      <c r="H157" s="25" t="s">
        <v>17</v>
      </c>
      <c r="I157" s="202" t="s">
        <v>17</v>
      </c>
      <c r="J157" s="203" t="s">
        <v>17</v>
      </c>
      <c r="K157" s="203" t="s">
        <v>17</v>
      </c>
      <c r="L157" s="204" t="s">
        <v>17</v>
      </c>
      <c r="M157" s="204" t="s">
        <v>17</v>
      </c>
      <c r="N157" s="198" t="s">
        <v>17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27"/>
      <c r="C158" s="73" t="s">
        <v>407</v>
      </c>
      <c r="D158" s="70" t="s">
        <v>408</v>
      </c>
      <c r="E158" s="70" t="s">
        <v>409</v>
      </c>
      <c r="F158" s="71">
        <v>79.9</v>
      </c>
      <c r="G158" s="72">
        <v>79.9</v>
      </c>
      <c r="H158" s="52">
        <v>109.9</v>
      </c>
      <c r="I158" s="195"/>
      <c r="J158" s="195"/>
      <c r="K158" s="195"/>
      <c r="L158" s="200"/>
      <c r="M158" s="195"/>
      <c r="N158" s="196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27"/>
      <c r="C159" s="74" t="s">
        <v>410</v>
      </c>
      <c r="D159" s="70" t="s">
        <v>411</v>
      </c>
      <c r="E159" s="70" t="s">
        <v>412</v>
      </c>
      <c r="F159" s="71">
        <v>39.95</v>
      </c>
      <c r="G159" s="72">
        <v>49.95</v>
      </c>
      <c r="H159" s="52">
        <v>59.95</v>
      </c>
      <c r="I159" s="195"/>
      <c r="J159" s="199" t="s">
        <v>997</v>
      </c>
      <c r="K159" s="199" t="s">
        <v>998</v>
      </c>
      <c r="L159" s="200" t="s">
        <v>999</v>
      </c>
      <c r="M159" s="200" t="s">
        <v>1000</v>
      </c>
      <c r="N159" s="201" t="s">
        <v>1001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27"/>
      <c r="C160" s="75" t="s">
        <v>413</v>
      </c>
      <c r="D160" s="70" t="s">
        <v>414</v>
      </c>
      <c r="E160" s="70" t="s">
        <v>415</v>
      </c>
      <c r="F160" s="71">
        <v>99.9</v>
      </c>
      <c r="G160" s="72">
        <v>99.9</v>
      </c>
      <c r="H160" s="52">
        <v>129.95</v>
      </c>
      <c r="I160" s="195"/>
      <c r="J160" s="195"/>
      <c r="K160" s="195"/>
      <c r="L160" s="195"/>
      <c r="M160" s="195"/>
      <c r="N160" s="196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38"/>
      <c r="C161" s="39" t="s">
        <v>416</v>
      </c>
      <c r="D161" s="15" t="s">
        <v>417</v>
      </c>
      <c r="E161" s="15" t="s">
        <v>418</v>
      </c>
      <c r="F161" s="58">
        <v>49.95</v>
      </c>
      <c r="G161" s="56">
        <v>59.95</v>
      </c>
      <c r="H161" s="52">
        <v>69.95</v>
      </c>
      <c r="I161" s="195"/>
      <c r="J161" s="199" t="s">
        <v>1002</v>
      </c>
      <c r="K161" s="199" t="s">
        <v>1003</v>
      </c>
      <c r="L161" s="200" t="s">
        <v>1004</v>
      </c>
      <c r="M161" s="200" t="s">
        <v>1005</v>
      </c>
      <c r="N161" s="201" t="s">
        <v>1006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I162" s="205"/>
      <c r="J162" s="205"/>
      <c r="K162" s="205"/>
      <c r="L162" s="206"/>
      <c r="M162" s="206"/>
    </row>
    <row r="163">
      <c r="I163" s="205"/>
      <c r="J163" s="205"/>
      <c r="K163" s="205"/>
      <c r="L163" s="206"/>
      <c r="M163" s="206"/>
    </row>
    <row r="164">
      <c r="I164" s="205"/>
      <c r="J164" s="205"/>
      <c r="K164" s="205"/>
      <c r="L164" s="206"/>
      <c r="M164" s="206"/>
    </row>
    <row r="165">
      <c r="I165" s="205"/>
      <c r="J165" s="205"/>
      <c r="K165" s="205"/>
      <c r="L165" s="206"/>
      <c r="M165" s="206"/>
    </row>
    <row r="166">
      <c r="I166" s="205"/>
      <c r="J166" s="205"/>
      <c r="K166" s="205"/>
      <c r="L166" s="206"/>
      <c r="M166" s="206"/>
    </row>
    <row r="167">
      <c r="I167" s="205"/>
      <c r="J167" s="205"/>
      <c r="K167" s="205"/>
      <c r="L167" s="206"/>
      <c r="M167" s="206"/>
    </row>
    <row r="168">
      <c r="I168" s="205"/>
      <c r="J168" s="205"/>
      <c r="K168" s="205"/>
      <c r="L168" s="206"/>
      <c r="M168" s="206"/>
    </row>
    <row r="169">
      <c r="I169" s="205"/>
      <c r="J169" s="205"/>
      <c r="K169" s="205"/>
      <c r="L169" s="206"/>
      <c r="M169" s="206"/>
    </row>
    <row r="170">
      <c r="I170" s="205"/>
      <c r="J170" s="205"/>
      <c r="K170" s="205"/>
      <c r="L170" s="206"/>
      <c r="M170" s="206"/>
    </row>
    <row r="171">
      <c r="I171" s="205"/>
      <c r="J171" s="205"/>
      <c r="K171" s="205"/>
      <c r="L171" s="206"/>
      <c r="M171" s="206"/>
    </row>
    <row r="172">
      <c r="I172" s="205"/>
      <c r="J172" s="205"/>
      <c r="K172" s="205"/>
      <c r="L172" s="206"/>
      <c r="M172" s="206"/>
    </row>
    <row r="173">
      <c r="I173" s="205"/>
      <c r="J173" s="205"/>
      <c r="K173" s="205"/>
      <c r="L173" s="206"/>
      <c r="M173" s="206"/>
    </row>
    <row r="174">
      <c r="I174" s="205"/>
      <c r="J174" s="205"/>
      <c r="K174" s="205"/>
      <c r="L174" s="206"/>
      <c r="M174" s="206"/>
    </row>
    <row r="175">
      <c r="I175" s="205"/>
      <c r="J175" s="205"/>
      <c r="K175" s="205"/>
      <c r="L175" s="206"/>
      <c r="M175" s="206"/>
    </row>
    <row r="176">
      <c r="I176" s="205"/>
      <c r="J176" s="205"/>
      <c r="K176" s="205"/>
      <c r="L176" s="206"/>
      <c r="M176" s="206"/>
    </row>
    <row r="177">
      <c r="I177" s="205"/>
      <c r="J177" s="205"/>
      <c r="K177" s="205"/>
      <c r="L177" s="206"/>
      <c r="M177" s="206"/>
    </row>
    <row r="178">
      <c r="I178" s="205"/>
      <c r="J178" s="205"/>
      <c r="K178" s="205"/>
      <c r="L178" s="206"/>
      <c r="M178" s="206"/>
    </row>
    <row r="179">
      <c r="I179" s="205"/>
      <c r="J179" s="205"/>
      <c r="K179" s="205"/>
      <c r="L179" s="206"/>
      <c r="M179" s="206"/>
    </row>
    <row r="180">
      <c r="I180" s="205"/>
      <c r="J180" s="205"/>
      <c r="K180" s="205"/>
      <c r="L180" s="206"/>
      <c r="M180" s="206"/>
    </row>
    <row r="181">
      <c r="I181" s="205"/>
      <c r="J181" s="205"/>
      <c r="K181" s="205"/>
      <c r="L181" s="206"/>
      <c r="M181" s="206"/>
    </row>
    <row r="182">
      <c r="I182" s="205"/>
      <c r="J182" s="205"/>
      <c r="K182" s="205"/>
      <c r="L182" s="206"/>
      <c r="M182" s="206"/>
    </row>
    <row r="183">
      <c r="I183" s="205"/>
      <c r="J183" s="205"/>
      <c r="K183" s="205"/>
      <c r="L183" s="206"/>
      <c r="M183" s="206"/>
    </row>
    <row r="184">
      <c r="I184" s="205"/>
      <c r="J184" s="205"/>
      <c r="K184" s="205"/>
      <c r="L184" s="206"/>
      <c r="M184" s="206"/>
    </row>
    <row r="185">
      <c r="I185" s="205"/>
      <c r="J185" s="205"/>
      <c r="K185" s="205"/>
      <c r="L185" s="206"/>
      <c r="M185" s="206"/>
    </row>
    <row r="186">
      <c r="I186" s="205"/>
      <c r="J186" s="205"/>
      <c r="K186" s="205"/>
      <c r="L186" s="206"/>
      <c r="M186" s="206"/>
    </row>
    <row r="187">
      <c r="I187" s="205"/>
      <c r="J187" s="205"/>
      <c r="K187" s="205"/>
      <c r="L187" s="206"/>
      <c r="M187" s="206"/>
    </row>
    <row r="188">
      <c r="I188" s="205"/>
      <c r="J188" s="205"/>
      <c r="K188" s="205"/>
      <c r="L188" s="206"/>
      <c r="M188" s="206"/>
    </row>
    <row r="189">
      <c r="I189" s="205"/>
      <c r="J189" s="205"/>
      <c r="K189" s="205"/>
      <c r="L189" s="206"/>
      <c r="M189" s="206"/>
    </row>
    <row r="190">
      <c r="I190" s="205"/>
      <c r="J190" s="205"/>
      <c r="K190" s="205"/>
      <c r="L190" s="206"/>
      <c r="M190" s="206"/>
    </row>
    <row r="191">
      <c r="I191" s="205"/>
      <c r="J191" s="205"/>
      <c r="K191" s="205"/>
      <c r="L191" s="206"/>
      <c r="M191" s="206"/>
    </row>
    <row r="192">
      <c r="I192" s="205"/>
      <c r="J192" s="205"/>
      <c r="K192" s="205"/>
      <c r="L192" s="206"/>
      <c r="M192" s="206"/>
    </row>
    <row r="193">
      <c r="I193" s="205"/>
      <c r="J193" s="205"/>
      <c r="K193" s="205"/>
      <c r="L193" s="206"/>
      <c r="M193" s="206"/>
    </row>
    <row r="194">
      <c r="I194" s="205"/>
      <c r="J194" s="205"/>
      <c r="K194" s="205"/>
      <c r="L194" s="206"/>
      <c r="M194" s="206"/>
    </row>
    <row r="195">
      <c r="I195" s="205"/>
      <c r="J195" s="205"/>
      <c r="K195" s="205"/>
      <c r="L195" s="206"/>
      <c r="M195" s="206"/>
    </row>
    <row r="196">
      <c r="I196" s="205"/>
      <c r="J196" s="205"/>
      <c r="K196" s="205"/>
      <c r="L196" s="206"/>
      <c r="M196" s="206"/>
    </row>
    <row r="197">
      <c r="I197" s="205"/>
      <c r="J197" s="205"/>
      <c r="K197" s="205"/>
      <c r="L197" s="206"/>
      <c r="M197" s="206"/>
    </row>
    <row r="198">
      <c r="I198" s="205"/>
      <c r="J198" s="205"/>
      <c r="K198" s="205"/>
      <c r="L198" s="206"/>
      <c r="M198" s="206"/>
    </row>
    <row r="199">
      <c r="I199" s="205"/>
      <c r="J199" s="205"/>
      <c r="K199" s="205"/>
      <c r="L199" s="206"/>
      <c r="M199" s="206"/>
    </row>
    <row r="200">
      <c r="I200" s="205"/>
      <c r="J200" s="205"/>
      <c r="K200" s="205"/>
      <c r="L200" s="206"/>
      <c r="M200" s="206"/>
    </row>
    <row r="201">
      <c r="I201" s="205"/>
      <c r="J201" s="205"/>
      <c r="K201" s="205"/>
      <c r="L201" s="206"/>
      <c r="M201" s="206"/>
    </row>
    <row r="202">
      <c r="I202" s="205"/>
      <c r="J202" s="205"/>
      <c r="K202" s="205"/>
      <c r="L202" s="206"/>
      <c r="M202" s="206"/>
    </row>
    <row r="203">
      <c r="I203" s="205"/>
      <c r="J203" s="205"/>
      <c r="K203" s="205"/>
      <c r="L203" s="206"/>
      <c r="M203" s="206"/>
    </row>
    <row r="204">
      <c r="I204" s="205"/>
      <c r="J204" s="205"/>
      <c r="K204" s="205"/>
      <c r="L204" s="206"/>
      <c r="M204" s="206"/>
    </row>
    <row r="205">
      <c r="I205" s="205"/>
      <c r="J205" s="205"/>
      <c r="K205" s="205"/>
      <c r="L205" s="206"/>
      <c r="M205" s="206"/>
    </row>
    <row r="206">
      <c r="I206" s="205"/>
      <c r="J206" s="205"/>
      <c r="K206" s="205"/>
      <c r="L206" s="206"/>
      <c r="M206" s="206"/>
    </row>
    <row r="207">
      <c r="I207" s="205"/>
      <c r="J207" s="205"/>
      <c r="K207" s="205"/>
      <c r="L207" s="206"/>
      <c r="M207" s="206"/>
    </row>
    <row r="208">
      <c r="I208" s="205"/>
      <c r="J208" s="205"/>
      <c r="K208" s="205"/>
      <c r="L208" s="206"/>
      <c r="M208" s="206"/>
    </row>
    <row r="209">
      <c r="I209" s="205"/>
      <c r="J209" s="205"/>
      <c r="K209" s="205"/>
      <c r="L209" s="206"/>
      <c r="M209" s="206"/>
    </row>
    <row r="210">
      <c r="I210" s="205"/>
      <c r="J210" s="205"/>
      <c r="K210" s="205"/>
      <c r="L210" s="206"/>
      <c r="M210" s="206"/>
    </row>
    <row r="211">
      <c r="I211" s="205"/>
      <c r="J211" s="205"/>
      <c r="K211" s="205"/>
      <c r="L211" s="206"/>
      <c r="M211" s="206"/>
    </row>
    <row r="212">
      <c r="I212" s="205"/>
      <c r="J212" s="205"/>
      <c r="K212" s="205"/>
      <c r="L212" s="206"/>
      <c r="M212" s="206"/>
    </row>
    <row r="213">
      <c r="I213" s="205"/>
      <c r="J213" s="205"/>
      <c r="K213" s="205"/>
      <c r="L213" s="206"/>
      <c r="M213" s="206"/>
    </row>
    <row r="214">
      <c r="I214" s="205"/>
      <c r="J214" s="205"/>
      <c r="K214" s="205"/>
      <c r="L214" s="206"/>
      <c r="M214" s="206"/>
    </row>
    <row r="215">
      <c r="I215" s="205"/>
      <c r="J215" s="205"/>
      <c r="K215" s="205"/>
      <c r="L215" s="206"/>
      <c r="M215" s="206"/>
    </row>
    <row r="216">
      <c r="I216" s="205"/>
      <c r="J216" s="205"/>
      <c r="K216" s="205"/>
      <c r="L216" s="206"/>
      <c r="M216" s="206"/>
    </row>
    <row r="217">
      <c r="I217" s="205"/>
      <c r="J217" s="205"/>
      <c r="K217" s="205"/>
      <c r="L217" s="206"/>
      <c r="M217" s="206"/>
    </row>
    <row r="218">
      <c r="I218" s="205"/>
      <c r="J218" s="205"/>
      <c r="K218" s="205"/>
      <c r="L218" s="206"/>
      <c r="M218" s="206"/>
    </row>
    <row r="219">
      <c r="I219" s="205"/>
      <c r="J219" s="205"/>
      <c r="K219" s="205"/>
      <c r="L219" s="206"/>
      <c r="M219" s="206"/>
    </row>
    <row r="220">
      <c r="I220" s="205"/>
      <c r="J220" s="205"/>
      <c r="K220" s="205"/>
      <c r="L220" s="206"/>
      <c r="M220" s="206"/>
    </row>
    <row r="221">
      <c r="I221" s="205"/>
      <c r="J221" s="205"/>
      <c r="K221" s="205"/>
      <c r="L221" s="206"/>
      <c r="M221" s="206"/>
    </row>
    <row r="222">
      <c r="I222" s="205"/>
      <c r="J222" s="205"/>
      <c r="K222" s="205"/>
      <c r="L222" s="206"/>
      <c r="M222" s="206"/>
    </row>
    <row r="223">
      <c r="I223" s="205"/>
      <c r="J223" s="205"/>
      <c r="K223" s="205"/>
      <c r="L223" s="206"/>
      <c r="M223" s="206"/>
    </row>
    <row r="224">
      <c r="I224" s="205"/>
      <c r="J224" s="205"/>
      <c r="K224" s="205"/>
      <c r="L224" s="206"/>
      <c r="M224" s="206"/>
    </row>
    <row r="225">
      <c r="I225" s="205"/>
      <c r="J225" s="205"/>
      <c r="K225" s="205"/>
      <c r="L225" s="206"/>
      <c r="M225" s="206"/>
    </row>
    <row r="226">
      <c r="I226" s="205"/>
      <c r="J226" s="205"/>
      <c r="K226" s="205"/>
      <c r="L226" s="206"/>
      <c r="M226" s="206"/>
    </row>
    <row r="227">
      <c r="I227" s="205"/>
      <c r="J227" s="205"/>
      <c r="K227" s="205"/>
      <c r="L227" s="206"/>
      <c r="M227" s="206"/>
    </row>
    <row r="228">
      <c r="I228" s="205"/>
      <c r="J228" s="205"/>
      <c r="K228" s="205"/>
      <c r="L228" s="206"/>
      <c r="M228" s="206"/>
    </row>
    <row r="229">
      <c r="I229" s="205"/>
      <c r="J229" s="205"/>
      <c r="K229" s="205"/>
      <c r="L229" s="206"/>
      <c r="M229" s="206"/>
    </row>
    <row r="230">
      <c r="I230" s="205"/>
      <c r="J230" s="205"/>
      <c r="K230" s="205"/>
      <c r="L230" s="206"/>
      <c r="M230" s="206"/>
    </row>
    <row r="231">
      <c r="I231" s="205"/>
      <c r="J231" s="205"/>
      <c r="K231" s="205"/>
      <c r="L231" s="206"/>
      <c r="M231" s="206"/>
    </row>
    <row r="232">
      <c r="I232" s="205"/>
      <c r="J232" s="205"/>
      <c r="K232" s="205"/>
      <c r="L232" s="206"/>
      <c r="M232" s="206"/>
    </row>
    <row r="233">
      <c r="I233" s="205"/>
      <c r="J233" s="205"/>
      <c r="K233" s="205"/>
      <c r="L233" s="206"/>
      <c r="M233" s="206"/>
    </row>
    <row r="234">
      <c r="I234" s="205"/>
      <c r="J234" s="205"/>
      <c r="K234" s="205"/>
      <c r="L234" s="206"/>
      <c r="M234" s="206"/>
    </row>
    <row r="235">
      <c r="I235" s="205"/>
      <c r="J235" s="205"/>
      <c r="K235" s="205"/>
      <c r="L235" s="206"/>
      <c r="M235" s="206"/>
    </row>
    <row r="236">
      <c r="I236" s="205"/>
      <c r="J236" s="205"/>
      <c r="K236" s="205"/>
      <c r="L236" s="206"/>
      <c r="M236" s="206"/>
    </row>
    <row r="237">
      <c r="I237" s="205"/>
      <c r="J237" s="205"/>
      <c r="K237" s="205"/>
      <c r="L237" s="206"/>
      <c r="M237" s="206"/>
    </row>
    <row r="238">
      <c r="I238" s="205"/>
      <c r="J238" s="205"/>
      <c r="K238" s="205"/>
      <c r="L238" s="206"/>
      <c r="M238" s="206"/>
    </row>
    <row r="239">
      <c r="I239" s="205"/>
      <c r="J239" s="205"/>
      <c r="K239" s="205"/>
      <c r="L239" s="206"/>
      <c r="M239" s="206"/>
    </row>
    <row r="240">
      <c r="I240" s="205"/>
      <c r="J240" s="205"/>
      <c r="K240" s="205"/>
      <c r="L240" s="206"/>
      <c r="M240" s="206"/>
    </row>
    <row r="241">
      <c r="I241" s="205"/>
      <c r="J241" s="205"/>
      <c r="K241" s="205"/>
      <c r="L241" s="206"/>
      <c r="M241" s="206"/>
    </row>
    <row r="242">
      <c r="I242" s="205"/>
      <c r="J242" s="205"/>
      <c r="K242" s="205"/>
      <c r="L242" s="206"/>
      <c r="M242" s="206"/>
    </row>
    <row r="243">
      <c r="I243" s="205"/>
      <c r="J243" s="205"/>
      <c r="K243" s="205"/>
      <c r="L243" s="206"/>
      <c r="M243" s="206"/>
    </row>
    <row r="244">
      <c r="I244" s="205"/>
      <c r="J244" s="205"/>
      <c r="K244" s="205"/>
      <c r="L244" s="206"/>
      <c r="M244" s="206"/>
    </row>
    <row r="245">
      <c r="I245" s="205"/>
      <c r="J245" s="205"/>
      <c r="K245" s="205"/>
      <c r="L245" s="206"/>
      <c r="M245" s="206"/>
    </row>
    <row r="246">
      <c r="I246" s="205"/>
      <c r="J246" s="205"/>
      <c r="K246" s="205"/>
      <c r="L246" s="206"/>
      <c r="M246" s="206"/>
    </row>
    <row r="247">
      <c r="I247" s="205"/>
      <c r="J247" s="205"/>
      <c r="K247" s="205"/>
      <c r="L247" s="206"/>
      <c r="M247" s="206"/>
    </row>
    <row r="248">
      <c r="I248" s="205"/>
      <c r="J248" s="205"/>
      <c r="K248" s="205"/>
      <c r="L248" s="206"/>
      <c r="M248" s="206"/>
    </row>
    <row r="249">
      <c r="I249" s="205"/>
      <c r="J249" s="205"/>
      <c r="K249" s="205"/>
      <c r="L249" s="206"/>
      <c r="M249" s="206"/>
    </row>
    <row r="250">
      <c r="I250" s="205"/>
      <c r="J250" s="205"/>
      <c r="K250" s="205"/>
      <c r="L250" s="206"/>
      <c r="M250" s="206"/>
    </row>
    <row r="251">
      <c r="I251" s="205"/>
      <c r="J251" s="205"/>
      <c r="K251" s="205"/>
      <c r="L251" s="206"/>
      <c r="M251" s="206"/>
    </row>
    <row r="252">
      <c r="I252" s="205"/>
      <c r="J252" s="205"/>
      <c r="K252" s="205"/>
      <c r="L252" s="206"/>
      <c r="M252" s="206"/>
    </row>
    <row r="253">
      <c r="I253" s="205"/>
      <c r="J253" s="205"/>
      <c r="K253" s="205"/>
      <c r="L253" s="206"/>
      <c r="M253" s="206"/>
    </row>
    <row r="254">
      <c r="I254" s="205"/>
      <c r="J254" s="205"/>
      <c r="K254" s="205"/>
      <c r="L254" s="206"/>
      <c r="M254" s="206"/>
    </row>
    <row r="255">
      <c r="I255" s="205"/>
      <c r="J255" s="205"/>
      <c r="K255" s="205"/>
      <c r="L255" s="206"/>
      <c r="M255" s="206"/>
    </row>
    <row r="256">
      <c r="I256" s="205"/>
      <c r="J256" s="205"/>
      <c r="K256" s="205"/>
      <c r="L256" s="206"/>
      <c r="M256" s="206"/>
    </row>
    <row r="257">
      <c r="I257" s="205"/>
      <c r="J257" s="205"/>
      <c r="K257" s="205"/>
      <c r="L257" s="206"/>
      <c r="M257" s="206"/>
    </row>
    <row r="258">
      <c r="I258" s="205"/>
      <c r="J258" s="205"/>
      <c r="K258" s="205"/>
      <c r="L258" s="206"/>
      <c r="M258" s="206"/>
    </row>
    <row r="259">
      <c r="I259" s="205"/>
      <c r="J259" s="205"/>
      <c r="K259" s="205"/>
      <c r="L259" s="206"/>
      <c r="M259" s="206"/>
    </row>
    <row r="260">
      <c r="I260" s="205"/>
      <c r="J260" s="205"/>
      <c r="K260" s="205"/>
      <c r="L260" s="206"/>
      <c r="M260" s="206"/>
    </row>
    <row r="261">
      <c r="I261" s="205"/>
      <c r="J261" s="205"/>
      <c r="K261" s="205"/>
      <c r="L261" s="206"/>
      <c r="M261" s="206"/>
    </row>
    <row r="262">
      <c r="I262" s="205"/>
      <c r="J262" s="205"/>
      <c r="K262" s="205"/>
      <c r="L262" s="206"/>
      <c r="M262" s="206"/>
    </row>
    <row r="263">
      <c r="I263" s="205"/>
      <c r="J263" s="205"/>
      <c r="K263" s="205"/>
      <c r="L263" s="206"/>
      <c r="M263" s="206"/>
    </row>
    <row r="264">
      <c r="I264" s="205"/>
      <c r="J264" s="205"/>
      <c r="K264" s="205"/>
      <c r="L264" s="206"/>
      <c r="M264" s="206"/>
    </row>
    <row r="265">
      <c r="I265" s="205"/>
      <c r="J265" s="205"/>
      <c r="K265" s="205"/>
      <c r="L265" s="206"/>
      <c r="M265" s="206"/>
    </row>
    <row r="266">
      <c r="I266" s="205"/>
      <c r="J266" s="205"/>
      <c r="K266" s="205"/>
      <c r="L266" s="206"/>
      <c r="M266" s="206"/>
    </row>
    <row r="267">
      <c r="I267" s="205"/>
      <c r="J267" s="205"/>
      <c r="K267" s="205"/>
      <c r="L267" s="206"/>
      <c r="M267" s="206"/>
    </row>
    <row r="268">
      <c r="I268" s="205"/>
      <c r="J268" s="205"/>
      <c r="K268" s="205"/>
      <c r="L268" s="206"/>
      <c r="M268" s="206"/>
    </row>
    <row r="269">
      <c r="I269" s="205"/>
      <c r="J269" s="205"/>
      <c r="K269" s="205"/>
      <c r="L269" s="206"/>
      <c r="M269" s="206"/>
    </row>
    <row r="270">
      <c r="I270" s="205"/>
      <c r="J270" s="205"/>
      <c r="K270" s="205"/>
      <c r="L270" s="206"/>
      <c r="M270" s="206"/>
    </row>
    <row r="271">
      <c r="I271" s="205"/>
      <c r="J271" s="205"/>
      <c r="K271" s="205"/>
      <c r="L271" s="206"/>
      <c r="M271" s="206"/>
    </row>
    <row r="272">
      <c r="I272" s="205"/>
      <c r="J272" s="205"/>
      <c r="K272" s="205"/>
      <c r="L272" s="206"/>
      <c r="M272" s="206"/>
    </row>
    <row r="273">
      <c r="I273" s="205"/>
      <c r="J273" s="205"/>
      <c r="K273" s="205"/>
      <c r="L273" s="206"/>
      <c r="M273" s="206"/>
    </row>
    <row r="274">
      <c r="I274" s="205"/>
      <c r="J274" s="205"/>
      <c r="K274" s="205"/>
      <c r="L274" s="206"/>
      <c r="M274" s="206"/>
    </row>
    <row r="275">
      <c r="I275" s="205"/>
      <c r="J275" s="205"/>
      <c r="K275" s="205"/>
      <c r="L275" s="206"/>
      <c r="M275" s="206"/>
    </row>
    <row r="276">
      <c r="I276" s="205"/>
      <c r="J276" s="205"/>
      <c r="K276" s="205"/>
      <c r="L276" s="206"/>
      <c r="M276" s="206"/>
    </row>
    <row r="277">
      <c r="I277" s="205"/>
      <c r="J277" s="205"/>
      <c r="K277" s="205"/>
      <c r="L277" s="206"/>
      <c r="M277" s="206"/>
    </row>
    <row r="278">
      <c r="I278" s="205"/>
      <c r="J278" s="205"/>
      <c r="K278" s="205"/>
      <c r="L278" s="206"/>
      <c r="M278" s="206"/>
    </row>
    <row r="279">
      <c r="I279" s="205"/>
      <c r="J279" s="205"/>
      <c r="K279" s="205"/>
      <c r="L279" s="206"/>
      <c r="M279" s="206"/>
    </row>
    <row r="280">
      <c r="I280" s="205"/>
      <c r="J280" s="205"/>
      <c r="K280" s="205"/>
      <c r="L280" s="206"/>
      <c r="M280" s="206"/>
    </row>
    <row r="281">
      <c r="I281" s="205"/>
      <c r="J281" s="205"/>
      <c r="K281" s="205"/>
      <c r="L281" s="206"/>
      <c r="M281" s="206"/>
    </row>
    <row r="282">
      <c r="I282" s="205"/>
      <c r="J282" s="205"/>
      <c r="K282" s="205"/>
      <c r="L282" s="206"/>
      <c r="M282" s="206"/>
    </row>
    <row r="283">
      <c r="I283" s="205"/>
      <c r="J283" s="205"/>
      <c r="K283" s="205"/>
      <c r="L283" s="206"/>
      <c r="M283" s="206"/>
    </row>
    <row r="284">
      <c r="I284" s="205"/>
      <c r="J284" s="205"/>
      <c r="K284" s="205"/>
      <c r="L284" s="206"/>
      <c r="M284" s="206"/>
    </row>
    <row r="285">
      <c r="I285" s="205"/>
      <c r="J285" s="205"/>
      <c r="K285" s="205"/>
      <c r="L285" s="206"/>
      <c r="M285" s="206"/>
    </row>
    <row r="286">
      <c r="I286" s="205"/>
      <c r="J286" s="205"/>
      <c r="K286" s="205"/>
      <c r="L286" s="206"/>
      <c r="M286" s="206"/>
    </row>
    <row r="287">
      <c r="I287" s="205"/>
      <c r="J287" s="205"/>
      <c r="K287" s="205"/>
      <c r="L287" s="206"/>
      <c r="M287" s="206"/>
    </row>
    <row r="288">
      <c r="I288" s="205"/>
      <c r="J288" s="205"/>
      <c r="K288" s="205"/>
      <c r="L288" s="206"/>
      <c r="M288" s="206"/>
    </row>
    <row r="289">
      <c r="I289" s="205"/>
      <c r="J289" s="205"/>
      <c r="K289" s="205"/>
      <c r="L289" s="206"/>
      <c r="M289" s="206"/>
    </row>
    <row r="290">
      <c r="I290" s="205"/>
      <c r="J290" s="205"/>
      <c r="K290" s="205"/>
      <c r="L290" s="206"/>
      <c r="M290" s="206"/>
    </row>
    <row r="291">
      <c r="I291" s="205"/>
      <c r="J291" s="205"/>
      <c r="K291" s="205"/>
      <c r="L291" s="206"/>
      <c r="M291" s="206"/>
    </row>
    <row r="292">
      <c r="I292" s="205"/>
      <c r="J292" s="205"/>
      <c r="K292" s="205"/>
      <c r="L292" s="206"/>
      <c r="M292" s="206"/>
    </row>
    <row r="293">
      <c r="I293" s="205"/>
      <c r="J293" s="205"/>
      <c r="K293" s="205"/>
      <c r="L293" s="206"/>
      <c r="M293" s="206"/>
    </row>
    <row r="294">
      <c r="I294" s="205"/>
      <c r="J294" s="205"/>
      <c r="K294" s="205"/>
      <c r="L294" s="206"/>
      <c r="M294" s="206"/>
    </row>
    <row r="295">
      <c r="I295" s="205"/>
      <c r="J295" s="205"/>
      <c r="K295" s="205"/>
      <c r="L295" s="206"/>
      <c r="M295" s="206"/>
    </row>
    <row r="296">
      <c r="I296" s="205"/>
      <c r="J296" s="205"/>
      <c r="K296" s="205"/>
      <c r="L296" s="206"/>
      <c r="M296" s="206"/>
    </row>
    <row r="297">
      <c r="I297" s="205"/>
      <c r="J297" s="205"/>
      <c r="K297" s="205"/>
      <c r="L297" s="206"/>
      <c r="M297" s="206"/>
    </row>
    <row r="298">
      <c r="I298" s="205"/>
      <c r="J298" s="205"/>
      <c r="K298" s="205"/>
      <c r="L298" s="206"/>
      <c r="M298" s="206"/>
    </row>
    <row r="299">
      <c r="I299" s="205"/>
      <c r="J299" s="205"/>
      <c r="K299" s="205"/>
      <c r="L299" s="206"/>
      <c r="M299" s="206"/>
    </row>
    <row r="300">
      <c r="I300" s="205"/>
      <c r="J300" s="205"/>
      <c r="K300" s="205"/>
      <c r="L300" s="206"/>
      <c r="M300" s="206"/>
    </row>
    <row r="301">
      <c r="I301" s="205"/>
      <c r="J301" s="205"/>
      <c r="K301" s="205"/>
      <c r="L301" s="206"/>
      <c r="M301" s="206"/>
    </row>
    <row r="302">
      <c r="I302" s="205"/>
      <c r="J302" s="205"/>
      <c r="K302" s="205"/>
      <c r="L302" s="206"/>
      <c r="M302" s="206"/>
    </row>
    <row r="303">
      <c r="I303" s="205"/>
      <c r="J303" s="205"/>
      <c r="K303" s="205"/>
      <c r="L303" s="206"/>
      <c r="M303" s="206"/>
    </row>
    <row r="304">
      <c r="I304" s="205"/>
      <c r="J304" s="205"/>
      <c r="K304" s="205"/>
      <c r="L304" s="206"/>
      <c r="M304" s="206"/>
    </row>
    <row r="305">
      <c r="I305" s="205"/>
      <c r="J305" s="205"/>
      <c r="K305" s="205"/>
      <c r="L305" s="206"/>
      <c r="M305" s="206"/>
    </row>
    <row r="306">
      <c r="I306" s="205"/>
      <c r="J306" s="205"/>
      <c r="K306" s="205"/>
      <c r="L306" s="206"/>
      <c r="M306" s="206"/>
    </row>
    <row r="307">
      <c r="I307" s="205"/>
      <c r="J307" s="205"/>
      <c r="K307" s="205"/>
      <c r="L307" s="206"/>
      <c r="M307" s="206"/>
    </row>
    <row r="308">
      <c r="I308" s="205"/>
      <c r="J308" s="205"/>
      <c r="K308" s="205"/>
      <c r="L308" s="206"/>
      <c r="M308" s="206"/>
    </row>
    <row r="309">
      <c r="I309" s="205"/>
      <c r="J309" s="205"/>
      <c r="K309" s="205"/>
      <c r="L309" s="206"/>
      <c r="M309" s="206"/>
    </row>
    <row r="310">
      <c r="I310" s="205"/>
      <c r="J310" s="205"/>
      <c r="K310" s="205"/>
      <c r="L310" s="206"/>
      <c r="M310" s="206"/>
    </row>
    <row r="311">
      <c r="I311" s="205"/>
      <c r="J311" s="205"/>
      <c r="K311" s="205"/>
      <c r="L311" s="206"/>
      <c r="M311" s="206"/>
    </row>
    <row r="312">
      <c r="I312" s="205"/>
      <c r="J312" s="205"/>
      <c r="K312" s="205"/>
      <c r="L312" s="206"/>
      <c r="M312" s="206"/>
    </row>
    <row r="313">
      <c r="I313" s="205"/>
      <c r="J313" s="205"/>
      <c r="K313" s="205"/>
      <c r="L313" s="206"/>
      <c r="M313" s="206"/>
    </row>
    <row r="314">
      <c r="I314" s="205"/>
      <c r="J314" s="205"/>
      <c r="K314" s="205"/>
      <c r="L314" s="206"/>
      <c r="M314" s="206"/>
    </row>
    <row r="315">
      <c r="I315" s="205"/>
      <c r="J315" s="205"/>
      <c r="K315" s="205"/>
      <c r="L315" s="206"/>
      <c r="M315" s="206"/>
    </row>
    <row r="316">
      <c r="I316" s="205"/>
      <c r="J316" s="205"/>
      <c r="K316" s="205"/>
      <c r="L316" s="206"/>
      <c r="M316" s="206"/>
    </row>
    <row r="317">
      <c r="I317" s="205"/>
      <c r="J317" s="205"/>
      <c r="K317" s="205"/>
      <c r="L317" s="206"/>
      <c r="M317" s="206"/>
    </row>
    <row r="318">
      <c r="I318" s="205"/>
      <c r="J318" s="205"/>
      <c r="K318" s="205"/>
      <c r="L318" s="206"/>
      <c r="M318" s="206"/>
    </row>
    <row r="319">
      <c r="I319" s="205"/>
      <c r="J319" s="205"/>
      <c r="K319" s="205"/>
      <c r="L319" s="206"/>
      <c r="M319" s="206"/>
    </row>
    <row r="320">
      <c r="I320" s="205"/>
      <c r="J320" s="205"/>
      <c r="K320" s="205"/>
      <c r="L320" s="206"/>
      <c r="M320" s="206"/>
    </row>
    <row r="321">
      <c r="I321" s="205"/>
      <c r="J321" s="205"/>
      <c r="K321" s="205"/>
      <c r="L321" s="206"/>
      <c r="M321" s="206"/>
    </row>
    <row r="322">
      <c r="I322" s="205"/>
      <c r="J322" s="205"/>
      <c r="K322" s="205"/>
      <c r="L322" s="206"/>
      <c r="M322" s="206"/>
    </row>
    <row r="323">
      <c r="I323" s="205"/>
      <c r="J323" s="205"/>
      <c r="K323" s="205"/>
      <c r="L323" s="206"/>
      <c r="M323" s="206"/>
    </row>
    <row r="324">
      <c r="I324" s="205"/>
      <c r="J324" s="205"/>
      <c r="K324" s="205"/>
      <c r="L324" s="206"/>
      <c r="M324" s="206"/>
    </row>
    <row r="325">
      <c r="I325" s="205"/>
      <c r="J325" s="205"/>
      <c r="K325" s="205"/>
      <c r="L325" s="206"/>
      <c r="M325" s="206"/>
    </row>
    <row r="326">
      <c r="I326" s="205"/>
      <c r="J326" s="205"/>
      <c r="K326" s="205"/>
      <c r="L326" s="206"/>
      <c r="M326" s="206"/>
    </row>
    <row r="327">
      <c r="I327" s="205"/>
      <c r="J327" s="205"/>
      <c r="K327" s="205"/>
      <c r="L327" s="206"/>
      <c r="M327" s="206"/>
    </row>
    <row r="328">
      <c r="I328" s="205"/>
      <c r="J328" s="205"/>
      <c r="K328" s="205"/>
      <c r="L328" s="206"/>
      <c r="M328" s="206"/>
    </row>
    <row r="329">
      <c r="I329" s="205"/>
      <c r="J329" s="205"/>
      <c r="K329" s="205"/>
      <c r="L329" s="206"/>
      <c r="M329" s="206"/>
    </row>
    <row r="330">
      <c r="I330" s="205"/>
      <c r="J330" s="205"/>
      <c r="K330" s="205"/>
      <c r="L330" s="206"/>
      <c r="M330" s="206"/>
    </row>
    <row r="331">
      <c r="I331" s="205"/>
      <c r="J331" s="205"/>
      <c r="K331" s="205"/>
      <c r="L331" s="206"/>
      <c r="M331" s="206"/>
    </row>
    <row r="332">
      <c r="I332" s="205"/>
      <c r="J332" s="205"/>
      <c r="K332" s="205"/>
      <c r="L332" s="206"/>
      <c r="M332" s="206"/>
    </row>
    <row r="333">
      <c r="I333" s="205"/>
      <c r="J333" s="205"/>
      <c r="K333" s="205"/>
      <c r="L333" s="206"/>
      <c r="M333" s="206"/>
    </row>
    <row r="334">
      <c r="I334" s="205"/>
      <c r="J334" s="205"/>
      <c r="K334" s="205"/>
      <c r="L334" s="206"/>
      <c r="M334" s="206"/>
    </row>
    <row r="335">
      <c r="I335" s="205"/>
      <c r="J335" s="205"/>
      <c r="K335" s="205"/>
      <c r="L335" s="206"/>
      <c r="M335" s="206"/>
    </row>
    <row r="336">
      <c r="I336" s="205"/>
      <c r="J336" s="205"/>
      <c r="K336" s="205"/>
      <c r="L336" s="206"/>
      <c r="M336" s="206"/>
    </row>
    <row r="337">
      <c r="I337" s="205"/>
      <c r="J337" s="205"/>
      <c r="K337" s="205"/>
      <c r="L337" s="206"/>
      <c r="M337" s="206"/>
    </row>
    <row r="338">
      <c r="I338" s="205"/>
      <c r="J338" s="205"/>
      <c r="K338" s="205"/>
      <c r="L338" s="206"/>
      <c r="M338" s="206"/>
    </row>
    <row r="339">
      <c r="I339" s="205"/>
      <c r="J339" s="205"/>
      <c r="K339" s="205"/>
      <c r="L339" s="206"/>
      <c r="M339" s="206"/>
    </row>
    <row r="340">
      <c r="I340" s="205"/>
      <c r="J340" s="205"/>
      <c r="K340" s="205"/>
      <c r="L340" s="206"/>
      <c r="M340" s="206"/>
    </row>
    <row r="341">
      <c r="I341" s="205"/>
      <c r="J341" s="205"/>
      <c r="K341" s="205"/>
      <c r="L341" s="206"/>
      <c r="M341" s="206"/>
    </row>
    <row r="342">
      <c r="I342" s="205"/>
      <c r="J342" s="205"/>
      <c r="K342" s="205"/>
      <c r="L342" s="206"/>
      <c r="M342" s="206"/>
    </row>
    <row r="343">
      <c r="I343" s="205"/>
      <c r="J343" s="205"/>
      <c r="K343" s="205"/>
      <c r="L343" s="206"/>
      <c r="M343" s="206"/>
    </row>
    <row r="344">
      <c r="I344" s="205"/>
      <c r="J344" s="205"/>
      <c r="K344" s="205"/>
      <c r="L344" s="206"/>
      <c r="M344" s="206"/>
    </row>
    <row r="345">
      <c r="I345" s="205"/>
      <c r="J345" s="205"/>
      <c r="K345" s="205"/>
      <c r="L345" s="206"/>
      <c r="M345" s="206"/>
    </row>
    <row r="346">
      <c r="I346" s="205"/>
      <c r="J346" s="205"/>
      <c r="K346" s="205"/>
      <c r="L346" s="206"/>
      <c r="M346" s="206"/>
    </row>
    <row r="347">
      <c r="I347" s="205"/>
      <c r="J347" s="205"/>
      <c r="K347" s="205"/>
      <c r="L347" s="206"/>
      <c r="M347" s="206"/>
    </row>
    <row r="348">
      <c r="I348" s="205"/>
      <c r="J348" s="205"/>
      <c r="K348" s="205"/>
      <c r="L348" s="206"/>
      <c r="M348" s="206"/>
    </row>
    <row r="349">
      <c r="I349" s="205"/>
      <c r="J349" s="205"/>
      <c r="K349" s="205"/>
      <c r="L349" s="206"/>
      <c r="M349" s="206"/>
    </row>
    <row r="350">
      <c r="I350" s="205"/>
      <c r="J350" s="205"/>
      <c r="K350" s="205"/>
      <c r="L350" s="206"/>
      <c r="M350" s="206"/>
    </row>
    <row r="351">
      <c r="I351" s="205"/>
      <c r="J351" s="205"/>
      <c r="K351" s="205"/>
      <c r="L351" s="206"/>
      <c r="M351" s="206"/>
    </row>
    <row r="352">
      <c r="I352" s="205"/>
      <c r="J352" s="205"/>
      <c r="K352" s="205"/>
      <c r="L352" s="206"/>
      <c r="M352" s="206"/>
    </row>
    <row r="353">
      <c r="I353" s="205"/>
      <c r="J353" s="205"/>
      <c r="K353" s="205"/>
      <c r="L353" s="206"/>
      <c r="M353" s="206"/>
    </row>
    <row r="354">
      <c r="I354" s="205"/>
      <c r="J354" s="205"/>
      <c r="K354" s="205"/>
      <c r="L354" s="206"/>
      <c r="M354" s="206"/>
    </row>
    <row r="355">
      <c r="I355" s="205"/>
      <c r="J355" s="205"/>
      <c r="K355" s="205"/>
      <c r="L355" s="206"/>
      <c r="M355" s="206"/>
    </row>
    <row r="356">
      <c r="I356" s="205"/>
      <c r="J356" s="205"/>
      <c r="K356" s="205"/>
      <c r="L356" s="206"/>
      <c r="M356" s="206"/>
    </row>
    <row r="357">
      <c r="I357" s="205"/>
      <c r="J357" s="205"/>
      <c r="K357" s="205"/>
      <c r="L357" s="206"/>
      <c r="M357" s="206"/>
    </row>
    <row r="358">
      <c r="I358" s="205"/>
      <c r="J358" s="205"/>
      <c r="K358" s="205"/>
      <c r="L358" s="206"/>
      <c r="M358" s="206"/>
    </row>
    <row r="359">
      <c r="I359" s="205"/>
      <c r="J359" s="205"/>
      <c r="K359" s="205"/>
      <c r="L359" s="206"/>
      <c r="M359" s="206"/>
    </row>
    <row r="360">
      <c r="I360" s="205"/>
      <c r="J360" s="205"/>
      <c r="K360" s="205"/>
      <c r="L360" s="206"/>
      <c r="M360" s="206"/>
    </row>
    <row r="361">
      <c r="I361" s="205"/>
      <c r="J361" s="205"/>
      <c r="K361" s="205"/>
      <c r="L361" s="206"/>
      <c r="M361" s="206"/>
    </row>
    <row r="362">
      <c r="I362" s="205"/>
      <c r="J362" s="205"/>
      <c r="K362" s="205"/>
      <c r="L362" s="206"/>
      <c r="M362" s="206"/>
    </row>
    <row r="363">
      <c r="I363" s="205"/>
      <c r="J363" s="205"/>
      <c r="K363" s="205"/>
      <c r="L363" s="206"/>
      <c r="M363" s="206"/>
    </row>
    <row r="364">
      <c r="I364" s="205"/>
      <c r="J364" s="205"/>
      <c r="K364" s="205"/>
      <c r="L364" s="206"/>
      <c r="M364" s="206"/>
    </row>
    <row r="365">
      <c r="I365" s="205"/>
      <c r="J365" s="205"/>
      <c r="K365" s="205"/>
      <c r="L365" s="206"/>
      <c r="M365" s="206"/>
    </row>
    <row r="366">
      <c r="I366" s="205"/>
      <c r="J366" s="205"/>
      <c r="K366" s="205"/>
      <c r="L366" s="206"/>
      <c r="M366" s="206"/>
    </row>
    <row r="367">
      <c r="I367" s="205"/>
      <c r="J367" s="205"/>
      <c r="K367" s="205"/>
      <c r="L367" s="206"/>
      <c r="M367" s="206"/>
    </row>
    <row r="368">
      <c r="I368" s="205"/>
      <c r="J368" s="205"/>
      <c r="K368" s="205"/>
      <c r="L368" s="206"/>
      <c r="M368" s="206"/>
    </row>
    <row r="369">
      <c r="I369" s="205"/>
      <c r="J369" s="205"/>
      <c r="K369" s="205"/>
      <c r="L369" s="206"/>
      <c r="M369" s="206"/>
    </row>
    <row r="370">
      <c r="I370" s="205"/>
      <c r="J370" s="205"/>
      <c r="K370" s="205"/>
      <c r="L370" s="206"/>
      <c r="M370" s="206"/>
    </row>
    <row r="371">
      <c r="I371" s="205"/>
      <c r="J371" s="205"/>
      <c r="K371" s="205"/>
      <c r="L371" s="206"/>
      <c r="M371" s="206"/>
    </row>
    <row r="372">
      <c r="I372" s="205"/>
      <c r="J372" s="205"/>
      <c r="K372" s="205"/>
      <c r="L372" s="206"/>
      <c r="M372" s="206"/>
    </row>
    <row r="373">
      <c r="I373" s="205"/>
      <c r="J373" s="205"/>
      <c r="K373" s="205"/>
      <c r="L373" s="206"/>
      <c r="M373" s="206"/>
    </row>
    <row r="374">
      <c r="I374" s="205"/>
      <c r="J374" s="205"/>
      <c r="K374" s="205"/>
      <c r="L374" s="206"/>
      <c r="M374" s="206"/>
    </row>
    <row r="375">
      <c r="I375" s="205"/>
      <c r="J375" s="205"/>
      <c r="K375" s="205"/>
      <c r="L375" s="206"/>
      <c r="M375" s="206"/>
    </row>
    <row r="376">
      <c r="I376" s="205"/>
      <c r="J376" s="205"/>
      <c r="K376" s="205"/>
      <c r="L376" s="206"/>
      <c r="M376" s="206"/>
    </row>
    <row r="377">
      <c r="I377" s="205"/>
      <c r="J377" s="205"/>
      <c r="K377" s="205"/>
      <c r="L377" s="206"/>
      <c r="M377" s="206"/>
    </row>
    <row r="378">
      <c r="I378" s="205"/>
      <c r="J378" s="205"/>
      <c r="K378" s="205"/>
      <c r="L378" s="206"/>
      <c r="M378" s="206"/>
    </row>
    <row r="379">
      <c r="I379" s="205"/>
      <c r="J379" s="205"/>
      <c r="K379" s="205"/>
      <c r="L379" s="206"/>
      <c r="M379" s="206"/>
    </row>
    <row r="380">
      <c r="I380" s="205"/>
      <c r="J380" s="205"/>
      <c r="K380" s="205"/>
      <c r="L380" s="206"/>
      <c r="M380" s="206"/>
    </row>
    <row r="381">
      <c r="I381" s="205"/>
      <c r="J381" s="205"/>
      <c r="K381" s="205"/>
      <c r="L381" s="206"/>
      <c r="M381" s="206"/>
    </row>
    <row r="382">
      <c r="I382" s="205"/>
      <c r="J382" s="205"/>
      <c r="K382" s="205"/>
      <c r="L382" s="206"/>
      <c r="M382" s="206"/>
    </row>
    <row r="383">
      <c r="I383" s="205"/>
      <c r="J383" s="205"/>
      <c r="K383" s="205"/>
      <c r="L383" s="206"/>
      <c r="M383" s="206"/>
    </row>
    <row r="384">
      <c r="I384" s="205"/>
      <c r="J384" s="205"/>
      <c r="K384" s="205"/>
      <c r="L384" s="206"/>
      <c r="M384" s="206"/>
    </row>
    <row r="385">
      <c r="I385" s="205"/>
      <c r="J385" s="205"/>
      <c r="K385" s="205"/>
      <c r="L385" s="206"/>
      <c r="M385" s="206"/>
    </row>
    <row r="386">
      <c r="I386" s="205"/>
      <c r="J386" s="205"/>
      <c r="K386" s="205"/>
      <c r="L386" s="206"/>
      <c r="M386" s="206"/>
    </row>
    <row r="387">
      <c r="I387" s="205"/>
      <c r="J387" s="205"/>
      <c r="K387" s="205"/>
      <c r="L387" s="206"/>
      <c r="M387" s="206"/>
    </row>
    <row r="388">
      <c r="I388" s="205"/>
      <c r="J388" s="205"/>
      <c r="K388" s="205"/>
      <c r="L388" s="206"/>
      <c r="M388" s="206"/>
    </row>
    <row r="389">
      <c r="I389" s="205"/>
      <c r="J389" s="205"/>
      <c r="K389" s="205"/>
      <c r="L389" s="206"/>
      <c r="M389" s="206"/>
    </row>
    <row r="390">
      <c r="I390" s="205"/>
      <c r="J390" s="205"/>
      <c r="K390" s="205"/>
      <c r="L390" s="206"/>
      <c r="M390" s="206"/>
    </row>
    <row r="391">
      <c r="I391" s="205"/>
      <c r="J391" s="205"/>
      <c r="K391" s="205"/>
      <c r="L391" s="206"/>
      <c r="M391" s="206"/>
    </row>
    <row r="392">
      <c r="I392" s="205"/>
      <c r="J392" s="205"/>
      <c r="K392" s="205"/>
      <c r="L392" s="206"/>
      <c r="M392" s="206"/>
    </row>
    <row r="393">
      <c r="I393" s="205"/>
      <c r="J393" s="205"/>
      <c r="K393" s="205"/>
      <c r="L393" s="206"/>
      <c r="M393" s="206"/>
    </row>
    <row r="394">
      <c r="I394" s="205"/>
      <c r="J394" s="205"/>
      <c r="K394" s="205"/>
      <c r="L394" s="206"/>
      <c r="M394" s="206"/>
    </row>
    <row r="395">
      <c r="I395" s="205"/>
      <c r="J395" s="205"/>
      <c r="K395" s="205"/>
      <c r="L395" s="206"/>
      <c r="M395" s="206"/>
    </row>
    <row r="396">
      <c r="I396" s="205"/>
      <c r="J396" s="205"/>
      <c r="K396" s="205"/>
      <c r="L396" s="206"/>
      <c r="M396" s="206"/>
    </row>
    <row r="397">
      <c r="I397" s="205"/>
      <c r="J397" s="205"/>
      <c r="K397" s="205"/>
      <c r="L397" s="206"/>
      <c r="M397" s="206"/>
    </row>
    <row r="398">
      <c r="I398" s="205"/>
      <c r="J398" s="205"/>
      <c r="K398" s="205"/>
      <c r="L398" s="206"/>
      <c r="M398" s="206"/>
    </row>
    <row r="399">
      <c r="I399" s="205"/>
      <c r="J399" s="205"/>
      <c r="K399" s="205"/>
      <c r="L399" s="206"/>
      <c r="M399" s="206"/>
    </row>
    <row r="400">
      <c r="I400" s="205"/>
      <c r="J400" s="205"/>
      <c r="K400" s="205"/>
      <c r="L400" s="206"/>
      <c r="M400" s="206"/>
    </row>
    <row r="401">
      <c r="I401" s="205"/>
      <c r="J401" s="205"/>
      <c r="K401" s="205"/>
      <c r="L401" s="206"/>
      <c r="M401" s="206"/>
    </row>
    <row r="402">
      <c r="I402" s="205"/>
      <c r="J402" s="205"/>
      <c r="K402" s="205"/>
      <c r="L402" s="206"/>
      <c r="M402" s="206"/>
    </row>
    <row r="403">
      <c r="I403" s="205"/>
      <c r="J403" s="205"/>
      <c r="K403" s="205"/>
      <c r="L403" s="206"/>
      <c r="M403" s="206"/>
    </row>
    <row r="404">
      <c r="I404" s="205"/>
      <c r="J404" s="205"/>
      <c r="K404" s="205"/>
      <c r="L404" s="206"/>
      <c r="M404" s="206"/>
    </row>
    <row r="405">
      <c r="I405" s="205"/>
      <c r="J405" s="205"/>
      <c r="K405" s="205"/>
      <c r="L405" s="206"/>
      <c r="M405" s="206"/>
    </row>
    <row r="406">
      <c r="I406" s="205"/>
      <c r="J406" s="205"/>
      <c r="K406" s="205"/>
      <c r="L406" s="206"/>
      <c r="M406" s="206"/>
    </row>
    <row r="407">
      <c r="I407" s="205"/>
      <c r="J407" s="205"/>
      <c r="K407" s="205"/>
      <c r="L407" s="206"/>
      <c r="M407" s="206"/>
    </row>
    <row r="408">
      <c r="I408" s="205"/>
      <c r="J408" s="205"/>
      <c r="K408" s="205"/>
      <c r="L408" s="206"/>
      <c r="M408" s="206"/>
    </row>
    <row r="409">
      <c r="I409" s="205"/>
      <c r="J409" s="205"/>
      <c r="K409" s="205"/>
      <c r="L409" s="206"/>
      <c r="M409" s="206"/>
    </row>
    <row r="410">
      <c r="I410" s="205"/>
      <c r="J410" s="205"/>
      <c r="K410" s="205"/>
      <c r="L410" s="206"/>
      <c r="M410" s="206"/>
    </row>
    <row r="411">
      <c r="I411" s="205"/>
      <c r="J411" s="205"/>
      <c r="K411" s="205"/>
      <c r="L411" s="206"/>
      <c r="M411" s="206"/>
    </row>
    <row r="412">
      <c r="I412" s="205"/>
      <c r="J412" s="205"/>
      <c r="K412" s="205"/>
      <c r="L412" s="206"/>
      <c r="M412" s="206"/>
    </row>
    <row r="413">
      <c r="I413" s="205"/>
      <c r="J413" s="205"/>
      <c r="K413" s="205"/>
      <c r="L413" s="206"/>
      <c r="M413" s="206"/>
    </row>
    <row r="414">
      <c r="I414" s="205"/>
      <c r="J414" s="205"/>
      <c r="K414" s="205"/>
      <c r="L414" s="206"/>
      <c r="M414" s="206"/>
    </row>
    <row r="415">
      <c r="I415" s="205"/>
      <c r="J415" s="205"/>
      <c r="K415" s="205"/>
      <c r="L415" s="206"/>
      <c r="M415" s="206"/>
    </row>
    <row r="416">
      <c r="I416" s="205"/>
      <c r="J416" s="205"/>
      <c r="K416" s="205"/>
      <c r="L416" s="206"/>
      <c r="M416" s="206"/>
    </row>
    <row r="417">
      <c r="I417" s="205"/>
      <c r="J417" s="205"/>
      <c r="K417" s="205"/>
      <c r="L417" s="206"/>
      <c r="M417" s="206"/>
    </row>
    <row r="418">
      <c r="I418" s="205"/>
      <c r="J418" s="205"/>
      <c r="K418" s="205"/>
      <c r="L418" s="206"/>
      <c r="M418" s="206"/>
    </row>
    <row r="419">
      <c r="I419" s="205"/>
      <c r="J419" s="205"/>
      <c r="K419" s="205"/>
      <c r="L419" s="206"/>
      <c r="M419" s="206"/>
    </row>
    <row r="420">
      <c r="I420" s="205"/>
      <c r="J420" s="205"/>
      <c r="K420" s="205"/>
      <c r="L420" s="206"/>
      <c r="M420" s="206"/>
    </row>
    <row r="421">
      <c r="I421" s="205"/>
      <c r="J421" s="205"/>
      <c r="K421" s="205"/>
      <c r="L421" s="206"/>
      <c r="M421" s="206"/>
    </row>
    <row r="422">
      <c r="I422" s="205"/>
      <c r="J422" s="205"/>
      <c r="K422" s="205"/>
      <c r="L422" s="206"/>
      <c r="M422" s="206"/>
    </row>
    <row r="423">
      <c r="I423" s="205"/>
      <c r="J423" s="205"/>
      <c r="K423" s="205"/>
      <c r="L423" s="206"/>
      <c r="M423" s="206"/>
    </row>
    <row r="424">
      <c r="I424" s="205"/>
      <c r="J424" s="205"/>
      <c r="K424" s="205"/>
      <c r="L424" s="206"/>
      <c r="M424" s="206"/>
    </row>
    <row r="425">
      <c r="I425" s="205"/>
      <c r="J425" s="205"/>
      <c r="K425" s="205"/>
      <c r="L425" s="206"/>
      <c r="M425" s="206"/>
    </row>
    <row r="426">
      <c r="I426" s="205"/>
      <c r="J426" s="205"/>
      <c r="K426" s="205"/>
      <c r="L426" s="206"/>
      <c r="M426" s="206"/>
    </row>
    <row r="427">
      <c r="I427" s="205"/>
      <c r="J427" s="205"/>
      <c r="K427" s="205"/>
      <c r="L427" s="206"/>
      <c r="M427" s="206"/>
    </row>
    <row r="428">
      <c r="I428" s="205"/>
      <c r="J428" s="205"/>
      <c r="K428" s="205"/>
      <c r="L428" s="206"/>
      <c r="M428" s="206"/>
    </row>
    <row r="429">
      <c r="I429" s="205"/>
      <c r="J429" s="205"/>
      <c r="K429" s="205"/>
      <c r="L429" s="206"/>
      <c r="M429" s="206"/>
    </row>
    <row r="430">
      <c r="I430" s="205"/>
      <c r="J430" s="205"/>
      <c r="K430" s="205"/>
      <c r="L430" s="206"/>
      <c r="M430" s="206"/>
    </row>
    <row r="431">
      <c r="I431" s="205"/>
      <c r="J431" s="205"/>
      <c r="K431" s="205"/>
      <c r="L431" s="206"/>
      <c r="M431" s="206"/>
    </row>
    <row r="432">
      <c r="I432" s="205"/>
      <c r="J432" s="205"/>
      <c r="K432" s="205"/>
      <c r="L432" s="206"/>
      <c r="M432" s="206"/>
    </row>
    <row r="433">
      <c r="I433" s="205"/>
      <c r="J433" s="205"/>
      <c r="K433" s="205"/>
      <c r="L433" s="206"/>
      <c r="M433" s="206"/>
    </row>
    <row r="434">
      <c r="I434" s="205"/>
      <c r="J434" s="205"/>
      <c r="K434" s="205"/>
      <c r="L434" s="206"/>
      <c r="M434" s="206"/>
    </row>
    <row r="435">
      <c r="I435" s="205"/>
      <c r="J435" s="205"/>
      <c r="K435" s="205"/>
      <c r="L435" s="206"/>
      <c r="M435" s="206"/>
    </row>
    <row r="436">
      <c r="I436" s="205"/>
      <c r="J436" s="205"/>
      <c r="K436" s="205"/>
      <c r="L436" s="206"/>
      <c r="M436" s="206"/>
    </row>
    <row r="437">
      <c r="I437" s="205"/>
      <c r="J437" s="205"/>
      <c r="K437" s="205"/>
      <c r="L437" s="206"/>
      <c r="M437" s="206"/>
    </row>
    <row r="438">
      <c r="I438" s="205"/>
      <c r="J438" s="205"/>
      <c r="K438" s="205"/>
      <c r="L438" s="206"/>
      <c r="M438" s="206"/>
    </row>
    <row r="439">
      <c r="I439" s="205"/>
      <c r="J439" s="205"/>
      <c r="K439" s="205"/>
      <c r="L439" s="206"/>
      <c r="M439" s="206"/>
    </row>
    <row r="440">
      <c r="I440" s="205"/>
      <c r="J440" s="205"/>
      <c r="K440" s="205"/>
      <c r="L440" s="206"/>
      <c r="M440" s="206"/>
    </row>
    <row r="441">
      <c r="I441" s="205"/>
      <c r="J441" s="205"/>
      <c r="K441" s="205"/>
      <c r="L441" s="206"/>
      <c r="M441" s="206"/>
    </row>
    <row r="442">
      <c r="I442" s="205"/>
      <c r="J442" s="205"/>
      <c r="K442" s="205"/>
      <c r="L442" s="206"/>
      <c r="M442" s="206"/>
    </row>
    <row r="443">
      <c r="I443" s="205"/>
      <c r="J443" s="205"/>
      <c r="K443" s="205"/>
      <c r="L443" s="206"/>
      <c r="M443" s="206"/>
    </row>
    <row r="444">
      <c r="I444" s="205"/>
      <c r="J444" s="205"/>
      <c r="K444" s="205"/>
      <c r="L444" s="206"/>
      <c r="M444" s="206"/>
    </row>
    <row r="445">
      <c r="I445" s="205"/>
      <c r="J445" s="205"/>
      <c r="K445" s="205"/>
      <c r="L445" s="206"/>
      <c r="M445" s="206"/>
    </row>
    <row r="446">
      <c r="I446" s="205"/>
      <c r="J446" s="205"/>
      <c r="K446" s="205"/>
      <c r="L446" s="206"/>
      <c r="M446" s="206"/>
    </row>
    <row r="447">
      <c r="I447" s="205"/>
      <c r="J447" s="205"/>
      <c r="K447" s="205"/>
      <c r="L447" s="206"/>
      <c r="M447" s="206"/>
    </row>
    <row r="448">
      <c r="I448" s="205"/>
      <c r="J448" s="205"/>
      <c r="K448" s="205"/>
      <c r="L448" s="206"/>
      <c r="M448" s="206"/>
    </row>
    <row r="449">
      <c r="I449" s="205"/>
      <c r="J449" s="205"/>
      <c r="K449" s="205"/>
      <c r="L449" s="206"/>
      <c r="M449" s="206"/>
    </row>
    <row r="450">
      <c r="I450" s="205"/>
      <c r="J450" s="205"/>
      <c r="K450" s="205"/>
      <c r="L450" s="206"/>
      <c r="M450" s="206"/>
    </row>
    <row r="451">
      <c r="I451" s="205"/>
      <c r="J451" s="205"/>
      <c r="K451" s="205"/>
      <c r="L451" s="206"/>
      <c r="M451" s="206"/>
    </row>
    <row r="452">
      <c r="I452" s="205"/>
      <c r="J452" s="205"/>
      <c r="K452" s="205"/>
      <c r="L452" s="206"/>
      <c r="M452" s="206"/>
    </row>
    <row r="453">
      <c r="I453" s="205"/>
      <c r="J453" s="205"/>
      <c r="K453" s="205"/>
      <c r="L453" s="206"/>
      <c r="M453" s="206"/>
    </row>
    <row r="454">
      <c r="I454" s="205"/>
      <c r="J454" s="205"/>
      <c r="K454" s="205"/>
      <c r="L454" s="206"/>
      <c r="M454" s="206"/>
    </row>
    <row r="455">
      <c r="I455" s="205"/>
      <c r="J455" s="205"/>
      <c r="K455" s="205"/>
      <c r="L455" s="206"/>
      <c r="M455" s="206"/>
    </row>
    <row r="456">
      <c r="I456" s="205"/>
      <c r="J456" s="205"/>
      <c r="K456" s="205"/>
      <c r="L456" s="206"/>
      <c r="M456" s="206"/>
    </row>
    <row r="457">
      <c r="I457" s="205"/>
      <c r="J457" s="205"/>
      <c r="K457" s="205"/>
      <c r="L457" s="206"/>
      <c r="M457" s="206"/>
    </row>
    <row r="458">
      <c r="I458" s="205"/>
      <c r="J458" s="205"/>
      <c r="K458" s="205"/>
      <c r="L458" s="206"/>
      <c r="M458" s="206"/>
    </row>
    <row r="459">
      <c r="I459" s="205"/>
      <c r="J459" s="205"/>
      <c r="K459" s="205"/>
      <c r="L459" s="206"/>
      <c r="M459" s="206"/>
    </row>
    <row r="460">
      <c r="I460" s="205"/>
      <c r="J460" s="205"/>
      <c r="K460" s="205"/>
      <c r="L460" s="206"/>
      <c r="M460" s="206"/>
    </row>
    <row r="461">
      <c r="I461" s="205"/>
      <c r="J461" s="205"/>
      <c r="K461" s="205"/>
      <c r="L461" s="206"/>
      <c r="M461" s="206"/>
    </row>
    <row r="462">
      <c r="I462" s="205"/>
      <c r="J462" s="205"/>
      <c r="K462" s="205"/>
      <c r="L462" s="206"/>
      <c r="M462" s="206"/>
    </row>
    <row r="463">
      <c r="I463" s="205"/>
      <c r="J463" s="205"/>
      <c r="K463" s="205"/>
      <c r="L463" s="206"/>
      <c r="M463" s="206"/>
    </row>
    <row r="464">
      <c r="I464" s="205"/>
      <c r="J464" s="205"/>
      <c r="K464" s="205"/>
      <c r="L464" s="206"/>
      <c r="M464" s="206"/>
    </row>
    <row r="465">
      <c r="I465" s="205"/>
      <c r="J465" s="205"/>
      <c r="K465" s="205"/>
      <c r="L465" s="206"/>
      <c r="M465" s="206"/>
    </row>
    <row r="466">
      <c r="I466" s="205"/>
      <c r="J466" s="205"/>
      <c r="K466" s="205"/>
      <c r="L466" s="206"/>
      <c r="M466" s="206"/>
    </row>
    <row r="467">
      <c r="I467" s="205"/>
      <c r="J467" s="205"/>
      <c r="K467" s="205"/>
      <c r="L467" s="206"/>
      <c r="M467" s="206"/>
    </row>
    <row r="468">
      <c r="I468" s="205"/>
      <c r="J468" s="205"/>
      <c r="K468" s="205"/>
      <c r="L468" s="206"/>
      <c r="M468" s="206"/>
    </row>
    <row r="469">
      <c r="I469" s="205"/>
      <c r="J469" s="205"/>
      <c r="K469" s="205"/>
      <c r="L469" s="206"/>
      <c r="M469" s="206"/>
    </row>
    <row r="470">
      <c r="I470" s="205"/>
      <c r="J470" s="205"/>
      <c r="K470" s="205"/>
      <c r="L470" s="206"/>
      <c r="M470" s="206"/>
    </row>
    <row r="471">
      <c r="I471" s="205"/>
      <c r="J471" s="205"/>
      <c r="K471" s="205"/>
      <c r="L471" s="206"/>
      <c r="M471" s="206"/>
    </row>
    <row r="472">
      <c r="I472" s="205"/>
      <c r="J472" s="205"/>
      <c r="K472" s="205"/>
      <c r="L472" s="206"/>
      <c r="M472" s="206"/>
    </row>
    <row r="473">
      <c r="I473" s="205"/>
      <c r="J473" s="205"/>
      <c r="K473" s="205"/>
      <c r="L473" s="206"/>
      <c r="M473" s="206"/>
    </row>
    <row r="474">
      <c r="I474" s="205"/>
      <c r="J474" s="205"/>
      <c r="K474" s="205"/>
      <c r="L474" s="206"/>
      <c r="M474" s="206"/>
    </row>
    <row r="475">
      <c r="I475" s="205"/>
      <c r="J475" s="205"/>
      <c r="K475" s="205"/>
      <c r="L475" s="206"/>
      <c r="M475" s="206"/>
    </row>
    <row r="476">
      <c r="I476" s="205"/>
      <c r="J476" s="205"/>
      <c r="K476" s="205"/>
      <c r="L476" s="206"/>
      <c r="M476" s="206"/>
    </row>
    <row r="477">
      <c r="I477" s="205"/>
      <c r="J477" s="205"/>
      <c r="K477" s="205"/>
      <c r="L477" s="206"/>
      <c r="M477" s="206"/>
    </row>
    <row r="478">
      <c r="I478" s="205"/>
      <c r="J478" s="205"/>
      <c r="K478" s="205"/>
      <c r="L478" s="206"/>
      <c r="M478" s="206"/>
    </row>
    <row r="479">
      <c r="I479" s="205"/>
      <c r="J479" s="205"/>
      <c r="K479" s="205"/>
      <c r="L479" s="206"/>
      <c r="M479" s="206"/>
    </row>
    <row r="480">
      <c r="I480" s="205"/>
      <c r="J480" s="205"/>
      <c r="K480" s="205"/>
      <c r="L480" s="206"/>
      <c r="M480" s="206"/>
    </row>
    <row r="481">
      <c r="I481" s="205"/>
      <c r="J481" s="205"/>
      <c r="K481" s="205"/>
      <c r="L481" s="206"/>
      <c r="M481" s="206"/>
    </row>
    <row r="482">
      <c r="I482" s="205"/>
      <c r="J482" s="205"/>
      <c r="K482" s="205"/>
      <c r="L482" s="206"/>
      <c r="M482" s="206"/>
    </row>
    <row r="483">
      <c r="I483" s="205"/>
      <c r="J483" s="205"/>
      <c r="K483" s="205"/>
      <c r="L483" s="206"/>
      <c r="M483" s="206"/>
    </row>
    <row r="484">
      <c r="I484" s="205"/>
      <c r="J484" s="205"/>
      <c r="K484" s="205"/>
      <c r="L484" s="206"/>
      <c r="M484" s="206"/>
    </row>
    <row r="485">
      <c r="I485" s="205"/>
      <c r="J485" s="205"/>
      <c r="K485" s="205"/>
      <c r="L485" s="206"/>
      <c r="M485" s="206"/>
    </row>
    <row r="486">
      <c r="I486" s="205"/>
      <c r="J486" s="205"/>
      <c r="K486" s="205"/>
      <c r="L486" s="206"/>
      <c r="M486" s="206"/>
    </row>
    <row r="487">
      <c r="I487" s="205"/>
      <c r="J487" s="205"/>
      <c r="K487" s="205"/>
      <c r="L487" s="206"/>
      <c r="M487" s="206"/>
    </row>
    <row r="488">
      <c r="I488" s="205"/>
      <c r="J488" s="205"/>
      <c r="K488" s="205"/>
      <c r="L488" s="206"/>
      <c r="M488" s="206"/>
    </row>
    <row r="489">
      <c r="I489" s="205"/>
      <c r="J489" s="205"/>
      <c r="K489" s="205"/>
      <c r="L489" s="206"/>
      <c r="M489" s="206"/>
    </row>
    <row r="490">
      <c r="I490" s="205"/>
      <c r="J490" s="205"/>
      <c r="K490" s="205"/>
      <c r="L490" s="206"/>
      <c r="M490" s="206"/>
    </row>
    <row r="491">
      <c r="I491" s="205"/>
      <c r="J491" s="205"/>
      <c r="K491" s="205"/>
      <c r="L491" s="206"/>
      <c r="M491" s="206"/>
    </row>
    <row r="492">
      <c r="I492" s="205"/>
      <c r="J492" s="205"/>
      <c r="K492" s="205"/>
      <c r="L492" s="206"/>
      <c r="M492" s="206"/>
    </row>
    <row r="493">
      <c r="I493" s="205"/>
      <c r="J493" s="205"/>
      <c r="K493" s="205"/>
      <c r="L493" s="206"/>
      <c r="M493" s="206"/>
    </row>
    <row r="494">
      <c r="I494" s="205"/>
      <c r="J494" s="205"/>
      <c r="K494" s="205"/>
      <c r="L494" s="206"/>
      <c r="M494" s="206"/>
    </row>
    <row r="495">
      <c r="I495" s="205"/>
      <c r="J495" s="205"/>
      <c r="K495" s="205"/>
      <c r="L495" s="206"/>
      <c r="M495" s="206"/>
    </row>
    <row r="496">
      <c r="I496" s="205"/>
      <c r="J496" s="205"/>
      <c r="K496" s="205"/>
      <c r="L496" s="206"/>
      <c r="M496" s="206"/>
    </row>
    <row r="497">
      <c r="I497" s="205"/>
      <c r="J497" s="205"/>
      <c r="K497" s="205"/>
      <c r="L497" s="206"/>
      <c r="M497" s="206"/>
    </row>
    <row r="498">
      <c r="I498" s="205"/>
      <c r="J498" s="205"/>
      <c r="K498" s="205"/>
      <c r="L498" s="206"/>
      <c r="M498" s="206"/>
    </row>
    <row r="499">
      <c r="I499" s="205"/>
      <c r="J499" s="205"/>
      <c r="K499" s="205"/>
      <c r="L499" s="206"/>
      <c r="M499" s="206"/>
    </row>
    <row r="500">
      <c r="I500" s="205"/>
      <c r="J500" s="205"/>
      <c r="K500" s="205"/>
      <c r="L500" s="206"/>
      <c r="M500" s="206"/>
    </row>
    <row r="501">
      <c r="I501" s="205"/>
      <c r="J501" s="205"/>
      <c r="K501" s="205"/>
      <c r="L501" s="206"/>
      <c r="M501" s="206"/>
    </row>
    <row r="502">
      <c r="I502" s="205"/>
      <c r="J502" s="205"/>
      <c r="K502" s="205"/>
      <c r="L502" s="206"/>
      <c r="M502" s="206"/>
    </row>
    <row r="503">
      <c r="I503" s="205"/>
      <c r="J503" s="205"/>
      <c r="K503" s="205"/>
      <c r="L503" s="206"/>
      <c r="M503" s="206"/>
    </row>
    <row r="504">
      <c r="I504" s="205"/>
      <c r="J504" s="205"/>
      <c r="K504" s="205"/>
      <c r="L504" s="206"/>
      <c r="M504" s="206"/>
    </row>
    <row r="505">
      <c r="I505" s="205"/>
      <c r="J505" s="205"/>
      <c r="K505" s="205"/>
      <c r="L505" s="206"/>
      <c r="M505" s="206"/>
    </row>
    <row r="506">
      <c r="I506" s="205"/>
      <c r="J506" s="205"/>
      <c r="K506" s="205"/>
      <c r="L506" s="206"/>
      <c r="M506" s="206"/>
    </row>
    <row r="507">
      <c r="I507" s="205"/>
      <c r="J507" s="205"/>
      <c r="K507" s="205"/>
      <c r="L507" s="206"/>
      <c r="M507" s="206"/>
    </row>
    <row r="508">
      <c r="I508" s="205"/>
      <c r="J508" s="205"/>
      <c r="K508" s="205"/>
      <c r="L508" s="206"/>
      <c r="M508" s="206"/>
    </row>
    <row r="509">
      <c r="I509" s="205"/>
      <c r="J509" s="205"/>
      <c r="K509" s="205"/>
      <c r="L509" s="206"/>
      <c r="M509" s="206"/>
    </row>
    <row r="510">
      <c r="I510" s="205"/>
      <c r="J510" s="205"/>
      <c r="K510" s="205"/>
      <c r="L510" s="206"/>
      <c r="M510" s="206"/>
    </row>
    <row r="511">
      <c r="I511" s="205"/>
      <c r="J511" s="205"/>
      <c r="K511" s="205"/>
      <c r="L511" s="206"/>
      <c r="M511" s="206"/>
    </row>
    <row r="512">
      <c r="I512" s="205"/>
      <c r="J512" s="205"/>
      <c r="K512" s="205"/>
      <c r="L512" s="206"/>
      <c r="M512" s="206"/>
    </row>
    <row r="513">
      <c r="I513" s="205"/>
      <c r="J513" s="205"/>
      <c r="K513" s="205"/>
      <c r="L513" s="206"/>
      <c r="M513" s="206"/>
    </row>
    <row r="514">
      <c r="I514" s="205"/>
      <c r="J514" s="205"/>
      <c r="K514" s="205"/>
      <c r="L514" s="206"/>
      <c r="M514" s="206"/>
    </row>
    <row r="515">
      <c r="I515" s="205"/>
      <c r="J515" s="205"/>
      <c r="K515" s="205"/>
      <c r="L515" s="206"/>
      <c r="M515" s="206"/>
    </row>
    <row r="516">
      <c r="I516" s="205"/>
      <c r="J516" s="205"/>
      <c r="K516" s="205"/>
      <c r="L516" s="206"/>
      <c r="M516" s="206"/>
    </row>
    <row r="517">
      <c r="I517" s="205"/>
      <c r="J517" s="205"/>
      <c r="K517" s="205"/>
      <c r="L517" s="206"/>
      <c r="M517" s="206"/>
    </row>
    <row r="518">
      <c r="I518" s="205"/>
      <c r="J518" s="205"/>
      <c r="K518" s="205"/>
      <c r="L518" s="206"/>
      <c r="M518" s="206"/>
    </row>
    <row r="519">
      <c r="I519" s="205"/>
      <c r="J519" s="205"/>
      <c r="K519" s="205"/>
      <c r="L519" s="206"/>
      <c r="M519" s="206"/>
    </row>
    <row r="520">
      <c r="I520" s="205"/>
      <c r="J520" s="205"/>
      <c r="K520" s="205"/>
      <c r="L520" s="206"/>
      <c r="M520" s="206"/>
    </row>
    <row r="521">
      <c r="I521" s="205"/>
      <c r="J521" s="205"/>
      <c r="K521" s="205"/>
      <c r="L521" s="206"/>
      <c r="M521" s="206"/>
    </row>
    <row r="522">
      <c r="I522" s="205"/>
      <c r="J522" s="205"/>
      <c r="K522" s="205"/>
      <c r="L522" s="206"/>
      <c r="M522" s="206"/>
    </row>
    <row r="523">
      <c r="I523" s="205"/>
      <c r="J523" s="205"/>
      <c r="K523" s="205"/>
      <c r="L523" s="206"/>
      <c r="M523" s="206"/>
    </row>
    <row r="524">
      <c r="I524" s="205"/>
      <c r="J524" s="205"/>
      <c r="K524" s="205"/>
      <c r="L524" s="206"/>
      <c r="M524" s="206"/>
    </row>
    <row r="525">
      <c r="I525" s="205"/>
      <c r="J525" s="205"/>
      <c r="K525" s="205"/>
      <c r="L525" s="206"/>
      <c r="M525" s="206"/>
    </row>
    <row r="526">
      <c r="I526" s="205"/>
      <c r="J526" s="205"/>
      <c r="K526" s="205"/>
      <c r="L526" s="206"/>
      <c r="M526" s="206"/>
    </row>
    <row r="527">
      <c r="I527" s="205"/>
      <c r="J527" s="205"/>
      <c r="K527" s="205"/>
      <c r="L527" s="206"/>
      <c r="M527" s="206"/>
    </row>
    <row r="528">
      <c r="I528" s="205"/>
      <c r="J528" s="205"/>
      <c r="K528" s="205"/>
      <c r="L528" s="206"/>
      <c r="M528" s="206"/>
    </row>
    <row r="529">
      <c r="I529" s="205"/>
      <c r="J529" s="205"/>
      <c r="K529" s="205"/>
      <c r="L529" s="206"/>
      <c r="M529" s="206"/>
    </row>
    <row r="530">
      <c r="I530" s="205"/>
      <c r="J530" s="205"/>
      <c r="K530" s="205"/>
      <c r="L530" s="206"/>
      <c r="M530" s="206"/>
    </row>
    <row r="531">
      <c r="I531" s="205"/>
      <c r="J531" s="205"/>
      <c r="K531" s="205"/>
      <c r="L531" s="206"/>
      <c r="M531" s="206"/>
    </row>
    <row r="532">
      <c r="I532" s="205"/>
      <c r="J532" s="205"/>
      <c r="K532" s="205"/>
      <c r="L532" s="206"/>
      <c r="M532" s="206"/>
    </row>
    <row r="533">
      <c r="I533" s="205"/>
      <c r="J533" s="205"/>
      <c r="K533" s="205"/>
      <c r="L533" s="206"/>
      <c r="M533" s="206"/>
    </row>
    <row r="534">
      <c r="I534" s="205"/>
      <c r="J534" s="205"/>
      <c r="K534" s="205"/>
      <c r="L534" s="206"/>
      <c r="M534" s="206"/>
    </row>
    <row r="535">
      <c r="I535" s="205"/>
      <c r="J535" s="205"/>
      <c r="K535" s="205"/>
      <c r="L535" s="206"/>
      <c r="M535" s="206"/>
    </row>
    <row r="536">
      <c r="I536" s="205"/>
      <c r="J536" s="205"/>
      <c r="K536" s="205"/>
      <c r="L536" s="206"/>
      <c r="M536" s="206"/>
    </row>
    <row r="537">
      <c r="I537" s="205"/>
      <c r="J537" s="205"/>
      <c r="K537" s="205"/>
      <c r="L537" s="206"/>
      <c r="M537" s="206"/>
    </row>
    <row r="538">
      <c r="I538" s="205"/>
      <c r="J538" s="205"/>
      <c r="K538" s="205"/>
      <c r="L538" s="206"/>
      <c r="M538" s="206"/>
    </row>
    <row r="539">
      <c r="I539" s="205"/>
      <c r="J539" s="205"/>
      <c r="K539" s="205"/>
      <c r="L539" s="206"/>
      <c r="M539" s="206"/>
    </row>
    <row r="540">
      <c r="I540" s="205"/>
      <c r="J540" s="205"/>
      <c r="K540" s="205"/>
      <c r="L540" s="206"/>
      <c r="M540" s="206"/>
    </row>
    <row r="541">
      <c r="I541" s="205"/>
      <c r="J541" s="205"/>
      <c r="K541" s="205"/>
      <c r="L541" s="206"/>
      <c r="M541" s="206"/>
    </row>
    <row r="542">
      <c r="I542" s="205"/>
      <c r="J542" s="205"/>
      <c r="K542" s="205"/>
      <c r="L542" s="206"/>
      <c r="M542" s="206"/>
    </row>
    <row r="543">
      <c r="I543" s="205"/>
      <c r="J543" s="205"/>
      <c r="K543" s="205"/>
      <c r="L543" s="206"/>
      <c r="M543" s="206"/>
    </row>
    <row r="544">
      <c r="I544" s="205"/>
      <c r="J544" s="205"/>
      <c r="K544" s="205"/>
      <c r="L544" s="206"/>
      <c r="M544" s="206"/>
    </row>
    <row r="545">
      <c r="I545" s="205"/>
      <c r="J545" s="205"/>
      <c r="K545" s="205"/>
      <c r="L545" s="206"/>
      <c r="M545" s="206"/>
    </row>
    <row r="546">
      <c r="I546" s="205"/>
      <c r="J546" s="205"/>
      <c r="K546" s="205"/>
      <c r="L546" s="206"/>
      <c r="M546" s="206"/>
    </row>
    <row r="547">
      <c r="I547" s="205"/>
      <c r="J547" s="205"/>
      <c r="K547" s="205"/>
      <c r="L547" s="206"/>
      <c r="M547" s="206"/>
    </row>
    <row r="548">
      <c r="I548" s="205"/>
      <c r="J548" s="205"/>
      <c r="K548" s="205"/>
      <c r="L548" s="206"/>
      <c r="M548" s="206"/>
    </row>
    <row r="549">
      <c r="I549" s="205"/>
      <c r="J549" s="205"/>
      <c r="K549" s="205"/>
      <c r="L549" s="206"/>
      <c r="M549" s="206"/>
    </row>
    <row r="550">
      <c r="I550" s="205"/>
      <c r="J550" s="205"/>
      <c r="K550" s="205"/>
      <c r="L550" s="206"/>
      <c r="M550" s="206"/>
    </row>
    <row r="551">
      <c r="I551" s="205"/>
      <c r="J551" s="205"/>
      <c r="K551" s="205"/>
      <c r="L551" s="206"/>
      <c r="M551" s="206"/>
    </row>
    <row r="552">
      <c r="I552" s="205"/>
      <c r="J552" s="205"/>
      <c r="K552" s="205"/>
      <c r="L552" s="206"/>
      <c r="M552" s="206"/>
    </row>
    <row r="553">
      <c r="I553" s="205"/>
      <c r="J553" s="205"/>
      <c r="K553" s="205"/>
      <c r="L553" s="206"/>
      <c r="M553" s="206"/>
    </row>
    <row r="554">
      <c r="I554" s="205"/>
      <c r="J554" s="205"/>
      <c r="K554" s="205"/>
      <c r="L554" s="206"/>
      <c r="M554" s="206"/>
    </row>
    <row r="555">
      <c r="I555" s="205"/>
      <c r="J555" s="205"/>
      <c r="K555" s="205"/>
      <c r="L555" s="206"/>
      <c r="M555" s="206"/>
    </row>
    <row r="556">
      <c r="I556" s="205"/>
      <c r="J556" s="205"/>
      <c r="K556" s="205"/>
      <c r="L556" s="206"/>
      <c r="M556" s="206"/>
    </row>
    <row r="557">
      <c r="I557" s="205"/>
      <c r="J557" s="205"/>
      <c r="K557" s="205"/>
      <c r="L557" s="206"/>
      <c r="M557" s="206"/>
    </row>
    <row r="558">
      <c r="I558" s="205"/>
      <c r="J558" s="205"/>
      <c r="K558" s="205"/>
      <c r="L558" s="206"/>
      <c r="M558" s="206"/>
    </row>
    <row r="559">
      <c r="I559" s="205"/>
      <c r="J559" s="205"/>
      <c r="K559" s="205"/>
      <c r="L559" s="206"/>
      <c r="M559" s="206"/>
    </row>
    <row r="560">
      <c r="I560" s="205"/>
      <c r="J560" s="205"/>
      <c r="K560" s="205"/>
      <c r="L560" s="206"/>
      <c r="M560" s="206"/>
    </row>
    <row r="561">
      <c r="I561" s="205"/>
      <c r="J561" s="205"/>
      <c r="K561" s="205"/>
      <c r="L561" s="206"/>
      <c r="M561" s="206"/>
    </row>
    <row r="562">
      <c r="I562" s="205"/>
      <c r="J562" s="205"/>
      <c r="K562" s="205"/>
      <c r="L562" s="206"/>
      <c r="M562" s="206"/>
    </row>
    <row r="563">
      <c r="I563" s="205"/>
      <c r="J563" s="205"/>
      <c r="K563" s="205"/>
      <c r="L563" s="206"/>
      <c r="M563" s="206"/>
    </row>
    <row r="564">
      <c r="I564" s="205"/>
      <c r="J564" s="205"/>
      <c r="K564" s="205"/>
      <c r="L564" s="206"/>
      <c r="M564" s="206"/>
    </row>
    <row r="565">
      <c r="I565" s="205"/>
      <c r="J565" s="205"/>
      <c r="K565" s="205"/>
      <c r="L565" s="206"/>
      <c r="M565" s="206"/>
    </row>
    <row r="566">
      <c r="I566" s="205"/>
      <c r="J566" s="205"/>
      <c r="K566" s="205"/>
      <c r="L566" s="206"/>
      <c r="M566" s="206"/>
    </row>
    <row r="567">
      <c r="I567" s="205"/>
      <c r="J567" s="205"/>
      <c r="K567" s="205"/>
      <c r="L567" s="206"/>
      <c r="M567" s="206"/>
    </row>
    <row r="568">
      <c r="I568" s="205"/>
      <c r="J568" s="205"/>
      <c r="K568" s="205"/>
      <c r="L568" s="206"/>
      <c r="M568" s="206"/>
    </row>
    <row r="569">
      <c r="I569" s="205"/>
      <c r="J569" s="205"/>
      <c r="K569" s="205"/>
      <c r="L569" s="206"/>
      <c r="M569" s="206"/>
    </row>
    <row r="570">
      <c r="I570" s="205"/>
      <c r="J570" s="205"/>
      <c r="K570" s="205"/>
      <c r="L570" s="206"/>
      <c r="M570" s="206"/>
    </row>
    <row r="571">
      <c r="I571" s="205"/>
      <c r="J571" s="205"/>
      <c r="K571" s="205"/>
      <c r="L571" s="206"/>
      <c r="M571" s="206"/>
    </row>
    <row r="572">
      <c r="I572" s="205"/>
      <c r="J572" s="205"/>
      <c r="K572" s="205"/>
      <c r="L572" s="206"/>
      <c r="M572" s="206"/>
    </row>
    <row r="573">
      <c r="I573" s="205"/>
      <c r="J573" s="205"/>
      <c r="K573" s="205"/>
      <c r="L573" s="206"/>
      <c r="M573" s="206"/>
    </row>
    <row r="574">
      <c r="I574" s="205"/>
      <c r="J574" s="205"/>
      <c r="K574" s="205"/>
      <c r="L574" s="206"/>
      <c r="M574" s="206"/>
    </row>
    <row r="575">
      <c r="I575" s="205"/>
      <c r="J575" s="205"/>
      <c r="K575" s="205"/>
      <c r="L575" s="206"/>
      <c r="M575" s="206"/>
    </row>
    <row r="576">
      <c r="I576" s="205"/>
      <c r="J576" s="205"/>
      <c r="K576" s="205"/>
      <c r="L576" s="206"/>
      <c r="M576" s="206"/>
    </row>
    <row r="577">
      <c r="I577" s="205"/>
      <c r="J577" s="205"/>
      <c r="K577" s="205"/>
      <c r="L577" s="206"/>
      <c r="M577" s="206"/>
    </row>
    <row r="578">
      <c r="I578" s="205"/>
      <c r="J578" s="205"/>
      <c r="K578" s="205"/>
      <c r="L578" s="206"/>
      <c r="M578" s="206"/>
    </row>
    <row r="579">
      <c r="I579" s="205"/>
      <c r="J579" s="205"/>
      <c r="K579" s="205"/>
      <c r="L579" s="206"/>
      <c r="M579" s="206"/>
    </row>
    <row r="580">
      <c r="I580" s="205"/>
      <c r="J580" s="205"/>
      <c r="K580" s="205"/>
      <c r="L580" s="206"/>
      <c r="M580" s="206"/>
    </row>
    <row r="581">
      <c r="I581" s="205"/>
      <c r="J581" s="205"/>
      <c r="K581" s="205"/>
      <c r="L581" s="206"/>
      <c r="M581" s="206"/>
    </row>
    <row r="582">
      <c r="I582" s="205"/>
      <c r="J582" s="205"/>
      <c r="K582" s="205"/>
      <c r="L582" s="206"/>
      <c r="M582" s="206"/>
    </row>
    <row r="583">
      <c r="I583" s="205"/>
      <c r="J583" s="205"/>
      <c r="K583" s="205"/>
      <c r="L583" s="206"/>
      <c r="M583" s="206"/>
    </row>
    <row r="584">
      <c r="I584" s="205"/>
      <c r="J584" s="205"/>
      <c r="K584" s="205"/>
      <c r="L584" s="206"/>
      <c r="M584" s="206"/>
    </row>
    <row r="585">
      <c r="I585" s="205"/>
      <c r="J585" s="205"/>
      <c r="K585" s="205"/>
      <c r="L585" s="206"/>
      <c r="M585" s="206"/>
    </row>
    <row r="586">
      <c r="I586" s="205"/>
      <c r="J586" s="205"/>
      <c r="K586" s="205"/>
      <c r="L586" s="206"/>
      <c r="M586" s="206"/>
    </row>
    <row r="587">
      <c r="I587" s="205"/>
      <c r="J587" s="205"/>
      <c r="K587" s="205"/>
      <c r="L587" s="206"/>
      <c r="M587" s="206"/>
    </row>
    <row r="588">
      <c r="I588" s="205"/>
      <c r="J588" s="205"/>
      <c r="K588" s="205"/>
      <c r="L588" s="206"/>
      <c r="M588" s="206"/>
    </row>
    <row r="589">
      <c r="I589" s="205"/>
      <c r="J589" s="205"/>
      <c r="K589" s="205"/>
      <c r="L589" s="206"/>
      <c r="M589" s="206"/>
    </row>
    <row r="590">
      <c r="I590" s="205"/>
      <c r="J590" s="205"/>
      <c r="K590" s="205"/>
      <c r="L590" s="206"/>
      <c r="M590" s="206"/>
    </row>
    <row r="591">
      <c r="I591" s="205"/>
      <c r="J591" s="205"/>
      <c r="K591" s="205"/>
      <c r="L591" s="206"/>
      <c r="M591" s="206"/>
    </row>
    <row r="592">
      <c r="I592" s="205"/>
      <c r="J592" s="205"/>
      <c r="K592" s="205"/>
      <c r="L592" s="206"/>
      <c r="M592" s="206"/>
    </row>
    <row r="593">
      <c r="I593" s="205"/>
      <c r="J593" s="205"/>
      <c r="K593" s="205"/>
      <c r="L593" s="206"/>
      <c r="M593" s="206"/>
    </row>
    <row r="594">
      <c r="I594" s="205"/>
      <c r="J594" s="205"/>
      <c r="K594" s="205"/>
      <c r="L594" s="206"/>
      <c r="M594" s="206"/>
    </row>
    <row r="595">
      <c r="I595" s="205"/>
      <c r="J595" s="205"/>
      <c r="K595" s="205"/>
      <c r="L595" s="206"/>
      <c r="M595" s="206"/>
    </row>
    <row r="596">
      <c r="I596" s="205"/>
      <c r="J596" s="205"/>
      <c r="K596" s="205"/>
      <c r="L596" s="206"/>
      <c r="M596" s="206"/>
    </row>
    <row r="597">
      <c r="I597" s="205"/>
      <c r="J597" s="205"/>
      <c r="K597" s="205"/>
      <c r="L597" s="206"/>
      <c r="M597" s="206"/>
    </row>
    <row r="598">
      <c r="I598" s="205"/>
      <c r="J598" s="205"/>
      <c r="K598" s="205"/>
      <c r="L598" s="206"/>
      <c r="M598" s="206"/>
    </row>
    <row r="599">
      <c r="I599" s="205"/>
      <c r="J599" s="205"/>
      <c r="K599" s="205"/>
      <c r="L599" s="206"/>
      <c r="M599" s="206"/>
    </row>
    <row r="600">
      <c r="I600" s="205"/>
      <c r="J600" s="205"/>
      <c r="K600" s="205"/>
      <c r="L600" s="206"/>
      <c r="M600" s="206"/>
    </row>
    <row r="601">
      <c r="I601" s="205"/>
      <c r="J601" s="205"/>
      <c r="K601" s="205"/>
      <c r="L601" s="206"/>
      <c r="M601" s="206"/>
    </row>
    <row r="602">
      <c r="I602" s="205"/>
      <c r="J602" s="205"/>
      <c r="K602" s="205"/>
      <c r="L602" s="206"/>
      <c r="M602" s="206"/>
    </row>
    <row r="603">
      <c r="I603" s="205"/>
      <c r="J603" s="205"/>
      <c r="K603" s="205"/>
      <c r="L603" s="206"/>
      <c r="M603" s="206"/>
    </row>
    <row r="604">
      <c r="I604" s="205"/>
      <c r="J604" s="205"/>
      <c r="K604" s="205"/>
      <c r="L604" s="206"/>
      <c r="M604" s="206"/>
    </row>
    <row r="605">
      <c r="I605" s="205"/>
      <c r="J605" s="205"/>
      <c r="K605" s="205"/>
      <c r="L605" s="206"/>
      <c r="M605" s="206"/>
    </row>
    <row r="606">
      <c r="I606" s="205"/>
      <c r="J606" s="205"/>
      <c r="K606" s="205"/>
      <c r="L606" s="206"/>
      <c r="M606" s="206"/>
    </row>
    <row r="607">
      <c r="I607" s="205"/>
      <c r="J607" s="205"/>
      <c r="K607" s="205"/>
      <c r="L607" s="206"/>
      <c r="M607" s="206"/>
    </row>
    <row r="608">
      <c r="I608" s="205"/>
      <c r="J608" s="205"/>
      <c r="K608" s="205"/>
      <c r="L608" s="206"/>
      <c r="M608" s="206"/>
    </row>
    <row r="609">
      <c r="I609" s="205"/>
      <c r="J609" s="205"/>
      <c r="K609" s="205"/>
      <c r="L609" s="206"/>
      <c r="M609" s="206"/>
    </row>
    <row r="610">
      <c r="I610" s="205"/>
      <c r="J610" s="205"/>
      <c r="K610" s="205"/>
      <c r="L610" s="206"/>
      <c r="M610" s="206"/>
    </row>
    <row r="611">
      <c r="I611" s="205"/>
      <c r="J611" s="205"/>
      <c r="K611" s="205"/>
      <c r="L611" s="206"/>
      <c r="M611" s="206"/>
    </row>
    <row r="612">
      <c r="I612" s="205"/>
      <c r="J612" s="205"/>
      <c r="K612" s="205"/>
      <c r="L612" s="206"/>
      <c r="M612" s="206"/>
    </row>
    <row r="613">
      <c r="I613" s="205"/>
      <c r="J613" s="205"/>
      <c r="K613" s="205"/>
      <c r="L613" s="206"/>
      <c r="M613" s="206"/>
    </row>
    <row r="614">
      <c r="I614" s="205"/>
      <c r="J614" s="205"/>
      <c r="K614" s="205"/>
      <c r="L614" s="206"/>
      <c r="M614" s="206"/>
    </row>
    <row r="615">
      <c r="I615" s="205"/>
      <c r="J615" s="205"/>
      <c r="K615" s="205"/>
      <c r="L615" s="206"/>
      <c r="M615" s="206"/>
    </row>
    <row r="616">
      <c r="I616" s="205"/>
      <c r="J616" s="205"/>
      <c r="K616" s="205"/>
      <c r="L616" s="206"/>
      <c r="M616" s="206"/>
    </row>
    <row r="617">
      <c r="I617" s="205"/>
      <c r="J617" s="205"/>
      <c r="K617" s="205"/>
      <c r="L617" s="206"/>
      <c r="M617" s="206"/>
    </row>
    <row r="618">
      <c r="I618" s="205"/>
      <c r="J618" s="205"/>
      <c r="K618" s="205"/>
      <c r="L618" s="206"/>
      <c r="M618" s="206"/>
    </row>
    <row r="619">
      <c r="I619" s="205"/>
      <c r="J619" s="205"/>
      <c r="K619" s="205"/>
      <c r="L619" s="206"/>
      <c r="M619" s="206"/>
    </row>
    <row r="620">
      <c r="I620" s="205"/>
      <c r="J620" s="205"/>
      <c r="K620" s="205"/>
      <c r="L620" s="206"/>
      <c r="M620" s="206"/>
    </row>
    <row r="621">
      <c r="I621" s="205"/>
      <c r="J621" s="205"/>
      <c r="K621" s="205"/>
      <c r="L621" s="206"/>
      <c r="M621" s="206"/>
    </row>
    <row r="622">
      <c r="I622" s="205"/>
      <c r="J622" s="205"/>
      <c r="K622" s="205"/>
      <c r="L622" s="206"/>
      <c r="M622" s="206"/>
    </row>
    <row r="623">
      <c r="I623" s="205"/>
      <c r="J623" s="205"/>
      <c r="K623" s="205"/>
      <c r="L623" s="206"/>
      <c r="M623" s="206"/>
    </row>
    <row r="624">
      <c r="I624" s="205"/>
      <c r="J624" s="205"/>
      <c r="K624" s="205"/>
      <c r="L624" s="206"/>
      <c r="M624" s="206"/>
    </row>
    <row r="625">
      <c r="I625" s="205"/>
      <c r="J625" s="205"/>
      <c r="K625" s="205"/>
      <c r="L625" s="206"/>
      <c r="M625" s="206"/>
    </row>
    <row r="626">
      <c r="I626" s="205"/>
      <c r="J626" s="205"/>
      <c r="K626" s="205"/>
      <c r="L626" s="206"/>
      <c r="M626" s="206"/>
    </row>
    <row r="627">
      <c r="I627" s="205"/>
      <c r="J627" s="205"/>
      <c r="K627" s="205"/>
      <c r="L627" s="206"/>
      <c r="M627" s="206"/>
    </row>
    <row r="628">
      <c r="I628" s="205"/>
      <c r="J628" s="205"/>
      <c r="K628" s="205"/>
      <c r="L628" s="206"/>
      <c r="M628" s="206"/>
    </row>
    <row r="629">
      <c r="I629" s="205"/>
      <c r="J629" s="205"/>
      <c r="K629" s="205"/>
      <c r="L629" s="206"/>
      <c r="M629" s="206"/>
    </row>
    <row r="630">
      <c r="I630" s="205"/>
      <c r="J630" s="205"/>
      <c r="K630" s="205"/>
      <c r="L630" s="206"/>
      <c r="M630" s="206"/>
    </row>
    <row r="631">
      <c r="I631" s="205"/>
      <c r="J631" s="205"/>
      <c r="K631" s="205"/>
      <c r="L631" s="206"/>
      <c r="M631" s="206"/>
    </row>
    <row r="632">
      <c r="I632" s="205"/>
      <c r="J632" s="205"/>
      <c r="K632" s="205"/>
      <c r="L632" s="206"/>
      <c r="M632" s="206"/>
    </row>
    <row r="633">
      <c r="I633" s="205"/>
      <c r="J633" s="205"/>
      <c r="K633" s="205"/>
      <c r="L633" s="206"/>
      <c r="M633" s="206"/>
    </row>
    <row r="634">
      <c r="I634" s="205"/>
      <c r="J634" s="205"/>
      <c r="K634" s="205"/>
      <c r="L634" s="206"/>
      <c r="M634" s="206"/>
    </row>
    <row r="635">
      <c r="I635" s="205"/>
      <c r="J635" s="205"/>
      <c r="K635" s="205"/>
      <c r="L635" s="206"/>
      <c r="M635" s="206"/>
    </row>
    <row r="636">
      <c r="I636" s="205"/>
      <c r="J636" s="205"/>
      <c r="K636" s="205"/>
      <c r="L636" s="206"/>
      <c r="M636" s="206"/>
    </row>
    <row r="637">
      <c r="I637" s="205"/>
      <c r="J637" s="205"/>
      <c r="K637" s="205"/>
      <c r="L637" s="206"/>
      <c r="M637" s="206"/>
    </row>
    <row r="638">
      <c r="I638" s="205"/>
      <c r="J638" s="205"/>
      <c r="K638" s="205"/>
      <c r="L638" s="206"/>
      <c r="M638" s="206"/>
    </row>
    <row r="639">
      <c r="I639" s="205"/>
      <c r="J639" s="205"/>
      <c r="K639" s="205"/>
      <c r="L639" s="206"/>
      <c r="M639" s="206"/>
    </row>
    <row r="640">
      <c r="I640" s="205"/>
      <c r="J640" s="205"/>
      <c r="K640" s="205"/>
      <c r="L640" s="206"/>
      <c r="M640" s="206"/>
    </row>
    <row r="641">
      <c r="I641" s="205"/>
      <c r="J641" s="205"/>
      <c r="K641" s="205"/>
      <c r="L641" s="206"/>
      <c r="M641" s="206"/>
    </row>
    <row r="642">
      <c r="I642" s="205"/>
      <c r="J642" s="205"/>
      <c r="K642" s="205"/>
      <c r="L642" s="206"/>
      <c r="M642" s="206"/>
    </row>
    <row r="643">
      <c r="I643" s="205"/>
      <c r="J643" s="205"/>
      <c r="K643" s="205"/>
      <c r="L643" s="206"/>
      <c r="M643" s="206"/>
    </row>
    <row r="644">
      <c r="I644" s="205"/>
      <c r="J644" s="205"/>
      <c r="K644" s="205"/>
      <c r="L644" s="206"/>
      <c r="M644" s="206"/>
    </row>
    <row r="645">
      <c r="I645" s="205"/>
      <c r="J645" s="205"/>
      <c r="K645" s="205"/>
      <c r="L645" s="206"/>
      <c r="M645" s="206"/>
    </row>
    <row r="646">
      <c r="I646" s="205"/>
      <c r="J646" s="205"/>
      <c r="K646" s="205"/>
      <c r="L646" s="206"/>
      <c r="M646" s="206"/>
    </row>
    <row r="647">
      <c r="I647" s="205"/>
      <c r="J647" s="205"/>
      <c r="K647" s="205"/>
      <c r="L647" s="206"/>
      <c r="M647" s="206"/>
    </row>
    <row r="648">
      <c r="I648" s="205"/>
      <c r="J648" s="205"/>
      <c r="K648" s="205"/>
      <c r="L648" s="206"/>
      <c r="M648" s="206"/>
    </row>
    <row r="649">
      <c r="I649" s="205"/>
      <c r="J649" s="205"/>
      <c r="K649" s="205"/>
      <c r="L649" s="206"/>
      <c r="M649" s="206"/>
    </row>
    <row r="650">
      <c r="I650" s="205"/>
      <c r="J650" s="205"/>
      <c r="K650" s="205"/>
      <c r="L650" s="206"/>
      <c r="M650" s="206"/>
    </row>
    <row r="651">
      <c r="I651" s="205"/>
      <c r="J651" s="205"/>
      <c r="K651" s="205"/>
      <c r="L651" s="206"/>
      <c r="M651" s="206"/>
    </row>
    <row r="652">
      <c r="I652" s="205"/>
      <c r="J652" s="205"/>
      <c r="K652" s="205"/>
      <c r="L652" s="206"/>
      <c r="M652" s="206"/>
    </row>
    <row r="653">
      <c r="I653" s="205"/>
      <c r="J653" s="205"/>
      <c r="K653" s="205"/>
      <c r="L653" s="206"/>
      <c r="M653" s="206"/>
    </row>
    <row r="654">
      <c r="I654" s="205"/>
      <c r="J654" s="205"/>
      <c r="K654" s="205"/>
      <c r="L654" s="206"/>
      <c r="M654" s="206"/>
    </row>
    <row r="655">
      <c r="I655" s="205"/>
      <c r="J655" s="205"/>
      <c r="K655" s="205"/>
      <c r="L655" s="206"/>
      <c r="M655" s="206"/>
    </row>
    <row r="656">
      <c r="I656" s="205"/>
      <c r="J656" s="205"/>
      <c r="K656" s="205"/>
      <c r="L656" s="206"/>
      <c r="M656" s="206"/>
    </row>
    <row r="657">
      <c r="I657" s="205"/>
      <c r="J657" s="205"/>
      <c r="K657" s="205"/>
      <c r="L657" s="206"/>
      <c r="M657" s="206"/>
    </row>
    <row r="658">
      <c r="I658" s="205"/>
      <c r="J658" s="205"/>
      <c r="K658" s="205"/>
      <c r="L658" s="206"/>
      <c r="M658" s="206"/>
    </row>
    <row r="659">
      <c r="I659" s="205"/>
      <c r="J659" s="205"/>
      <c r="K659" s="205"/>
      <c r="L659" s="206"/>
      <c r="M659" s="206"/>
    </row>
    <row r="660">
      <c r="I660" s="205"/>
      <c r="J660" s="205"/>
      <c r="K660" s="205"/>
      <c r="L660" s="206"/>
      <c r="M660" s="206"/>
    </row>
    <row r="661">
      <c r="I661" s="205"/>
      <c r="J661" s="205"/>
      <c r="K661" s="205"/>
      <c r="L661" s="206"/>
      <c r="M661" s="206"/>
    </row>
    <row r="662">
      <c r="I662" s="205"/>
      <c r="J662" s="205"/>
      <c r="K662" s="205"/>
      <c r="L662" s="206"/>
      <c r="M662" s="206"/>
    </row>
    <row r="663">
      <c r="I663" s="205"/>
      <c r="J663" s="205"/>
      <c r="K663" s="205"/>
      <c r="L663" s="206"/>
      <c r="M663" s="206"/>
    </row>
    <row r="664">
      <c r="I664" s="205"/>
      <c r="J664" s="205"/>
      <c r="K664" s="205"/>
      <c r="L664" s="206"/>
      <c r="M664" s="206"/>
    </row>
    <row r="665">
      <c r="I665" s="205"/>
      <c r="J665" s="205"/>
      <c r="K665" s="205"/>
      <c r="L665" s="206"/>
      <c r="M665" s="206"/>
    </row>
    <row r="666">
      <c r="I666" s="205"/>
      <c r="J666" s="205"/>
      <c r="K666" s="205"/>
      <c r="L666" s="206"/>
      <c r="M666" s="206"/>
    </row>
    <row r="667">
      <c r="I667" s="205"/>
      <c r="J667" s="205"/>
      <c r="K667" s="205"/>
      <c r="L667" s="206"/>
      <c r="M667" s="206"/>
    </row>
    <row r="668">
      <c r="I668" s="205"/>
      <c r="J668" s="205"/>
      <c r="K668" s="205"/>
      <c r="L668" s="206"/>
      <c r="M668" s="206"/>
    </row>
    <row r="669">
      <c r="I669" s="205"/>
      <c r="J669" s="205"/>
      <c r="K669" s="205"/>
      <c r="L669" s="206"/>
      <c r="M669" s="206"/>
    </row>
    <row r="670">
      <c r="I670" s="205"/>
      <c r="J670" s="205"/>
      <c r="K670" s="205"/>
      <c r="L670" s="206"/>
      <c r="M670" s="206"/>
    </row>
    <row r="671">
      <c r="I671" s="205"/>
      <c r="J671" s="205"/>
      <c r="K671" s="205"/>
      <c r="L671" s="206"/>
      <c r="M671" s="206"/>
    </row>
    <row r="672">
      <c r="I672" s="205"/>
      <c r="J672" s="205"/>
      <c r="K672" s="205"/>
      <c r="L672" s="206"/>
      <c r="M672" s="206"/>
    </row>
    <row r="673">
      <c r="I673" s="205"/>
      <c r="J673" s="205"/>
      <c r="K673" s="205"/>
      <c r="L673" s="206"/>
      <c r="M673" s="206"/>
    </row>
    <row r="674">
      <c r="I674" s="205"/>
      <c r="J674" s="205"/>
      <c r="K674" s="205"/>
      <c r="L674" s="206"/>
      <c r="M674" s="206"/>
    </row>
    <row r="675">
      <c r="I675" s="205"/>
      <c r="J675" s="205"/>
      <c r="K675" s="205"/>
      <c r="L675" s="206"/>
      <c r="M675" s="206"/>
    </row>
    <row r="676">
      <c r="I676" s="205"/>
      <c r="J676" s="205"/>
      <c r="K676" s="205"/>
      <c r="L676" s="206"/>
      <c r="M676" s="206"/>
    </row>
    <row r="677">
      <c r="I677" s="205"/>
      <c r="J677" s="205"/>
      <c r="K677" s="205"/>
      <c r="L677" s="206"/>
      <c r="M677" s="206"/>
    </row>
    <row r="678">
      <c r="I678" s="205"/>
      <c r="J678" s="205"/>
      <c r="K678" s="205"/>
      <c r="L678" s="206"/>
      <c r="M678" s="206"/>
    </row>
    <row r="679">
      <c r="I679" s="205"/>
      <c r="J679" s="205"/>
      <c r="K679" s="205"/>
      <c r="L679" s="206"/>
      <c r="M679" s="206"/>
    </row>
    <row r="680">
      <c r="I680" s="205"/>
      <c r="J680" s="205"/>
      <c r="K680" s="205"/>
      <c r="L680" s="206"/>
      <c r="M680" s="206"/>
    </row>
    <row r="681">
      <c r="I681" s="205"/>
      <c r="J681" s="205"/>
      <c r="K681" s="205"/>
      <c r="L681" s="206"/>
      <c r="M681" s="206"/>
    </row>
    <row r="682">
      <c r="I682" s="205"/>
      <c r="J682" s="205"/>
      <c r="K682" s="205"/>
      <c r="L682" s="206"/>
      <c r="M682" s="206"/>
    </row>
    <row r="683">
      <c r="I683" s="205"/>
      <c r="J683" s="205"/>
      <c r="K683" s="205"/>
      <c r="L683" s="206"/>
      <c r="M683" s="206"/>
    </row>
    <row r="684">
      <c r="I684" s="205"/>
      <c r="J684" s="205"/>
      <c r="K684" s="205"/>
      <c r="L684" s="206"/>
      <c r="M684" s="206"/>
    </row>
    <row r="685">
      <c r="I685" s="205"/>
      <c r="J685" s="205"/>
      <c r="K685" s="205"/>
      <c r="L685" s="206"/>
      <c r="M685" s="206"/>
    </row>
    <row r="686">
      <c r="I686" s="205"/>
      <c r="J686" s="205"/>
      <c r="K686" s="205"/>
      <c r="L686" s="206"/>
      <c r="M686" s="206"/>
    </row>
    <row r="687">
      <c r="I687" s="205"/>
      <c r="J687" s="205"/>
      <c r="K687" s="205"/>
      <c r="L687" s="206"/>
      <c r="M687" s="206"/>
    </row>
    <row r="688">
      <c r="I688" s="205"/>
      <c r="J688" s="205"/>
      <c r="K688" s="205"/>
      <c r="L688" s="206"/>
      <c r="M688" s="206"/>
    </row>
    <row r="689">
      <c r="I689" s="205"/>
      <c r="J689" s="205"/>
      <c r="K689" s="205"/>
      <c r="L689" s="206"/>
      <c r="M689" s="206"/>
    </row>
    <row r="690">
      <c r="I690" s="205"/>
      <c r="J690" s="205"/>
      <c r="K690" s="205"/>
      <c r="L690" s="206"/>
      <c r="M690" s="206"/>
    </row>
    <row r="691">
      <c r="I691" s="205"/>
      <c r="J691" s="205"/>
      <c r="K691" s="205"/>
      <c r="L691" s="206"/>
      <c r="M691" s="206"/>
    </row>
    <row r="692">
      <c r="I692" s="205"/>
      <c r="J692" s="205"/>
      <c r="K692" s="205"/>
      <c r="L692" s="206"/>
      <c r="M692" s="206"/>
    </row>
    <row r="693">
      <c r="I693" s="205"/>
      <c r="J693" s="205"/>
      <c r="K693" s="205"/>
      <c r="L693" s="206"/>
      <c r="M693" s="206"/>
    </row>
    <row r="694">
      <c r="I694" s="205"/>
      <c r="J694" s="205"/>
      <c r="K694" s="205"/>
      <c r="L694" s="206"/>
      <c r="M694" s="206"/>
    </row>
    <row r="695">
      <c r="I695" s="205"/>
      <c r="J695" s="205"/>
      <c r="K695" s="205"/>
      <c r="L695" s="206"/>
      <c r="M695" s="206"/>
    </row>
    <row r="696">
      <c r="I696" s="205"/>
      <c r="J696" s="205"/>
      <c r="K696" s="205"/>
      <c r="L696" s="206"/>
      <c r="M696" s="206"/>
    </row>
    <row r="697">
      <c r="I697" s="205"/>
      <c r="J697" s="205"/>
      <c r="K697" s="205"/>
      <c r="L697" s="206"/>
      <c r="M697" s="206"/>
    </row>
    <row r="698">
      <c r="I698" s="205"/>
      <c r="J698" s="205"/>
      <c r="K698" s="205"/>
      <c r="L698" s="206"/>
      <c r="M698" s="206"/>
    </row>
    <row r="699">
      <c r="I699" s="205"/>
      <c r="J699" s="205"/>
      <c r="K699" s="205"/>
      <c r="L699" s="206"/>
      <c r="M699" s="206"/>
    </row>
    <row r="700">
      <c r="I700" s="205"/>
      <c r="J700" s="205"/>
      <c r="K700" s="205"/>
      <c r="L700" s="206"/>
      <c r="M700" s="206"/>
    </row>
    <row r="701">
      <c r="I701" s="205"/>
      <c r="J701" s="205"/>
      <c r="K701" s="205"/>
      <c r="L701" s="206"/>
      <c r="M701" s="206"/>
    </row>
    <row r="702">
      <c r="I702" s="205"/>
      <c r="J702" s="205"/>
      <c r="K702" s="205"/>
      <c r="L702" s="206"/>
      <c r="M702" s="206"/>
    </row>
    <row r="703">
      <c r="I703" s="205"/>
      <c r="J703" s="205"/>
      <c r="K703" s="205"/>
      <c r="L703" s="206"/>
      <c r="M703" s="206"/>
    </row>
    <row r="704">
      <c r="I704" s="205"/>
      <c r="J704" s="205"/>
      <c r="K704" s="205"/>
      <c r="L704" s="206"/>
      <c r="M704" s="206"/>
    </row>
    <row r="705">
      <c r="I705" s="205"/>
      <c r="J705" s="205"/>
      <c r="K705" s="205"/>
      <c r="L705" s="206"/>
      <c r="M705" s="206"/>
    </row>
    <row r="706">
      <c r="I706" s="205"/>
      <c r="J706" s="205"/>
      <c r="K706" s="205"/>
      <c r="L706" s="206"/>
      <c r="M706" s="206"/>
    </row>
    <row r="707">
      <c r="I707" s="205"/>
      <c r="J707" s="205"/>
      <c r="K707" s="205"/>
      <c r="L707" s="206"/>
      <c r="M707" s="206"/>
    </row>
    <row r="708">
      <c r="I708" s="205"/>
      <c r="J708" s="205"/>
      <c r="K708" s="205"/>
      <c r="L708" s="206"/>
      <c r="M708" s="206"/>
    </row>
    <row r="709">
      <c r="I709" s="205"/>
      <c r="J709" s="205"/>
      <c r="K709" s="205"/>
      <c r="L709" s="206"/>
      <c r="M709" s="206"/>
    </row>
    <row r="710">
      <c r="I710" s="205"/>
      <c r="J710" s="205"/>
      <c r="K710" s="205"/>
      <c r="L710" s="206"/>
      <c r="M710" s="206"/>
    </row>
    <row r="711">
      <c r="I711" s="205"/>
      <c r="J711" s="205"/>
      <c r="K711" s="205"/>
      <c r="L711" s="206"/>
      <c r="M711" s="206"/>
    </row>
    <row r="712">
      <c r="I712" s="205"/>
      <c r="J712" s="205"/>
      <c r="K712" s="205"/>
      <c r="L712" s="206"/>
      <c r="M712" s="206"/>
    </row>
    <row r="713">
      <c r="I713" s="205"/>
      <c r="J713" s="205"/>
      <c r="K713" s="205"/>
      <c r="L713" s="206"/>
      <c r="M713" s="206"/>
    </row>
    <row r="714">
      <c r="I714" s="205"/>
      <c r="J714" s="205"/>
      <c r="K714" s="205"/>
      <c r="L714" s="206"/>
      <c r="M714" s="206"/>
    </row>
    <row r="715">
      <c r="I715" s="205"/>
      <c r="J715" s="205"/>
      <c r="K715" s="205"/>
      <c r="L715" s="206"/>
      <c r="M715" s="206"/>
    </row>
    <row r="716">
      <c r="I716" s="205"/>
      <c r="J716" s="205"/>
      <c r="K716" s="205"/>
      <c r="L716" s="206"/>
      <c r="M716" s="206"/>
    </row>
    <row r="717">
      <c r="I717" s="205"/>
      <c r="J717" s="205"/>
      <c r="K717" s="205"/>
      <c r="L717" s="206"/>
      <c r="M717" s="206"/>
    </row>
    <row r="718">
      <c r="I718" s="205"/>
      <c r="J718" s="205"/>
      <c r="K718" s="205"/>
      <c r="L718" s="206"/>
      <c r="M718" s="206"/>
    </row>
    <row r="719">
      <c r="I719" s="205"/>
      <c r="J719" s="205"/>
      <c r="K719" s="205"/>
      <c r="L719" s="206"/>
      <c r="M719" s="206"/>
    </row>
    <row r="720">
      <c r="I720" s="205"/>
      <c r="J720" s="205"/>
      <c r="K720" s="205"/>
      <c r="L720" s="206"/>
      <c r="M720" s="206"/>
    </row>
    <row r="721">
      <c r="I721" s="205"/>
      <c r="J721" s="205"/>
      <c r="K721" s="205"/>
      <c r="L721" s="206"/>
      <c r="M721" s="206"/>
    </row>
    <row r="722">
      <c r="I722" s="205"/>
      <c r="J722" s="205"/>
      <c r="K722" s="205"/>
      <c r="L722" s="206"/>
      <c r="M722" s="206"/>
    </row>
    <row r="723">
      <c r="I723" s="205"/>
      <c r="J723" s="205"/>
      <c r="K723" s="205"/>
      <c r="L723" s="206"/>
      <c r="M723" s="206"/>
    </row>
    <row r="724">
      <c r="I724" s="205"/>
      <c r="J724" s="205"/>
      <c r="K724" s="205"/>
      <c r="L724" s="206"/>
      <c r="M724" s="206"/>
    </row>
    <row r="725">
      <c r="I725" s="205"/>
      <c r="J725" s="205"/>
      <c r="K725" s="205"/>
      <c r="L725" s="206"/>
      <c r="M725" s="206"/>
    </row>
    <row r="726">
      <c r="I726" s="205"/>
      <c r="J726" s="205"/>
      <c r="K726" s="205"/>
      <c r="L726" s="206"/>
      <c r="M726" s="206"/>
    </row>
    <row r="727">
      <c r="I727" s="205"/>
      <c r="J727" s="205"/>
      <c r="K727" s="205"/>
      <c r="L727" s="206"/>
      <c r="M727" s="206"/>
    </row>
    <row r="728">
      <c r="I728" s="205"/>
      <c r="J728" s="205"/>
      <c r="K728" s="205"/>
      <c r="L728" s="206"/>
      <c r="M728" s="206"/>
    </row>
    <row r="729">
      <c r="I729" s="205"/>
      <c r="J729" s="205"/>
      <c r="K729" s="205"/>
      <c r="L729" s="206"/>
      <c r="M729" s="206"/>
    </row>
    <row r="730">
      <c r="I730" s="205"/>
      <c r="J730" s="205"/>
      <c r="K730" s="205"/>
      <c r="L730" s="206"/>
      <c r="M730" s="206"/>
    </row>
    <row r="731">
      <c r="I731" s="205"/>
      <c r="J731" s="205"/>
      <c r="K731" s="205"/>
      <c r="L731" s="206"/>
      <c r="M731" s="206"/>
    </row>
    <row r="732">
      <c r="I732" s="205"/>
      <c r="J732" s="205"/>
      <c r="K732" s="205"/>
      <c r="L732" s="206"/>
      <c r="M732" s="206"/>
    </row>
    <row r="733">
      <c r="I733" s="205"/>
      <c r="J733" s="205"/>
      <c r="K733" s="205"/>
      <c r="L733" s="206"/>
      <c r="M733" s="206"/>
    </row>
    <row r="734">
      <c r="I734" s="205"/>
      <c r="J734" s="205"/>
      <c r="K734" s="205"/>
      <c r="L734" s="206"/>
      <c r="M734" s="206"/>
    </row>
    <row r="735">
      <c r="I735" s="205"/>
      <c r="J735" s="205"/>
      <c r="K735" s="205"/>
      <c r="L735" s="206"/>
      <c r="M735" s="206"/>
    </row>
    <row r="736">
      <c r="I736" s="205"/>
      <c r="J736" s="205"/>
      <c r="K736" s="205"/>
      <c r="L736" s="206"/>
      <c r="M736" s="206"/>
    </row>
    <row r="737">
      <c r="I737" s="205"/>
      <c r="J737" s="205"/>
      <c r="K737" s="205"/>
      <c r="L737" s="206"/>
      <c r="M737" s="206"/>
    </row>
    <row r="738">
      <c r="I738" s="205"/>
      <c r="J738" s="205"/>
      <c r="K738" s="205"/>
      <c r="L738" s="206"/>
      <c r="M738" s="206"/>
    </row>
    <row r="739">
      <c r="I739" s="205"/>
      <c r="J739" s="205"/>
      <c r="K739" s="205"/>
      <c r="L739" s="206"/>
      <c r="M739" s="206"/>
    </row>
    <row r="740">
      <c r="I740" s="205"/>
      <c r="J740" s="205"/>
      <c r="K740" s="205"/>
      <c r="L740" s="206"/>
      <c r="M740" s="206"/>
    </row>
    <row r="741">
      <c r="I741" s="205"/>
      <c r="J741" s="205"/>
      <c r="K741" s="205"/>
      <c r="L741" s="206"/>
      <c r="M741" s="206"/>
    </row>
    <row r="742">
      <c r="I742" s="205"/>
      <c r="J742" s="205"/>
      <c r="K742" s="205"/>
      <c r="L742" s="206"/>
      <c r="M742" s="206"/>
    </row>
    <row r="743">
      <c r="I743" s="205"/>
      <c r="J743" s="205"/>
      <c r="K743" s="205"/>
      <c r="L743" s="206"/>
      <c r="M743" s="206"/>
    </row>
    <row r="744">
      <c r="I744" s="205"/>
      <c r="J744" s="205"/>
      <c r="K744" s="205"/>
      <c r="L744" s="206"/>
      <c r="M744" s="206"/>
    </row>
    <row r="745">
      <c r="I745" s="205"/>
      <c r="J745" s="205"/>
      <c r="K745" s="205"/>
      <c r="L745" s="206"/>
      <c r="M745" s="206"/>
    </row>
    <row r="746">
      <c r="I746" s="205"/>
      <c r="J746" s="205"/>
      <c r="K746" s="205"/>
      <c r="L746" s="206"/>
      <c r="M746" s="206"/>
    </row>
    <row r="747">
      <c r="I747" s="205"/>
      <c r="J747" s="205"/>
      <c r="K747" s="205"/>
      <c r="L747" s="206"/>
      <c r="M747" s="206"/>
    </row>
    <row r="748">
      <c r="I748" s="205"/>
      <c r="J748" s="205"/>
      <c r="K748" s="205"/>
      <c r="L748" s="206"/>
      <c r="M748" s="206"/>
    </row>
    <row r="749">
      <c r="I749" s="205"/>
      <c r="J749" s="205"/>
      <c r="K749" s="205"/>
      <c r="L749" s="206"/>
      <c r="M749" s="206"/>
    </row>
    <row r="750">
      <c r="I750" s="205"/>
      <c r="J750" s="205"/>
      <c r="K750" s="205"/>
      <c r="L750" s="206"/>
      <c r="M750" s="206"/>
    </row>
    <row r="751">
      <c r="I751" s="205"/>
      <c r="J751" s="205"/>
      <c r="K751" s="205"/>
      <c r="L751" s="206"/>
      <c r="M751" s="206"/>
    </row>
    <row r="752">
      <c r="I752" s="205"/>
      <c r="J752" s="205"/>
      <c r="K752" s="205"/>
      <c r="L752" s="206"/>
      <c r="M752" s="206"/>
    </row>
    <row r="753">
      <c r="I753" s="205"/>
      <c r="J753" s="205"/>
      <c r="K753" s="205"/>
      <c r="L753" s="206"/>
      <c r="M753" s="206"/>
    </row>
    <row r="754">
      <c r="I754" s="205"/>
      <c r="J754" s="205"/>
      <c r="K754" s="205"/>
      <c r="L754" s="206"/>
      <c r="M754" s="206"/>
    </row>
    <row r="755">
      <c r="I755" s="205"/>
      <c r="J755" s="205"/>
      <c r="K755" s="205"/>
      <c r="L755" s="206"/>
      <c r="M755" s="206"/>
    </row>
    <row r="756">
      <c r="I756" s="205"/>
      <c r="J756" s="205"/>
      <c r="K756" s="205"/>
      <c r="L756" s="206"/>
      <c r="M756" s="206"/>
    </row>
    <row r="757">
      <c r="I757" s="205"/>
      <c r="J757" s="205"/>
      <c r="K757" s="205"/>
      <c r="L757" s="206"/>
      <c r="M757" s="206"/>
    </row>
    <row r="758">
      <c r="I758" s="205"/>
      <c r="J758" s="205"/>
      <c r="K758" s="205"/>
      <c r="L758" s="206"/>
      <c r="M758" s="206"/>
    </row>
    <row r="759">
      <c r="I759" s="205"/>
      <c r="J759" s="205"/>
      <c r="K759" s="205"/>
      <c r="L759" s="206"/>
      <c r="M759" s="206"/>
    </row>
    <row r="760">
      <c r="I760" s="205"/>
      <c r="J760" s="205"/>
      <c r="K760" s="205"/>
      <c r="L760" s="206"/>
      <c r="M760" s="206"/>
    </row>
    <row r="761">
      <c r="I761" s="205"/>
      <c r="J761" s="205"/>
      <c r="K761" s="205"/>
      <c r="L761" s="206"/>
      <c r="M761" s="206"/>
    </row>
    <row r="762">
      <c r="I762" s="205"/>
      <c r="J762" s="205"/>
      <c r="K762" s="205"/>
      <c r="L762" s="206"/>
      <c r="M762" s="206"/>
    </row>
    <row r="763">
      <c r="I763" s="205"/>
      <c r="J763" s="205"/>
      <c r="K763" s="205"/>
      <c r="L763" s="206"/>
      <c r="M763" s="206"/>
    </row>
    <row r="764">
      <c r="I764" s="205"/>
      <c r="J764" s="205"/>
      <c r="K764" s="205"/>
      <c r="L764" s="206"/>
      <c r="M764" s="206"/>
    </row>
    <row r="765">
      <c r="I765" s="205"/>
      <c r="J765" s="205"/>
      <c r="K765" s="205"/>
      <c r="L765" s="206"/>
      <c r="M765" s="206"/>
    </row>
    <row r="766">
      <c r="I766" s="205"/>
      <c r="J766" s="205"/>
      <c r="K766" s="205"/>
      <c r="L766" s="206"/>
      <c r="M766" s="206"/>
    </row>
    <row r="767">
      <c r="I767" s="205"/>
      <c r="J767" s="205"/>
      <c r="K767" s="205"/>
      <c r="L767" s="206"/>
      <c r="M767" s="206"/>
    </row>
    <row r="768">
      <c r="I768" s="205"/>
      <c r="J768" s="205"/>
      <c r="K768" s="205"/>
      <c r="L768" s="206"/>
      <c r="M768" s="206"/>
    </row>
    <row r="769">
      <c r="I769" s="205"/>
      <c r="J769" s="205"/>
      <c r="K769" s="205"/>
      <c r="L769" s="206"/>
      <c r="M769" s="206"/>
    </row>
    <row r="770">
      <c r="I770" s="205"/>
      <c r="J770" s="205"/>
      <c r="K770" s="205"/>
      <c r="L770" s="206"/>
      <c r="M770" s="206"/>
    </row>
    <row r="771">
      <c r="I771" s="205"/>
      <c r="J771" s="205"/>
      <c r="K771" s="205"/>
      <c r="L771" s="206"/>
      <c r="M771" s="206"/>
    </row>
    <row r="772">
      <c r="I772" s="205"/>
      <c r="J772" s="205"/>
      <c r="K772" s="205"/>
      <c r="L772" s="206"/>
      <c r="M772" s="206"/>
    </row>
    <row r="773">
      <c r="I773" s="205"/>
      <c r="J773" s="205"/>
      <c r="K773" s="205"/>
      <c r="L773" s="206"/>
      <c r="M773" s="206"/>
    </row>
    <row r="774">
      <c r="I774" s="205"/>
      <c r="J774" s="205"/>
      <c r="K774" s="205"/>
      <c r="L774" s="206"/>
      <c r="M774" s="206"/>
    </row>
    <row r="775">
      <c r="I775" s="205"/>
      <c r="J775" s="205"/>
      <c r="K775" s="205"/>
      <c r="L775" s="206"/>
      <c r="M775" s="206"/>
    </row>
    <row r="776">
      <c r="I776" s="205"/>
      <c r="J776" s="205"/>
      <c r="K776" s="205"/>
      <c r="L776" s="206"/>
      <c r="M776" s="206"/>
    </row>
    <row r="777">
      <c r="I777" s="205"/>
      <c r="J777" s="205"/>
      <c r="K777" s="205"/>
      <c r="L777" s="206"/>
      <c r="M777" s="206"/>
    </row>
    <row r="778">
      <c r="I778" s="205"/>
      <c r="J778" s="205"/>
      <c r="K778" s="205"/>
      <c r="L778" s="206"/>
      <c r="M778" s="206"/>
    </row>
    <row r="779">
      <c r="I779" s="205"/>
      <c r="J779" s="205"/>
      <c r="K779" s="205"/>
      <c r="L779" s="206"/>
      <c r="M779" s="206"/>
    </row>
    <row r="780">
      <c r="I780" s="205"/>
      <c r="J780" s="205"/>
      <c r="K780" s="205"/>
      <c r="L780" s="206"/>
      <c r="M780" s="206"/>
    </row>
    <row r="781">
      <c r="I781" s="205"/>
      <c r="J781" s="205"/>
      <c r="K781" s="205"/>
      <c r="L781" s="206"/>
      <c r="M781" s="206"/>
    </row>
    <row r="782">
      <c r="I782" s="205"/>
      <c r="J782" s="205"/>
      <c r="K782" s="205"/>
      <c r="L782" s="206"/>
      <c r="M782" s="206"/>
    </row>
    <row r="783">
      <c r="I783" s="205"/>
      <c r="J783" s="205"/>
      <c r="K783" s="205"/>
      <c r="L783" s="206"/>
      <c r="M783" s="206"/>
    </row>
    <row r="784">
      <c r="I784" s="205"/>
      <c r="J784" s="205"/>
      <c r="K784" s="205"/>
      <c r="L784" s="206"/>
      <c r="M784" s="206"/>
    </row>
    <row r="785">
      <c r="I785" s="205"/>
      <c r="J785" s="205"/>
      <c r="K785" s="205"/>
      <c r="L785" s="206"/>
      <c r="M785" s="206"/>
    </row>
    <row r="786">
      <c r="I786" s="205"/>
      <c r="J786" s="205"/>
      <c r="K786" s="205"/>
      <c r="L786" s="206"/>
      <c r="M786" s="206"/>
    </row>
    <row r="787">
      <c r="I787" s="205"/>
      <c r="J787" s="205"/>
      <c r="K787" s="205"/>
      <c r="L787" s="206"/>
      <c r="M787" s="206"/>
    </row>
    <row r="788">
      <c r="I788" s="205"/>
      <c r="J788" s="205"/>
      <c r="K788" s="205"/>
      <c r="L788" s="206"/>
      <c r="M788" s="206"/>
    </row>
    <row r="789">
      <c r="I789" s="205"/>
      <c r="J789" s="205"/>
      <c r="K789" s="205"/>
      <c r="L789" s="206"/>
      <c r="M789" s="206"/>
    </row>
    <row r="790">
      <c r="I790" s="205"/>
      <c r="J790" s="205"/>
      <c r="K790" s="205"/>
      <c r="L790" s="206"/>
      <c r="M790" s="206"/>
    </row>
    <row r="791">
      <c r="I791" s="205"/>
      <c r="J791" s="205"/>
      <c r="K791" s="205"/>
      <c r="L791" s="206"/>
      <c r="M791" s="206"/>
    </row>
    <row r="792">
      <c r="I792" s="205"/>
      <c r="J792" s="205"/>
      <c r="K792" s="205"/>
      <c r="L792" s="206"/>
      <c r="M792" s="206"/>
    </row>
    <row r="793">
      <c r="I793" s="205"/>
      <c r="J793" s="205"/>
      <c r="K793" s="205"/>
      <c r="L793" s="206"/>
      <c r="M793" s="206"/>
    </row>
    <row r="794">
      <c r="I794" s="205"/>
      <c r="J794" s="205"/>
      <c r="K794" s="205"/>
      <c r="L794" s="206"/>
      <c r="M794" s="206"/>
    </row>
    <row r="795">
      <c r="I795" s="205"/>
      <c r="J795" s="205"/>
      <c r="K795" s="205"/>
      <c r="L795" s="206"/>
      <c r="M795" s="206"/>
    </row>
    <row r="796">
      <c r="I796" s="205"/>
      <c r="J796" s="205"/>
      <c r="K796" s="205"/>
      <c r="L796" s="206"/>
      <c r="M796" s="206"/>
    </row>
    <row r="797">
      <c r="I797" s="205"/>
      <c r="J797" s="205"/>
      <c r="K797" s="205"/>
      <c r="L797" s="206"/>
      <c r="M797" s="206"/>
    </row>
    <row r="798">
      <c r="I798" s="205"/>
      <c r="J798" s="205"/>
      <c r="K798" s="205"/>
      <c r="L798" s="206"/>
      <c r="M798" s="206"/>
    </row>
    <row r="799">
      <c r="I799" s="205"/>
      <c r="J799" s="205"/>
      <c r="K799" s="205"/>
      <c r="L799" s="206"/>
      <c r="M799" s="206"/>
    </row>
    <row r="800">
      <c r="I800" s="205"/>
      <c r="J800" s="205"/>
      <c r="K800" s="205"/>
      <c r="L800" s="206"/>
      <c r="M800" s="206"/>
    </row>
    <row r="801">
      <c r="I801" s="205"/>
      <c r="J801" s="205"/>
      <c r="K801" s="205"/>
      <c r="L801" s="206"/>
      <c r="M801" s="206"/>
    </row>
    <row r="802">
      <c r="I802" s="205"/>
      <c r="J802" s="205"/>
      <c r="K802" s="205"/>
      <c r="L802" s="206"/>
      <c r="M802" s="206"/>
    </row>
    <row r="803">
      <c r="I803" s="205"/>
      <c r="J803" s="205"/>
      <c r="K803" s="205"/>
      <c r="L803" s="206"/>
      <c r="M803" s="206"/>
    </row>
    <row r="804">
      <c r="I804" s="205"/>
      <c r="J804" s="205"/>
      <c r="K804" s="205"/>
      <c r="L804" s="206"/>
      <c r="M804" s="206"/>
    </row>
    <row r="805">
      <c r="I805" s="205"/>
      <c r="J805" s="205"/>
      <c r="K805" s="205"/>
      <c r="L805" s="206"/>
      <c r="M805" s="206"/>
    </row>
    <row r="806">
      <c r="I806" s="205"/>
      <c r="J806" s="205"/>
      <c r="K806" s="205"/>
      <c r="L806" s="206"/>
      <c r="M806" s="206"/>
    </row>
    <row r="807">
      <c r="I807" s="205"/>
      <c r="J807" s="205"/>
      <c r="K807" s="205"/>
      <c r="L807" s="206"/>
      <c r="M807" s="206"/>
    </row>
    <row r="808">
      <c r="I808" s="205"/>
      <c r="J808" s="205"/>
      <c r="K808" s="205"/>
      <c r="L808" s="206"/>
      <c r="M808" s="206"/>
    </row>
    <row r="809">
      <c r="I809" s="205"/>
      <c r="J809" s="205"/>
      <c r="K809" s="205"/>
      <c r="L809" s="206"/>
      <c r="M809" s="206"/>
    </row>
    <row r="810">
      <c r="I810" s="205"/>
      <c r="J810" s="205"/>
      <c r="K810" s="205"/>
      <c r="L810" s="206"/>
      <c r="M810" s="206"/>
    </row>
    <row r="811">
      <c r="I811" s="205"/>
      <c r="J811" s="205"/>
      <c r="K811" s="205"/>
      <c r="L811" s="206"/>
      <c r="M811" s="206"/>
    </row>
    <row r="812">
      <c r="I812" s="205"/>
      <c r="J812" s="205"/>
      <c r="K812" s="205"/>
      <c r="L812" s="206"/>
      <c r="M812" s="206"/>
    </row>
    <row r="813">
      <c r="I813" s="205"/>
      <c r="J813" s="205"/>
      <c r="K813" s="205"/>
      <c r="L813" s="206"/>
      <c r="M813" s="206"/>
    </row>
    <row r="814">
      <c r="I814" s="205"/>
      <c r="J814" s="205"/>
      <c r="K814" s="205"/>
      <c r="L814" s="206"/>
      <c r="M814" s="206"/>
    </row>
    <row r="815">
      <c r="I815" s="205"/>
      <c r="J815" s="205"/>
      <c r="K815" s="205"/>
      <c r="L815" s="206"/>
      <c r="M815" s="206"/>
    </row>
    <row r="816">
      <c r="I816" s="205"/>
      <c r="J816" s="205"/>
      <c r="K816" s="205"/>
      <c r="L816" s="206"/>
      <c r="M816" s="206"/>
    </row>
    <row r="817">
      <c r="I817" s="205"/>
      <c r="J817" s="205"/>
      <c r="K817" s="205"/>
      <c r="L817" s="206"/>
      <c r="M817" s="206"/>
    </row>
    <row r="818">
      <c r="I818" s="205"/>
      <c r="J818" s="205"/>
      <c r="K818" s="205"/>
      <c r="L818" s="206"/>
      <c r="M818" s="206"/>
    </row>
    <row r="819">
      <c r="I819" s="205"/>
      <c r="J819" s="205"/>
      <c r="K819" s="205"/>
      <c r="L819" s="206"/>
      <c r="M819" s="206"/>
    </row>
    <row r="820">
      <c r="I820" s="205"/>
      <c r="J820" s="205"/>
      <c r="K820" s="205"/>
      <c r="L820" s="206"/>
      <c r="M820" s="206"/>
    </row>
    <row r="821">
      <c r="I821" s="205"/>
      <c r="J821" s="205"/>
      <c r="K821" s="205"/>
      <c r="L821" s="206"/>
      <c r="M821" s="206"/>
    </row>
    <row r="822">
      <c r="I822" s="205"/>
      <c r="J822" s="205"/>
      <c r="K822" s="205"/>
      <c r="L822" s="206"/>
      <c r="M822" s="206"/>
    </row>
    <row r="823">
      <c r="I823" s="205"/>
      <c r="J823" s="205"/>
      <c r="K823" s="205"/>
      <c r="L823" s="206"/>
      <c r="M823" s="206"/>
    </row>
    <row r="824">
      <c r="I824" s="205"/>
      <c r="J824" s="205"/>
      <c r="K824" s="205"/>
      <c r="L824" s="206"/>
      <c r="M824" s="206"/>
    </row>
    <row r="825">
      <c r="I825" s="205"/>
      <c r="J825" s="205"/>
      <c r="K825" s="205"/>
      <c r="L825" s="206"/>
      <c r="M825" s="206"/>
    </row>
    <row r="826">
      <c r="I826" s="205"/>
      <c r="J826" s="205"/>
      <c r="K826" s="205"/>
      <c r="L826" s="206"/>
      <c r="M826" s="206"/>
    </row>
    <row r="827">
      <c r="I827" s="205"/>
      <c r="J827" s="205"/>
      <c r="K827" s="205"/>
      <c r="L827" s="206"/>
      <c r="M827" s="206"/>
    </row>
    <row r="828">
      <c r="I828" s="205"/>
      <c r="J828" s="205"/>
      <c r="K828" s="205"/>
      <c r="L828" s="206"/>
      <c r="M828" s="206"/>
    </row>
    <row r="829">
      <c r="I829" s="205"/>
      <c r="J829" s="205"/>
      <c r="K829" s="205"/>
      <c r="L829" s="206"/>
      <c r="M829" s="206"/>
    </row>
    <row r="830">
      <c r="I830" s="205"/>
      <c r="J830" s="205"/>
      <c r="K830" s="205"/>
      <c r="L830" s="206"/>
      <c r="M830" s="206"/>
    </row>
    <row r="831">
      <c r="I831" s="205"/>
      <c r="J831" s="205"/>
      <c r="K831" s="205"/>
      <c r="L831" s="206"/>
      <c r="M831" s="206"/>
    </row>
    <row r="832">
      <c r="I832" s="205"/>
      <c r="J832" s="205"/>
      <c r="K832" s="205"/>
      <c r="L832" s="206"/>
      <c r="M832" s="206"/>
    </row>
    <row r="833">
      <c r="I833" s="205"/>
      <c r="J833" s="205"/>
      <c r="K833" s="205"/>
      <c r="L833" s="206"/>
      <c r="M833" s="206"/>
    </row>
    <row r="834">
      <c r="I834" s="205"/>
      <c r="J834" s="205"/>
      <c r="K834" s="205"/>
      <c r="L834" s="206"/>
      <c r="M834" s="206"/>
    </row>
    <row r="835">
      <c r="I835" s="205"/>
      <c r="J835" s="205"/>
      <c r="K835" s="205"/>
      <c r="L835" s="206"/>
      <c r="M835" s="206"/>
    </row>
    <row r="836">
      <c r="I836" s="205"/>
      <c r="J836" s="205"/>
      <c r="K836" s="205"/>
      <c r="L836" s="206"/>
      <c r="M836" s="206"/>
    </row>
    <row r="837">
      <c r="I837" s="205"/>
      <c r="J837" s="205"/>
      <c r="K837" s="205"/>
      <c r="L837" s="206"/>
      <c r="M837" s="206"/>
    </row>
    <row r="838">
      <c r="I838" s="205"/>
      <c r="J838" s="205"/>
      <c r="K838" s="205"/>
      <c r="L838" s="206"/>
      <c r="M838" s="206"/>
    </row>
    <row r="839">
      <c r="I839" s="205"/>
      <c r="J839" s="205"/>
      <c r="K839" s="205"/>
      <c r="L839" s="206"/>
      <c r="M839" s="206"/>
    </row>
    <row r="840">
      <c r="I840" s="205"/>
      <c r="J840" s="205"/>
      <c r="K840" s="205"/>
      <c r="L840" s="206"/>
      <c r="M840" s="206"/>
    </row>
    <row r="841">
      <c r="I841" s="205"/>
      <c r="J841" s="205"/>
      <c r="K841" s="205"/>
      <c r="L841" s="206"/>
      <c r="M841" s="206"/>
    </row>
    <row r="842">
      <c r="I842" s="205"/>
      <c r="J842" s="205"/>
      <c r="K842" s="205"/>
      <c r="L842" s="206"/>
      <c r="M842" s="206"/>
    </row>
    <row r="843">
      <c r="I843" s="205"/>
      <c r="J843" s="205"/>
      <c r="K843" s="205"/>
      <c r="L843" s="206"/>
      <c r="M843" s="206"/>
    </row>
    <row r="844">
      <c r="I844" s="205"/>
      <c r="J844" s="205"/>
      <c r="K844" s="205"/>
      <c r="L844" s="206"/>
      <c r="M844" s="206"/>
    </row>
    <row r="845">
      <c r="I845" s="205"/>
      <c r="J845" s="205"/>
      <c r="K845" s="205"/>
      <c r="L845" s="206"/>
      <c r="M845" s="206"/>
    </row>
    <row r="846">
      <c r="I846" s="205"/>
      <c r="J846" s="205"/>
      <c r="K846" s="205"/>
      <c r="L846" s="206"/>
      <c r="M846" s="206"/>
    </row>
    <row r="847">
      <c r="I847" s="205"/>
      <c r="J847" s="205"/>
      <c r="K847" s="205"/>
      <c r="L847" s="206"/>
      <c r="M847" s="206"/>
    </row>
    <row r="848">
      <c r="I848" s="205"/>
      <c r="J848" s="205"/>
      <c r="K848" s="205"/>
      <c r="L848" s="206"/>
      <c r="M848" s="206"/>
    </row>
    <row r="849">
      <c r="I849" s="205"/>
      <c r="J849" s="205"/>
      <c r="K849" s="205"/>
      <c r="L849" s="206"/>
      <c r="M849" s="206"/>
    </row>
    <row r="850">
      <c r="I850" s="205"/>
      <c r="J850" s="205"/>
      <c r="K850" s="205"/>
      <c r="L850" s="206"/>
      <c r="M850" s="206"/>
    </row>
    <row r="851">
      <c r="I851" s="205"/>
      <c r="J851" s="205"/>
      <c r="K851" s="205"/>
      <c r="L851" s="206"/>
      <c r="M851" s="206"/>
    </row>
    <row r="852">
      <c r="I852" s="205"/>
      <c r="J852" s="205"/>
      <c r="K852" s="205"/>
      <c r="L852" s="206"/>
      <c r="M852" s="206"/>
    </row>
    <row r="853">
      <c r="I853" s="205"/>
      <c r="J853" s="205"/>
      <c r="K853" s="205"/>
      <c r="L853" s="206"/>
      <c r="M853" s="206"/>
    </row>
    <row r="854">
      <c r="I854" s="205"/>
      <c r="J854" s="205"/>
      <c r="K854" s="205"/>
      <c r="L854" s="206"/>
      <c r="M854" s="206"/>
    </row>
    <row r="855">
      <c r="I855" s="205"/>
      <c r="J855" s="205"/>
      <c r="K855" s="205"/>
      <c r="L855" s="206"/>
      <c r="M855" s="206"/>
    </row>
    <row r="856">
      <c r="I856" s="205"/>
      <c r="J856" s="205"/>
      <c r="K856" s="205"/>
      <c r="L856" s="206"/>
      <c r="M856" s="206"/>
    </row>
    <row r="857">
      <c r="I857" s="205"/>
      <c r="J857" s="205"/>
      <c r="K857" s="205"/>
      <c r="L857" s="206"/>
      <c r="M857" s="206"/>
    </row>
    <row r="858">
      <c r="I858" s="205"/>
      <c r="J858" s="205"/>
      <c r="K858" s="205"/>
      <c r="L858" s="206"/>
      <c r="M858" s="206"/>
    </row>
    <row r="859">
      <c r="I859" s="205"/>
      <c r="J859" s="205"/>
      <c r="K859" s="205"/>
      <c r="L859" s="206"/>
      <c r="M859" s="206"/>
    </row>
    <row r="860">
      <c r="I860" s="205"/>
      <c r="J860" s="205"/>
      <c r="K860" s="205"/>
      <c r="L860" s="206"/>
      <c r="M860" s="206"/>
    </row>
    <row r="861">
      <c r="I861" s="205"/>
      <c r="J861" s="205"/>
      <c r="K861" s="205"/>
      <c r="L861" s="206"/>
      <c r="M861" s="206"/>
    </row>
    <row r="862">
      <c r="I862" s="205"/>
      <c r="J862" s="205"/>
      <c r="K862" s="205"/>
      <c r="L862" s="206"/>
      <c r="M862" s="206"/>
    </row>
    <row r="863">
      <c r="I863" s="205"/>
      <c r="J863" s="205"/>
      <c r="K863" s="205"/>
      <c r="L863" s="206"/>
      <c r="M863" s="206"/>
    </row>
    <row r="864">
      <c r="I864" s="205"/>
      <c r="J864" s="205"/>
      <c r="K864" s="205"/>
      <c r="L864" s="206"/>
      <c r="M864" s="206"/>
    </row>
    <row r="865">
      <c r="I865" s="205"/>
      <c r="J865" s="205"/>
      <c r="K865" s="205"/>
      <c r="L865" s="206"/>
      <c r="M865" s="206"/>
    </row>
    <row r="866">
      <c r="I866" s="205"/>
      <c r="J866" s="205"/>
      <c r="K866" s="205"/>
      <c r="L866" s="206"/>
      <c r="M866" s="206"/>
    </row>
    <row r="867">
      <c r="I867" s="205"/>
      <c r="J867" s="205"/>
      <c r="K867" s="205"/>
      <c r="L867" s="206"/>
      <c r="M867" s="206"/>
    </row>
    <row r="868">
      <c r="I868" s="205"/>
      <c r="J868" s="205"/>
      <c r="K868" s="205"/>
      <c r="L868" s="206"/>
      <c r="M868" s="206"/>
    </row>
    <row r="869">
      <c r="I869" s="205"/>
      <c r="J869" s="205"/>
      <c r="K869" s="205"/>
      <c r="L869" s="206"/>
      <c r="M869" s="206"/>
    </row>
    <row r="870">
      <c r="I870" s="205"/>
      <c r="J870" s="205"/>
      <c r="K870" s="205"/>
      <c r="L870" s="206"/>
      <c r="M870" s="206"/>
    </row>
    <row r="871">
      <c r="I871" s="205"/>
      <c r="J871" s="205"/>
      <c r="K871" s="205"/>
      <c r="L871" s="206"/>
      <c r="M871" s="206"/>
    </row>
    <row r="872">
      <c r="I872" s="205"/>
      <c r="J872" s="205"/>
      <c r="K872" s="205"/>
      <c r="L872" s="206"/>
      <c r="M872" s="206"/>
    </row>
    <row r="873">
      <c r="I873" s="205"/>
      <c r="J873" s="205"/>
      <c r="K873" s="205"/>
      <c r="L873" s="206"/>
      <c r="M873" s="206"/>
    </row>
    <row r="874">
      <c r="I874" s="205"/>
      <c r="J874" s="205"/>
      <c r="K874" s="205"/>
      <c r="L874" s="206"/>
      <c r="M874" s="206"/>
    </row>
    <row r="875">
      <c r="I875" s="205"/>
      <c r="J875" s="205"/>
      <c r="K875" s="205"/>
      <c r="L875" s="206"/>
      <c r="M875" s="206"/>
    </row>
    <row r="876">
      <c r="I876" s="205"/>
      <c r="J876" s="205"/>
      <c r="K876" s="205"/>
      <c r="L876" s="206"/>
      <c r="M876" s="206"/>
    </row>
    <row r="877">
      <c r="I877" s="205"/>
      <c r="J877" s="205"/>
      <c r="K877" s="205"/>
      <c r="L877" s="206"/>
      <c r="M877" s="206"/>
    </row>
    <row r="878">
      <c r="I878" s="205"/>
      <c r="J878" s="205"/>
      <c r="K878" s="205"/>
      <c r="L878" s="206"/>
      <c r="M878" s="206"/>
    </row>
    <row r="879">
      <c r="I879" s="205"/>
      <c r="J879" s="205"/>
      <c r="K879" s="205"/>
      <c r="L879" s="206"/>
      <c r="M879" s="206"/>
    </row>
    <row r="880">
      <c r="I880" s="205"/>
      <c r="J880" s="205"/>
      <c r="K880" s="205"/>
      <c r="L880" s="206"/>
      <c r="M880" s="206"/>
    </row>
    <row r="881">
      <c r="I881" s="205"/>
      <c r="J881" s="205"/>
      <c r="K881" s="205"/>
      <c r="L881" s="206"/>
      <c r="M881" s="206"/>
    </row>
    <row r="882">
      <c r="I882" s="205"/>
      <c r="J882" s="205"/>
      <c r="K882" s="205"/>
      <c r="L882" s="206"/>
      <c r="M882" s="206"/>
    </row>
    <row r="883">
      <c r="I883" s="205"/>
      <c r="J883" s="205"/>
      <c r="K883" s="205"/>
      <c r="L883" s="206"/>
      <c r="M883" s="206"/>
    </row>
    <row r="884">
      <c r="I884" s="205"/>
      <c r="J884" s="205"/>
      <c r="K884" s="205"/>
      <c r="L884" s="206"/>
      <c r="M884" s="206"/>
    </row>
    <row r="885">
      <c r="I885" s="205"/>
      <c r="J885" s="205"/>
      <c r="K885" s="205"/>
      <c r="L885" s="206"/>
      <c r="M885" s="206"/>
    </row>
    <row r="886">
      <c r="I886" s="205"/>
      <c r="J886" s="205"/>
      <c r="K886" s="205"/>
      <c r="L886" s="206"/>
      <c r="M886" s="206"/>
    </row>
    <row r="887">
      <c r="I887" s="205"/>
      <c r="J887" s="205"/>
      <c r="K887" s="205"/>
      <c r="L887" s="206"/>
      <c r="M887" s="206"/>
    </row>
    <row r="888">
      <c r="I888" s="205"/>
      <c r="J888" s="205"/>
      <c r="K888" s="205"/>
      <c r="L888" s="206"/>
      <c r="M888" s="206"/>
    </row>
    <row r="889">
      <c r="I889" s="205"/>
      <c r="J889" s="205"/>
      <c r="K889" s="205"/>
      <c r="L889" s="206"/>
      <c r="M889" s="206"/>
    </row>
    <row r="890">
      <c r="I890" s="205"/>
      <c r="J890" s="205"/>
      <c r="K890" s="205"/>
      <c r="L890" s="206"/>
      <c r="M890" s="206"/>
    </row>
    <row r="891">
      <c r="I891" s="205"/>
      <c r="J891" s="205"/>
      <c r="K891" s="205"/>
      <c r="L891" s="206"/>
      <c r="M891" s="206"/>
    </row>
    <row r="892">
      <c r="I892" s="205"/>
      <c r="J892" s="205"/>
      <c r="K892" s="205"/>
      <c r="L892" s="206"/>
      <c r="M892" s="206"/>
    </row>
    <row r="893">
      <c r="I893" s="205"/>
      <c r="J893" s="205"/>
      <c r="K893" s="205"/>
      <c r="L893" s="206"/>
      <c r="M893" s="206"/>
    </row>
    <row r="894">
      <c r="I894" s="205"/>
      <c r="J894" s="205"/>
      <c r="K894" s="205"/>
      <c r="L894" s="206"/>
      <c r="M894" s="206"/>
    </row>
    <row r="895">
      <c r="I895" s="205"/>
      <c r="J895" s="205"/>
      <c r="K895" s="205"/>
      <c r="L895" s="206"/>
      <c r="M895" s="206"/>
    </row>
    <row r="896">
      <c r="I896" s="205"/>
      <c r="J896" s="205"/>
      <c r="K896" s="205"/>
      <c r="L896" s="206"/>
      <c r="M896" s="206"/>
    </row>
    <row r="897">
      <c r="I897" s="205"/>
      <c r="J897" s="205"/>
      <c r="K897" s="205"/>
      <c r="L897" s="206"/>
      <c r="M897" s="206"/>
    </row>
    <row r="898">
      <c r="I898" s="205"/>
      <c r="J898" s="205"/>
      <c r="K898" s="205"/>
      <c r="L898" s="206"/>
      <c r="M898" s="206"/>
    </row>
    <row r="899">
      <c r="I899" s="205"/>
      <c r="J899" s="205"/>
      <c r="K899" s="205"/>
      <c r="L899" s="206"/>
      <c r="M899" s="206"/>
    </row>
    <row r="900">
      <c r="I900" s="205"/>
      <c r="J900" s="205"/>
      <c r="K900" s="205"/>
      <c r="L900" s="206"/>
      <c r="M900" s="206"/>
    </row>
    <row r="901">
      <c r="I901" s="205"/>
      <c r="J901" s="205"/>
      <c r="K901" s="205"/>
      <c r="L901" s="206"/>
      <c r="M901" s="206"/>
    </row>
    <row r="902">
      <c r="I902" s="205"/>
      <c r="J902" s="205"/>
      <c r="K902" s="205"/>
      <c r="L902" s="206"/>
      <c r="M902" s="206"/>
    </row>
    <row r="903">
      <c r="I903" s="205"/>
      <c r="J903" s="205"/>
      <c r="K903" s="205"/>
      <c r="L903" s="206"/>
      <c r="M903" s="206"/>
    </row>
    <row r="904">
      <c r="I904" s="205"/>
      <c r="J904" s="205"/>
      <c r="K904" s="205"/>
      <c r="L904" s="206"/>
      <c r="M904" s="206"/>
    </row>
    <row r="905">
      <c r="I905" s="205"/>
      <c r="J905" s="205"/>
      <c r="K905" s="205"/>
      <c r="L905" s="206"/>
      <c r="M905" s="206"/>
    </row>
    <row r="906">
      <c r="I906" s="205"/>
      <c r="J906" s="205"/>
      <c r="K906" s="205"/>
      <c r="L906" s="206"/>
      <c r="M906" s="206"/>
    </row>
    <row r="907">
      <c r="I907" s="205"/>
      <c r="J907" s="205"/>
      <c r="K907" s="205"/>
      <c r="L907" s="206"/>
      <c r="M907" s="206"/>
    </row>
    <row r="908">
      <c r="I908" s="205"/>
      <c r="J908" s="205"/>
      <c r="K908" s="205"/>
      <c r="L908" s="206"/>
      <c r="M908" s="206"/>
    </row>
    <row r="909">
      <c r="I909" s="205"/>
      <c r="J909" s="205"/>
      <c r="K909" s="205"/>
      <c r="L909" s="206"/>
      <c r="M909" s="206"/>
    </row>
    <row r="910">
      <c r="I910" s="205"/>
      <c r="J910" s="205"/>
      <c r="K910" s="205"/>
      <c r="L910" s="206"/>
      <c r="M910" s="206"/>
    </row>
    <row r="911">
      <c r="I911" s="205"/>
      <c r="J911" s="205"/>
      <c r="K911" s="205"/>
      <c r="L911" s="206"/>
      <c r="M911" s="206"/>
    </row>
    <row r="912">
      <c r="I912" s="205"/>
      <c r="J912" s="205"/>
      <c r="K912" s="205"/>
      <c r="L912" s="206"/>
      <c r="M912" s="206"/>
    </row>
    <row r="913">
      <c r="I913" s="205"/>
      <c r="J913" s="205"/>
      <c r="K913" s="205"/>
      <c r="L913" s="206"/>
      <c r="M913" s="206"/>
    </row>
    <row r="914">
      <c r="I914" s="205"/>
      <c r="J914" s="205"/>
      <c r="K914" s="205"/>
      <c r="L914" s="206"/>
      <c r="M914" s="206"/>
    </row>
    <row r="915">
      <c r="I915" s="205"/>
      <c r="J915" s="205"/>
      <c r="K915" s="205"/>
      <c r="L915" s="206"/>
      <c r="M915" s="206"/>
    </row>
    <row r="916">
      <c r="I916" s="205"/>
      <c r="J916" s="205"/>
      <c r="K916" s="205"/>
      <c r="L916" s="206"/>
      <c r="M916" s="206"/>
    </row>
    <row r="917">
      <c r="I917" s="205"/>
      <c r="J917" s="205"/>
      <c r="K917" s="205"/>
      <c r="L917" s="206"/>
      <c r="M917" s="206"/>
    </row>
    <row r="918">
      <c r="I918" s="205"/>
      <c r="J918" s="205"/>
      <c r="K918" s="205"/>
      <c r="L918" s="206"/>
      <c r="M918" s="206"/>
    </row>
    <row r="919">
      <c r="I919" s="205"/>
      <c r="J919" s="205"/>
      <c r="K919" s="205"/>
      <c r="L919" s="206"/>
      <c r="M919" s="206"/>
    </row>
    <row r="920">
      <c r="I920" s="205"/>
      <c r="J920" s="205"/>
      <c r="K920" s="205"/>
      <c r="L920" s="206"/>
      <c r="M920" s="206"/>
    </row>
    <row r="921">
      <c r="I921" s="205"/>
      <c r="J921" s="205"/>
      <c r="K921" s="205"/>
      <c r="L921" s="206"/>
      <c r="M921" s="206"/>
    </row>
    <row r="922">
      <c r="I922" s="205"/>
      <c r="J922" s="205"/>
      <c r="K922" s="205"/>
      <c r="L922" s="206"/>
      <c r="M922" s="206"/>
    </row>
    <row r="923">
      <c r="I923" s="205"/>
      <c r="J923" s="205"/>
      <c r="K923" s="205"/>
      <c r="L923" s="206"/>
      <c r="M923" s="206"/>
    </row>
    <row r="924">
      <c r="I924" s="205"/>
      <c r="J924" s="205"/>
      <c r="K924" s="205"/>
      <c r="L924" s="206"/>
      <c r="M924" s="206"/>
    </row>
    <row r="925">
      <c r="I925" s="205"/>
      <c r="J925" s="205"/>
      <c r="K925" s="205"/>
      <c r="L925" s="206"/>
      <c r="M925" s="206"/>
    </row>
    <row r="926">
      <c r="I926" s="205"/>
      <c r="J926" s="205"/>
      <c r="K926" s="205"/>
      <c r="L926" s="206"/>
      <c r="M926" s="206"/>
    </row>
    <row r="927">
      <c r="I927" s="205"/>
      <c r="J927" s="205"/>
      <c r="K927" s="205"/>
      <c r="L927" s="206"/>
      <c r="M927" s="206"/>
    </row>
    <row r="928">
      <c r="I928" s="205"/>
      <c r="J928" s="205"/>
      <c r="K928" s="205"/>
      <c r="L928" s="206"/>
      <c r="M928" s="206"/>
    </row>
    <row r="929">
      <c r="I929" s="205"/>
      <c r="J929" s="205"/>
      <c r="K929" s="205"/>
      <c r="L929" s="206"/>
      <c r="M929" s="206"/>
    </row>
    <row r="930">
      <c r="I930" s="205"/>
      <c r="J930" s="205"/>
      <c r="K930" s="205"/>
      <c r="L930" s="206"/>
      <c r="M930" s="206"/>
    </row>
    <row r="931">
      <c r="I931" s="205"/>
      <c r="J931" s="205"/>
      <c r="K931" s="205"/>
      <c r="L931" s="206"/>
      <c r="M931" s="206"/>
    </row>
    <row r="932">
      <c r="I932" s="205"/>
      <c r="J932" s="205"/>
      <c r="K932" s="205"/>
      <c r="L932" s="206"/>
      <c r="M932" s="206"/>
    </row>
    <row r="933">
      <c r="I933" s="205"/>
      <c r="J933" s="205"/>
      <c r="K933" s="205"/>
      <c r="L933" s="206"/>
      <c r="M933" s="206"/>
    </row>
    <row r="934">
      <c r="I934" s="205"/>
      <c r="J934" s="205"/>
      <c r="K934" s="205"/>
      <c r="L934" s="206"/>
      <c r="M934" s="206"/>
    </row>
    <row r="935">
      <c r="I935" s="205"/>
      <c r="J935" s="205"/>
      <c r="K935" s="205"/>
      <c r="L935" s="206"/>
      <c r="M935" s="206"/>
    </row>
    <row r="936">
      <c r="I936" s="205"/>
      <c r="J936" s="205"/>
      <c r="K936" s="205"/>
      <c r="L936" s="206"/>
      <c r="M936" s="206"/>
    </row>
    <row r="937">
      <c r="I937" s="205"/>
      <c r="J937" s="205"/>
      <c r="K937" s="205"/>
      <c r="L937" s="206"/>
      <c r="M937" s="206"/>
    </row>
    <row r="938">
      <c r="I938" s="205"/>
      <c r="J938" s="205"/>
      <c r="K938" s="205"/>
      <c r="L938" s="206"/>
      <c r="M938" s="206"/>
    </row>
    <row r="939">
      <c r="I939" s="205"/>
      <c r="J939" s="205"/>
      <c r="K939" s="205"/>
      <c r="L939" s="206"/>
      <c r="M939" s="206"/>
    </row>
    <row r="940">
      <c r="I940" s="205"/>
      <c r="J940" s="205"/>
      <c r="K940" s="205"/>
      <c r="L940" s="206"/>
      <c r="M940" s="206"/>
    </row>
    <row r="941">
      <c r="I941" s="205"/>
      <c r="J941" s="205"/>
      <c r="K941" s="205"/>
      <c r="L941" s="206"/>
      <c r="M941" s="206"/>
    </row>
    <row r="942">
      <c r="I942" s="205"/>
      <c r="J942" s="205"/>
      <c r="K942" s="205"/>
      <c r="L942" s="206"/>
      <c r="M942" s="206"/>
    </row>
    <row r="943">
      <c r="I943" s="205"/>
      <c r="J943" s="205"/>
      <c r="K943" s="205"/>
      <c r="L943" s="206"/>
      <c r="M943" s="206"/>
    </row>
    <row r="944">
      <c r="I944" s="205"/>
      <c r="J944" s="205"/>
      <c r="K944" s="205"/>
      <c r="L944" s="206"/>
      <c r="M944" s="206"/>
    </row>
    <row r="945">
      <c r="I945" s="205"/>
      <c r="J945" s="205"/>
      <c r="K945" s="205"/>
      <c r="L945" s="206"/>
      <c r="M945" s="206"/>
    </row>
    <row r="946">
      <c r="I946" s="205"/>
      <c r="J946" s="205"/>
      <c r="K946" s="205"/>
      <c r="L946" s="206"/>
      <c r="M946" s="206"/>
    </row>
    <row r="947">
      <c r="I947" s="205"/>
      <c r="J947" s="205"/>
      <c r="K947" s="205"/>
      <c r="L947" s="206"/>
      <c r="M947" s="206"/>
    </row>
    <row r="948">
      <c r="I948" s="205"/>
      <c r="J948" s="205"/>
      <c r="K948" s="205"/>
      <c r="L948" s="206"/>
      <c r="M948" s="206"/>
    </row>
    <row r="949">
      <c r="I949" s="205"/>
      <c r="J949" s="205"/>
      <c r="K949" s="205"/>
      <c r="L949" s="206"/>
      <c r="M949" s="206"/>
    </row>
    <row r="950">
      <c r="I950" s="205"/>
      <c r="J950" s="205"/>
      <c r="K950" s="205"/>
      <c r="L950" s="206"/>
      <c r="M950" s="206"/>
    </row>
    <row r="951">
      <c r="I951" s="205"/>
      <c r="J951" s="205"/>
      <c r="K951" s="205"/>
      <c r="L951" s="206"/>
      <c r="M951" s="206"/>
    </row>
    <row r="952">
      <c r="I952" s="205"/>
      <c r="J952" s="205"/>
      <c r="K952" s="205"/>
      <c r="L952" s="206"/>
      <c r="M952" s="206"/>
    </row>
    <row r="953">
      <c r="I953" s="205"/>
      <c r="J953" s="205"/>
      <c r="K953" s="205"/>
      <c r="L953" s="206"/>
      <c r="M953" s="206"/>
    </row>
    <row r="954">
      <c r="I954" s="205"/>
      <c r="J954" s="205"/>
      <c r="K954" s="205"/>
      <c r="L954" s="206"/>
      <c r="M954" s="206"/>
    </row>
    <row r="955">
      <c r="I955" s="205"/>
      <c r="J955" s="205"/>
      <c r="K955" s="205"/>
      <c r="L955" s="206"/>
      <c r="M955" s="206"/>
    </row>
    <row r="956">
      <c r="I956" s="205"/>
      <c r="J956" s="205"/>
      <c r="K956" s="205"/>
      <c r="L956" s="206"/>
      <c r="M956" s="206"/>
    </row>
    <row r="957">
      <c r="I957" s="205"/>
      <c r="J957" s="205"/>
      <c r="K957" s="205"/>
      <c r="L957" s="206"/>
      <c r="M957" s="206"/>
    </row>
    <row r="958">
      <c r="I958" s="205"/>
      <c r="J958" s="205"/>
      <c r="K958" s="205"/>
      <c r="L958" s="206"/>
      <c r="M958" s="206"/>
    </row>
    <row r="959">
      <c r="I959" s="205"/>
      <c r="J959" s="205"/>
      <c r="K959" s="205"/>
      <c r="L959" s="206"/>
      <c r="M959" s="206"/>
    </row>
    <row r="960">
      <c r="I960" s="205"/>
      <c r="J960" s="205"/>
      <c r="K960" s="205"/>
      <c r="L960" s="206"/>
      <c r="M960" s="206"/>
    </row>
    <row r="961">
      <c r="I961" s="205"/>
      <c r="J961" s="205"/>
      <c r="K961" s="205"/>
      <c r="L961" s="206"/>
      <c r="M961" s="206"/>
    </row>
    <row r="962">
      <c r="I962" s="205"/>
      <c r="J962" s="205"/>
      <c r="K962" s="205"/>
      <c r="L962" s="206"/>
      <c r="M962" s="206"/>
    </row>
    <row r="963">
      <c r="I963" s="205"/>
      <c r="J963" s="205"/>
      <c r="K963" s="205"/>
      <c r="L963" s="206"/>
      <c r="M963" s="206"/>
    </row>
    <row r="964">
      <c r="I964" s="205"/>
      <c r="J964" s="205"/>
      <c r="K964" s="205"/>
      <c r="L964" s="206"/>
      <c r="M964" s="206"/>
    </row>
    <row r="965">
      <c r="I965" s="205"/>
      <c r="J965" s="205"/>
      <c r="K965" s="205"/>
      <c r="L965" s="206"/>
      <c r="M965" s="206"/>
    </row>
    <row r="966">
      <c r="I966" s="205"/>
      <c r="J966" s="205"/>
      <c r="K966" s="205"/>
      <c r="L966" s="206"/>
      <c r="M966" s="206"/>
    </row>
    <row r="967">
      <c r="I967" s="205"/>
      <c r="J967" s="205"/>
      <c r="K967" s="205"/>
      <c r="L967" s="206"/>
      <c r="M967" s="206"/>
    </row>
    <row r="968">
      <c r="I968" s="205"/>
      <c r="J968" s="205"/>
      <c r="K968" s="205"/>
      <c r="L968" s="206"/>
      <c r="M968" s="206"/>
    </row>
    <row r="969">
      <c r="I969" s="205"/>
      <c r="J969" s="205"/>
      <c r="K969" s="205"/>
      <c r="L969" s="206"/>
      <c r="M969" s="206"/>
    </row>
    <row r="970">
      <c r="I970" s="205"/>
      <c r="J970" s="205"/>
      <c r="K970" s="205"/>
      <c r="L970" s="206"/>
      <c r="M970" s="206"/>
    </row>
    <row r="971">
      <c r="I971" s="205"/>
      <c r="J971" s="205"/>
      <c r="K971" s="205"/>
      <c r="L971" s="206"/>
      <c r="M971" s="206"/>
    </row>
    <row r="972">
      <c r="I972" s="205"/>
      <c r="J972" s="205"/>
      <c r="K972" s="205"/>
      <c r="L972" s="206"/>
      <c r="M972" s="206"/>
    </row>
    <row r="973">
      <c r="I973" s="205"/>
      <c r="J973" s="205"/>
      <c r="K973" s="205"/>
      <c r="L973" s="206"/>
      <c r="M973" s="206"/>
    </row>
    <row r="974">
      <c r="I974" s="205"/>
      <c r="J974" s="205"/>
      <c r="K974" s="205"/>
      <c r="L974" s="206"/>
      <c r="M974" s="206"/>
    </row>
    <row r="975">
      <c r="I975" s="205"/>
      <c r="J975" s="205"/>
      <c r="K975" s="205"/>
      <c r="L975" s="206"/>
      <c r="M975" s="206"/>
    </row>
    <row r="976">
      <c r="I976" s="205"/>
      <c r="J976" s="205"/>
      <c r="K976" s="205"/>
      <c r="L976" s="206"/>
      <c r="M976" s="206"/>
    </row>
    <row r="977">
      <c r="I977" s="205"/>
      <c r="J977" s="205"/>
      <c r="K977" s="205"/>
      <c r="L977" s="206"/>
      <c r="M977" s="206"/>
    </row>
    <row r="978">
      <c r="I978" s="205"/>
      <c r="J978" s="205"/>
      <c r="K978" s="205"/>
      <c r="L978" s="206"/>
      <c r="M978" s="206"/>
    </row>
    <row r="979">
      <c r="I979" s="205"/>
      <c r="J979" s="205"/>
      <c r="K979" s="205"/>
      <c r="L979" s="206"/>
      <c r="M979" s="206"/>
    </row>
    <row r="980">
      <c r="I980" s="205"/>
      <c r="J980" s="205"/>
      <c r="K980" s="205"/>
      <c r="L980" s="206"/>
      <c r="M980" s="206"/>
    </row>
    <row r="981">
      <c r="I981" s="205"/>
      <c r="J981" s="205"/>
      <c r="K981" s="205"/>
      <c r="L981" s="206"/>
      <c r="M981" s="206"/>
    </row>
    <row r="982">
      <c r="I982" s="205"/>
      <c r="J982" s="205"/>
      <c r="K982" s="205"/>
      <c r="L982" s="206"/>
      <c r="M982" s="206"/>
    </row>
    <row r="983">
      <c r="I983" s="205"/>
      <c r="J983" s="205"/>
      <c r="K983" s="205"/>
      <c r="L983" s="206"/>
      <c r="M983" s="206"/>
    </row>
    <row r="984">
      <c r="I984" s="205"/>
      <c r="J984" s="205"/>
      <c r="K984" s="205"/>
      <c r="L984" s="206"/>
      <c r="M984" s="206"/>
    </row>
    <row r="985">
      <c r="I985" s="205"/>
      <c r="J985" s="205"/>
      <c r="K985" s="205"/>
      <c r="L985" s="206"/>
      <c r="M985" s="206"/>
    </row>
    <row r="986">
      <c r="I986" s="205"/>
      <c r="J986" s="205"/>
      <c r="K986" s="205"/>
      <c r="L986" s="206"/>
      <c r="M986" s="206"/>
    </row>
    <row r="987">
      <c r="I987" s="205"/>
      <c r="J987" s="205"/>
      <c r="K987" s="205"/>
      <c r="L987" s="206"/>
      <c r="M987" s="206"/>
    </row>
    <row r="988">
      <c r="I988" s="205"/>
      <c r="J988" s="205"/>
      <c r="K988" s="205"/>
      <c r="L988" s="206"/>
      <c r="M988" s="206"/>
    </row>
    <row r="989">
      <c r="I989" s="205"/>
      <c r="J989" s="205"/>
      <c r="K989" s="205"/>
      <c r="L989" s="206"/>
      <c r="M989" s="206"/>
    </row>
    <row r="990">
      <c r="I990" s="205"/>
      <c r="J990" s="205"/>
      <c r="K990" s="205"/>
      <c r="L990" s="206"/>
      <c r="M990" s="206"/>
    </row>
    <row r="991">
      <c r="I991" s="205"/>
      <c r="J991" s="205"/>
      <c r="K991" s="205"/>
      <c r="L991" s="206"/>
      <c r="M991" s="206"/>
    </row>
    <row r="992">
      <c r="I992" s="205"/>
      <c r="J992" s="205"/>
      <c r="K992" s="205"/>
      <c r="L992" s="206"/>
      <c r="M992" s="206"/>
    </row>
    <row r="993">
      <c r="I993" s="205"/>
      <c r="J993" s="205"/>
      <c r="K993" s="205"/>
      <c r="L993" s="206"/>
      <c r="M993" s="206"/>
    </row>
    <row r="994">
      <c r="I994" s="205"/>
      <c r="J994" s="205"/>
      <c r="K994" s="205"/>
      <c r="L994" s="206"/>
      <c r="M994" s="206"/>
    </row>
    <row r="995">
      <c r="I995" s="205"/>
      <c r="J995" s="205"/>
      <c r="K995" s="205"/>
      <c r="L995" s="206"/>
      <c r="M995" s="206"/>
    </row>
    <row r="996">
      <c r="I996" s="205"/>
      <c r="J996" s="205"/>
      <c r="K996" s="205"/>
      <c r="L996" s="206"/>
      <c r="M996" s="206"/>
    </row>
    <row r="997">
      <c r="I997" s="205"/>
      <c r="J997" s="205"/>
      <c r="K997" s="205"/>
      <c r="L997" s="206"/>
      <c r="M997" s="206"/>
    </row>
    <row r="998">
      <c r="I998" s="205"/>
      <c r="J998" s="205"/>
      <c r="K998" s="205"/>
      <c r="L998" s="206"/>
      <c r="M998" s="206"/>
    </row>
    <row r="999">
      <c r="I999" s="205"/>
      <c r="J999" s="205"/>
      <c r="K999" s="205"/>
      <c r="L999" s="206"/>
      <c r="M999" s="206"/>
    </row>
    <row r="1000">
      <c r="I1000" s="205"/>
      <c r="J1000" s="205"/>
      <c r="K1000" s="205"/>
      <c r="L1000" s="206"/>
      <c r="M1000" s="206"/>
    </row>
    <row r="1001">
      <c r="I1001" s="205"/>
      <c r="J1001" s="205"/>
      <c r="K1001" s="205"/>
      <c r="L1001" s="206"/>
      <c r="M1001" s="206"/>
    </row>
    <row r="1002">
      <c r="I1002" s="205"/>
      <c r="J1002" s="205"/>
      <c r="K1002" s="205"/>
      <c r="L1002" s="206"/>
      <c r="M1002" s="206"/>
    </row>
    <row r="1003">
      <c r="I1003" s="205"/>
      <c r="J1003" s="205"/>
      <c r="K1003" s="205"/>
      <c r="L1003" s="206"/>
      <c r="M1003" s="206"/>
    </row>
    <row r="1004">
      <c r="I1004" s="205"/>
      <c r="J1004" s="205"/>
      <c r="K1004" s="205"/>
      <c r="L1004" s="206"/>
      <c r="M1004" s="206"/>
    </row>
    <row r="1005">
      <c r="I1005" s="205"/>
      <c r="J1005" s="205"/>
      <c r="K1005" s="205"/>
      <c r="L1005" s="206"/>
      <c r="M1005" s="206"/>
    </row>
    <row r="1006">
      <c r="I1006" s="205"/>
      <c r="J1006" s="205"/>
      <c r="K1006" s="205"/>
      <c r="L1006" s="206"/>
      <c r="M1006" s="206"/>
    </row>
    <row r="1007">
      <c r="I1007" s="205"/>
      <c r="J1007" s="205"/>
      <c r="K1007" s="205"/>
      <c r="L1007" s="206"/>
      <c r="M1007" s="206"/>
    </row>
    <row r="1008">
      <c r="I1008" s="205"/>
      <c r="J1008" s="205"/>
      <c r="K1008" s="205"/>
      <c r="L1008" s="206"/>
      <c r="M1008" s="206"/>
    </row>
    <row r="1009">
      <c r="I1009" s="205"/>
      <c r="J1009" s="205"/>
      <c r="K1009" s="205"/>
      <c r="L1009" s="206"/>
      <c r="M1009" s="206"/>
    </row>
    <row r="1010">
      <c r="I1010" s="205"/>
      <c r="J1010" s="205"/>
      <c r="K1010" s="205"/>
      <c r="L1010" s="206"/>
      <c r="M1010" s="206"/>
    </row>
    <row r="1011">
      <c r="I1011" s="205"/>
      <c r="J1011" s="205"/>
      <c r="K1011" s="205"/>
      <c r="L1011" s="206"/>
      <c r="M1011" s="206"/>
    </row>
    <row r="1012">
      <c r="I1012" s="205"/>
      <c r="J1012" s="205"/>
      <c r="K1012" s="205"/>
      <c r="L1012" s="206"/>
      <c r="M1012" s="206"/>
    </row>
    <row r="1013">
      <c r="I1013" s="205"/>
      <c r="J1013" s="205"/>
      <c r="K1013" s="205"/>
      <c r="L1013" s="206"/>
      <c r="M1013" s="206"/>
    </row>
    <row r="1014">
      <c r="I1014" s="205"/>
      <c r="J1014" s="205"/>
      <c r="K1014" s="205"/>
      <c r="L1014" s="206"/>
      <c r="M1014" s="206"/>
    </row>
  </sheetData>
  <mergeCells count="9">
    <mergeCell ref="B88:B134"/>
    <mergeCell ref="B135:B161"/>
    <mergeCell ref="A1:N2"/>
    <mergeCell ref="A3:H3"/>
    <mergeCell ref="A5:A10"/>
    <mergeCell ref="B5:B35"/>
    <mergeCell ref="B36:B58"/>
    <mergeCell ref="B59:B83"/>
    <mergeCell ref="B84:B87"/>
  </mergeCells>
  <hyperlinks>
    <hyperlink r:id="rId1" ref="N60"/>
    <hyperlink r:id="rId2" ref="O60"/>
    <hyperlink r:id="rId3" ref="N61"/>
    <hyperlink r:id="rId4" ref="O61"/>
    <hyperlink r:id="rId5" ref="N62"/>
    <hyperlink r:id="rId6" ref="O62"/>
    <hyperlink r:id="rId7" ref="N66"/>
    <hyperlink r:id="rId8" ref="O66"/>
    <hyperlink r:id="rId9" ref="N67"/>
    <hyperlink r:id="rId10" ref="O67"/>
    <hyperlink r:id="rId11" ref="N68"/>
    <hyperlink r:id="rId12" ref="O68"/>
    <hyperlink r:id="rId13" ref="N69"/>
    <hyperlink r:id="rId14" ref="O69"/>
    <hyperlink r:id="rId15" ref="N70"/>
    <hyperlink r:id="rId16" ref="O70"/>
    <hyperlink r:id="rId17" ref="N73"/>
    <hyperlink r:id="rId18" ref="O73"/>
    <hyperlink r:id="rId19" ref="O85"/>
    <hyperlink r:id="rId20" ref="O87"/>
    <hyperlink r:id="rId21" ref="N138"/>
    <hyperlink r:id="rId22" ref="N140"/>
    <hyperlink r:id="rId23" ref="N146"/>
    <hyperlink r:id="rId24" ref="N147"/>
    <hyperlink r:id="rId25" ref="N159"/>
    <hyperlink r:id="rId26" ref="N161"/>
  </hyperlinks>
  <drawing r:id="rId2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8.63"/>
    <col customWidth="1" min="5" max="5" width="11.5"/>
    <col customWidth="1" min="9" max="9" width="17.38"/>
    <col customWidth="1" min="14" max="14" width="30.13"/>
  </cols>
  <sheetData>
    <row r="1">
      <c r="A1" s="207" t="s">
        <v>1007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4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2" t="s">
        <v>480</v>
      </c>
      <c r="B3" s="83"/>
      <c r="C3" s="83"/>
      <c r="D3" s="83"/>
      <c r="E3" s="83"/>
      <c r="F3" s="83"/>
      <c r="G3" s="83"/>
      <c r="H3" s="84"/>
      <c r="I3" s="15"/>
      <c r="J3" s="15"/>
      <c r="K3" s="15"/>
      <c r="L3" s="15"/>
      <c r="M3" s="15"/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9" t="s">
        <v>1</v>
      </c>
      <c r="B4" s="10" t="s">
        <v>2</v>
      </c>
      <c r="C4" s="11" t="s">
        <v>3</v>
      </c>
      <c r="D4" s="10" t="s">
        <v>4</v>
      </c>
      <c r="E4" s="10" t="s">
        <v>5</v>
      </c>
      <c r="F4" s="12" t="s">
        <v>6</v>
      </c>
      <c r="G4" s="13" t="s">
        <v>7</v>
      </c>
      <c r="H4" s="14" t="s">
        <v>8</v>
      </c>
      <c r="I4" s="15" t="s">
        <v>1008</v>
      </c>
      <c r="J4" s="15" t="s">
        <v>1009</v>
      </c>
      <c r="K4" s="15" t="s">
        <v>1010</v>
      </c>
      <c r="L4" s="15" t="s">
        <v>1011</v>
      </c>
      <c r="M4" s="15" t="s">
        <v>1012</v>
      </c>
      <c r="N4" s="17" t="s">
        <v>14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24" t="s">
        <v>1013</v>
      </c>
      <c r="B5" s="20" t="s">
        <v>16</v>
      </c>
      <c r="C5" s="21" t="s">
        <v>17</v>
      </c>
      <c r="D5" s="22" t="s">
        <v>17</v>
      </c>
      <c r="E5" s="23" t="s">
        <v>18</v>
      </c>
      <c r="F5" s="24" t="s">
        <v>17</v>
      </c>
      <c r="G5" s="24" t="s">
        <v>17</v>
      </c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19</v>
      </c>
      <c r="D6" s="15" t="s">
        <v>20</v>
      </c>
      <c r="E6" s="15" t="s">
        <v>21</v>
      </c>
      <c r="F6" s="29">
        <v>329.0</v>
      </c>
      <c r="G6" s="30">
        <v>399.0</v>
      </c>
      <c r="H6" s="31">
        <v>419.0</v>
      </c>
      <c r="I6" s="57" t="s">
        <v>1014</v>
      </c>
      <c r="J6" s="32"/>
      <c r="K6" s="179" t="s">
        <v>1015</v>
      </c>
      <c r="L6" s="179" t="s">
        <v>1016</v>
      </c>
      <c r="M6" s="167" t="s">
        <v>1017</v>
      </c>
      <c r="N6" s="15" t="s">
        <v>793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22</v>
      </c>
      <c r="D7" s="15" t="s">
        <v>23</v>
      </c>
      <c r="E7" s="15" t="s">
        <v>24</v>
      </c>
      <c r="F7" s="29">
        <v>319.0</v>
      </c>
      <c r="G7" s="30">
        <v>389.0</v>
      </c>
      <c r="H7" s="31">
        <v>409.0</v>
      </c>
      <c r="I7" s="57" t="s">
        <v>1018</v>
      </c>
      <c r="J7" s="32"/>
      <c r="K7" s="179" t="s">
        <v>1019</v>
      </c>
      <c r="L7" s="179" t="s">
        <v>1020</v>
      </c>
      <c r="M7" s="167" t="s">
        <v>1021</v>
      </c>
      <c r="N7" s="15" t="s">
        <v>793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26</v>
      </c>
      <c r="D8" s="15" t="s">
        <v>27</v>
      </c>
      <c r="E8" s="15" t="s">
        <v>28</v>
      </c>
      <c r="F8" s="35">
        <f t="shared" ref="F8:G8" si="1">F7+50</f>
        <v>369</v>
      </c>
      <c r="G8" s="30">
        <f t="shared" si="1"/>
        <v>439</v>
      </c>
      <c r="H8" s="31">
        <v>459.0</v>
      </c>
      <c r="I8" s="57" t="s">
        <v>1022</v>
      </c>
      <c r="J8" s="40"/>
      <c r="K8" s="179" t="s">
        <v>1023</v>
      </c>
      <c r="L8" s="179" t="s">
        <v>1024</v>
      </c>
      <c r="M8" s="167" t="s">
        <v>1025</v>
      </c>
      <c r="N8" s="32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7"/>
      <c r="B9" s="27"/>
      <c r="C9" s="28" t="s">
        <v>29</v>
      </c>
      <c r="D9" s="15" t="s">
        <v>30</v>
      </c>
      <c r="E9" s="37" t="s">
        <v>31</v>
      </c>
      <c r="F9" s="29">
        <v>399.0</v>
      </c>
      <c r="G9" s="30">
        <v>489.0</v>
      </c>
      <c r="H9" s="31">
        <v>489.0</v>
      </c>
      <c r="I9" s="208"/>
      <c r="J9" s="209"/>
      <c r="K9" s="210"/>
      <c r="L9" s="211"/>
      <c r="M9" s="208"/>
      <c r="N9" s="20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8"/>
      <c r="B10" s="27"/>
      <c r="C10" s="28" t="s">
        <v>32</v>
      </c>
      <c r="D10" s="37" t="s">
        <v>33</v>
      </c>
      <c r="E10" s="15" t="s">
        <v>34</v>
      </c>
      <c r="F10" s="29">
        <v>629.0</v>
      </c>
      <c r="G10" s="30">
        <v>629.0</v>
      </c>
      <c r="H10" s="31">
        <v>559.0</v>
      </c>
      <c r="I10" s="57" t="s">
        <v>1026</v>
      </c>
      <c r="J10" s="40"/>
      <c r="K10" s="179" t="s">
        <v>1027</v>
      </c>
      <c r="L10" s="179" t="s">
        <v>1028</v>
      </c>
      <c r="M10" s="167" t="s">
        <v>1029</v>
      </c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35</v>
      </c>
      <c r="D11" s="15" t="s">
        <v>36</v>
      </c>
      <c r="E11" s="15" t="s">
        <v>37</v>
      </c>
      <c r="F11" s="35">
        <f>F10+50</f>
        <v>679</v>
      </c>
      <c r="G11" s="30">
        <v>679.0</v>
      </c>
      <c r="H11" s="31">
        <v>609.0</v>
      </c>
      <c r="I11" s="57" t="s">
        <v>1030</v>
      </c>
      <c r="J11" s="40"/>
      <c r="K11" s="179" t="s">
        <v>1031</v>
      </c>
      <c r="L11" s="179" t="s">
        <v>1032</v>
      </c>
      <c r="M11" s="167" t="s">
        <v>1033</v>
      </c>
      <c r="N11" s="32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/>
      <c r="D12" s="15"/>
      <c r="E12" s="15" t="s">
        <v>805</v>
      </c>
      <c r="F12" s="29"/>
      <c r="G12" s="30"/>
      <c r="H12" s="31">
        <v>799.0</v>
      </c>
      <c r="I12" s="57" t="s">
        <v>1034</v>
      </c>
      <c r="J12" s="40"/>
      <c r="K12" s="179" t="s">
        <v>1035</v>
      </c>
      <c r="L12" s="179" t="s">
        <v>1036</v>
      </c>
      <c r="M12" s="167" t="s">
        <v>1037</v>
      </c>
      <c r="N12" s="15" t="s">
        <v>1038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8" t="s">
        <v>38</v>
      </c>
      <c r="D13" s="15" t="s">
        <v>39</v>
      </c>
      <c r="E13" s="15" t="s">
        <v>40</v>
      </c>
      <c r="F13" s="29">
        <v>699.0</v>
      </c>
      <c r="G13" s="30">
        <v>999.0</v>
      </c>
      <c r="H13" s="31">
        <v>999.0</v>
      </c>
      <c r="I13" s="57" t="s">
        <v>1039</v>
      </c>
      <c r="J13" s="40"/>
      <c r="K13" s="179" t="s">
        <v>1040</v>
      </c>
      <c r="L13" s="179" t="s">
        <v>1041</v>
      </c>
      <c r="M13" s="167" t="s">
        <v>1042</v>
      </c>
      <c r="N13" s="15" t="s">
        <v>1043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28" t="s">
        <v>42</v>
      </c>
      <c r="D14" s="15" t="s">
        <v>43</v>
      </c>
      <c r="E14" s="15" t="s">
        <v>44</v>
      </c>
      <c r="F14" s="35">
        <f>F13+50</f>
        <v>749</v>
      </c>
      <c r="G14" s="30">
        <v>1049.0</v>
      </c>
      <c r="H14" s="31">
        <v>1049.0</v>
      </c>
      <c r="I14" s="57" t="s">
        <v>1044</v>
      </c>
      <c r="J14" s="40"/>
      <c r="K14" s="167" t="s">
        <v>1045</v>
      </c>
      <c r="L14" s="167" t="s">
        <v>1046</v>
      </c>
      <c r="M14" s="167" t="s">
        <v>1047</v>
      </c>
      <c r="N14" s="32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21" t="s">
        <v>17</v>
      </c>
      <c r="D15" s="22" t="s">
        <v>17</v>
      </c>
      <c r="E15" s="23" t="s">
        <v>45</v>
      </c>
      <c r="F15" s="24" t="s">
        <v>17</v>
      </c>
      <c r="G15" s="24" t="s">
        <v>17</v>
      </c>
      <c r="H15" s="25" t="s">
        <v>17</v>
      </c>
      <c r="I15" s="25" t="s">
        <v>17</v>
      </c>
      <c r="J15" s="25" t="s">
        <v>17</v>
      </c>
      <c r="K15" s="25" t="s">
        <v>17</v>
      </c>
      <c r="L15" s="25" t="s">
        <v>17</v>
      </c>
      <c r="M15" s="25" t="s">
        <v>17</v>
      </c>
      <c r="N15" s="25" t="s">
        <v>17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/>
      <c r="D16" s="40"/>
      <c r="E16" s="15" t="s">
        <v>812</v>
      </c>
      <c r="F16" s="35"/>
      <c r="G16" s="41"/>
      <c r="H16" s="42">
        <v>29.95</v>
      </c>
      <c r="I16" s="212" t="s">
        <v>1048</v>
      </c>
      <c r="J16" s="40"/>
      <c r="K16" s="15"/>
      <c r="L16" s="15"/>
      <c r="M16" s="32"/>
      <c r="N16" s="32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46</v>
      </c>
      <c r="D17" s="40" t="s">
        <v>47</v>
      </c>
      <c r="E17" s="15" t="s">
        <v>48</v>
      </c>
      <c r="F17" s="35">
        <f t="shared" ref="F17:F35" si="2">G17*0.9</f>
        <v>71.991</v>
      </c>
      <c r="G17" s="41">
        <v>79.99</v>
      </c>
      <c r="H17" s="42">
        <v>91.25</v>
      </c>
      <c r="I17" s="32"/>
      <c r="J17" s="40"/>
      <c r="K17" s="15"/>
      <c r="L17" s="15"/>
      <c r="M17" s="32"/>
      <c r="N17" s="32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49</v>
      </c>
      <c r="D18" s="40" t="s">
        <v>50</v>
      </c>
      <c r="E18" s="15" t="s">
        <v>51</v>
      </c>
      <c r="F18" s="35">
        <f t="shared" si="2"/>
        <v>103.491</v>
      </c>
      <c r="G18" s="41">
        <v>114.99</v>
      </c>
      <c r="H18" s="42">
        <v>130.95</v>
      </c>
      <c r="I18" s="162" t="s">
        <v>1049</v>
      </c>
      <c r="J18" s="40"/>
      <c r="K18" s="15"/>
      <c r="L18" s="15"/>
      <c r="M18" s="32"/>
      <c r="N18" s="32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52</v>
      </c>
      <c r="D19" s="40" t="s">
        <v>53</v>
      </c>
      <c r="E19" s="15" t="s">
        <v>54</v>
      </c>
      <c r="F19" s="35">
        <f t="shared" si="2"/>
        <v>40.455</v>
      </c>
      <c r="G19" s="41">
        <v>44.95</v>
      </c>
      <c r="H19" s="42">
        <v>56.95</v>
      </c>
      <c r="I19" s="167" t="s">
        <v>818</v>
      </c>
      <c r="J19" s="40"/>
      <c r="K19" s="15"/>
      <c r="L19" s="15"/>
      <c r="M19" s="32"/>
      <c r="N19" s="32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55</v>
      </c>
      <c r="D20" s="40" t="s">
        <v>56</v>
      </c>
      <c r="E20" s="15" t="s">
        <v>57</v>
      </c>
      <c r="F20" s="35">
        <f t="shared" si="2"/>
        <v>13.491</v>
      </c>
      <c r="G20" s="41">
        <v>14.99</v>
      </c>
      <c r="H20" s="42">
        <v>26.95</v>
      </c>
      <c r="I20" s="167" t="s">
        <v>818</v>
      </c>
      <c r="J20" s="40"/>
      <c r="K20" s="15"/>
      <c r="L20" s="15"/>
      <c r="M20" s="32"/>
      <c r="N20" s="32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58</v>
      </c>
      <c r="D21" s="40" t="s">
        <v>59</v>
      </c>
      <c r="E21" s="15" t="s">
        <v>60</v>
      </c>
      <c r="F21" s="35">
        <f t="shared" si="2"/>
        <v>40.455</v>
      </c>
      <c r="G21" s="41">
        <v>44.95</v>
      </c>
      <c r="H21" s="42">
        <v>57.95</v>
      </c>
      <c r="I21" s="167" t="s">
        <v>818</v>
      </c>
      <c r="J21" s="40"/>
      <c r="K21" s="15"/>
      <c r="L21" s="15"/>
      <c r="M21" s="32"/>
      <c r="N21" s="32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61</v>
      </c>
      <c r="D22" s="40" t="s">
        <v>62</v>
      </c>
      <c r="E22" s="15" t="s">
        <v>63</v>
      </c>
      <c r="F22" s="35">
        <f t="shared" si="2"/>
        <v>137.691</v>
      </c>
      <c r="G22" s="41">
        <v>152.99</v>
      </c>
      <c r="H22" s="31">
        <v>178.0</v>
      </c>
      <c r="I22" s="162" t="s">
        <v>1050</v>
      </c>
      <c r="J22" s="40"/>
      <c r="K22" s="15"/>
      <c r="L22" s="15"/>
      <c r="M22" s="32"/>
      <c r="N22" s="32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64</v>
      </c>
      <c r="D23" s="40" t="s">
        <v>65</v>
      </c>
      <c r="E23" s="15" t="s">
        <v>66</v>
      </c>
      <c r="F23" s="35">
        <f t="shared" si="2"/>
        <v>53.955</v>
      </c>
      <c r="G23" s="41">
        <v>59.95</v>
      </c>
      <c r="H23" s="42">
        <v>73.95</v>
      </c>
      <c r="I23" s="167" t="s">
        <v>818</v>
      </c>
      <c r="J23" s="40"/>
      <c r="K23" s="15"/>
      <c r="L23" s="15"/>
      <c r="M23" s="32"/>
      <c r="N23" s="32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67</v>
      </c>
      <c r="D24" s="40" t="s">
        <v>68</v>
      </c>
      <c r="E24" s="15" t="s">
        <v>69</v>
      </c>
      <c r="F24" s="35">
        <f t="shared" si="2"/>
        <v>17.955</v>
      </c>
      <c r="G24" s="41">
        <v>19.95</v>
      </c>
      <c r="H24" s="42">
        <v>27.95</v>
      </c>
      <c r="I24" s="167" t="s">
        <v>818</v>
      </c>
      <c r="J24" s="40"/>
      <c r="K24" s="15"/>
      <c r="L24" s="15"/>
      <c r="M24" s="32"/>
      <c r="N24" s="32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70</v>
      </c>
      <c r="D25" s="40" t="s">
        <v>71</v>
      </c>
      <c r="E25" s="15" t="s">
        <v>72</v>
      </c>
      <c r="F25" s="35">
        <f t="shared" si="2"/>
        <v>53.955</v>
      </c>
      <c r="G25" s="41">
        <v>59.95</v>
      </c>
      <c r="H25" s="42">
        <v>73.95</v>
      </c>
      <c r="I25" s="167" t="s">
        <v>818</v>
      </c>
      <c r="J25" s="40"/>
      <c r="K25" s="15"/>
      <c r="L25" s="15"/>
      <c r="M25" s="32"/>
      <c r="N25" s="32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73</v>
      </c>
      <c r="D26" s="40" t="s">
        <v>74</v>
      </c>
      <c r="E26" s="15" t="s">
        <v>75</v>
      </c>
      <c r="F26" s="35">
        <f t="shared" si="2"/>
        <v>287.091</v>
      </c>
      <c r="G26" s="41">
        <v>318.99</v>
      </c>
      <c r="H26" s="42">
        <v>343.99</v>
      </c>
      <c r="I26" s="167" t="s">
        <v>1051</v>
      </c>
      <c r="J26" s="40"/>
      <c r="K26" s="15"/>
      <c r="L26" s="15"/>
      <c r="M26" s="32"/>
      <c r="N26" s="32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76</v>
      </c>
      <c r="D27" s="40" t="s">
        <v>77</v>
      </c>
      <c r="E27" s="15" t="s">
        <v>78</v>
      </c>
      <c r="F27" s="35">
        <f t="shared" si="2"/>
        <v>112.5</v>
      </c>
      <c r="G27" s="30">
        <v>125.0</v>
      </c>
      <c r="H27" s="42">
        <v>140.95</v>
      </c>
      <c r="I27" s="167" t="s">
        <v>818</v>
      </c>
      <c r="J27" s="40"/>
      <c r="K27" s="15"/>
      <c r="L27" s="15"/>
      <c r="M27" s="32"/>
      <c r="N27" s="32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79</v>
      </c>
      <c r="D28" s="40" t="s">
        <v>80</v>
      </c>
      <c r="E28" s="15" t="s">
        <v>81</v>
      </c>
      <c r="F28" s="35">
        <f t="shared" si="2"/>
        <v>31.5</v>
      </c>
      <c r="G28" s="30">
        <v>35.0</v>
      </c>
      <c r="H28" s="42">
        <v>46.95</v>
      </c>
      <c r="I28" s="167" t="s">
        <v>818</v>
      </c>
      <c r="J28" s="40"/>
      <c r="K28" s="15"/>
      <c r="L28" s="15"/>
      <c r="M28" s="32"/>
      <c r="N28" s="32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82</v>
      </c>
      <c r="D29" s="40" t="s">
        <v>83</v>
      </c>
      <c r="E29" s="15" t="s">
        <v>84</v>
      </c>
      <c r="F29" s="35">
        <f t="shared" si="2"/>
        <v>112.5</v>
      </c>
      <c r="G29" s="30">
        <v>125.0</v>
      </c>
      <c r="H29" s="42">
        <v>142.95</v>
      </c>
      <c r="I29" s="167" t="s">
        <v>818</v>
      </c>
      <c r="J29" s="40"/>
      <c r="K29" s="15"/>
      <c r="L29" s="15"/>
      <c r="M29" s="32"/>
      <c r="N29" s="32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85</v>
      </c>
      <c r="D30" s="40" t="s">
        <v>86</v>
      </c>
      <c r="E30" s="15" t="s">
        <v>87</v>
      </c>
      <c r="F30" s="35">
        <f t="shared" si="2"/>
        <v>44.955</v>
      </c>
      <c r="G30" s="41">
        <v>49.95</v>
      </c>
      <c r="H30" s="42">
        <v>59.95</v>
      </c>
      <c r="I30" s="32"/>
      <c r="J30" s="40"/>
      <c r="K30" s="15"/>
      <c r="L30" s="15"/>
      <c r="M30" s="32"/>
      <c r="N30" s="32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88</v>
      </c>
      <c r="D31" s="40" t="s">
        <v>89</v>
      </c>
      <c r="E31" s="15" t="s">
        <v>87</v>
      </c>
      <c r="F31" s="35">
        <f t="shared" si="2"/>
        <v>44.955</v>
      </c>
      <c r="G31" s="41">
        <v>49.95</v>
      </c>
      <c r="H31" s="42">
        <v>59.95</v>
      </c>
      <c r="I31" s="32"/>
      <c r="J31" s="40"/>
      <c r="K31" s="15"/>
      <c r="L31" s="15"/>
      <c r="M31" s="32"/>
      <c r="N31" s="32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90</v>
      </c>
      <c r="D32" s="40" t="s">
        <v>91</v>
      </c>
      <c r="E32" s="15" t="s">
        <v>87</v>
      </c>
      <c r="F32" s="35">
        <f t="shared" si="2"/>
        <v>44.955</v>
      </c>
      <c r="G32" s="41">
        <v>49.95</v>
      </c>
      <c r="H32" s="42">
        <v>59.95</v>
      </c>
      <c r="I32" s="32"/>
      <c r="J32" s="40"/>
      <c r="K32" s="15"/>
      <c r="L32" s="15"/>
      <c r="M32" s="32"/>
      <c r="N32" s="32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7"/>
      <c r="C33" s="39" t="s">
        <v>92</v>
      </c>
      <c r="D33" s="40" t="s">
        <v>93</v>
      </c>
      <c r="E33" s="15" t="s">
        <v>87</v>
      </c>
      <c r="F33" s="35">
        <f t="shared" si="2"/>
        <v>44.955</v>
      </c>
      <c r="G33" s="41">
        <v>49.95</v>
      </c>
      <c r="H33" s="42">
        <v>59.95</v>
      </c>
      <c r="I33" s="32"/>
      <c r="J33" s="40"/>
      <c r="K33" s="15"/>
      <c r="L33" s="15"/>
      <c r="M33" s="32"/>
      <c r="N33" s="32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7"/>
      <c r="C34" s="39" t="s">
        <v>94</v>
      </c>
      <c r="D34" s="40" t="s">
        <v>95</v>
      </c>
      <c r="E34" s="15" t="s">
        <v>87</v>
      </c>
      <c r="F34" s="35">
        <f t="shared" si="2"/>
        <v>44.955</v>
      </c>
      <c r="G34" s="41">
        <v>49.95</v>
      </c>
      <c r="H34" s="42">
        <v>59.95</v>
      </c>
      <c r="I34" s="32"/>
      <c r="J34" s="40"/>
      <c r="K34" s="15"/>
      <c r="L34" s="15"/>
      <c r="M34" s="32"/>
      <c r="N34" s="32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27"/>
      <c r="C35" s="39" t="s">
        <v>96</v>
      </c>
      <c r="D35" s="40" t="s">
        <v>97</v>
      </c>
      <c r="E35" s="15" t="s">
        <v>87</v>
      </c>
      <c r="F35" s="35">
        <f t="shared" si="2"/>
        <v>44.955</v>
      </c>
      <c r="G35" s="41">
        <v>49.95</v>
      </c>
      <c r="H35" s="42">
        <v>59.95</v>
      </c>
      <c r="I35" s="32"/>
      <c r="J35" s="40"/>
      <c r="K35" s="15"/>
      <c r="L35" s="15"/>
      <c r="M35" s="32"/>
      <c r="N35" s="32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20" t="s">
        <v>98</v>
      </c>
      <c r="C36" s="21" t="s">
        <v>17</v>
      </c>
      <c r="D36" s="22" t="s">
        <v>17</v>
      </c>
      <c r="E36" s="23" t="s">
        <v>99</v>
      </c>
      <c r="F36" s="24" t="s">
        <v>17</v>
      </c>
      <c r="G36" s="24" t="s">
        <v>17</v>
      </c>
      <c r="H36" s="25" t="s">
        <v>17</v>
      </c>
      <c r="I36" s="25" t="s">
        <v>17</v>
      </c>
      <c r="J36" s="25" t="s">
        <v>17</v>
      </c>
      <c r="K36" s="25" t="s">
        <v>17</v>
      </c>
      <c r="L36" s="25" t="s">
        <v>17</v>
      </c>
      <c r="M36" s="25" t="s">
        <v>17</v>
      </c>
      <c r="N36" s="25" t="s">
        <v>17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43" t="s">
        <v>100</v>
      </c>
      <c r="D37" s="15" t="s">
        <v>101</v>
      </c>
      <c r="E37" s="15" t="s">
        <v>102</v>
      </c>
      <c r="F37" s="35">
        <f t="shared" ref="F37:F38" si="3">G37*0.8</f>
        <v>359.2</v>
      </c>
      <c r="G37" s="41">
        <v>449.0</v>
      </c>
      <c r="H37" s="31">
        <v>475.0</v>
      </c>
      <c r="I37" s="57" t="s">
        <v>1052</v>
      </c>
      <c r="J37" s="44"/>
      <c r="K37" s="179" t="s">
        <v>1053</v>
      </c>
      <c r="L37" s="179" t="s">
        <v>1054</v>
      </c>
      <c r="M37" s="179" t="s">
        <v>1055</v>
      </c>
      <c r="N37" s="5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45" t="s">
        <v>103</v>
      </c>
      <c r="D38" s="15" t="s">
        <v>104</v>
      </c>
      <c r="E38" s="15" t="s">
        <v>105</v>
      </c>
      <c r="F38" s="35">
        <f t="shared" si="3"/>
        <v>375.2</v>
      </c>
      <c r="G38" s="41">
        <v>469.0</v>
      </c>
      <c r="H38" s="31">
        <v>495.0</v>
      </c>
      <c r="I38" s="213" t="s">
        <v>1056</v>
      </c>
      <c r="J38" s="44"/>
      <c r="K38" s="57" t="s">
        <v>1057</v>
      </c>
      <c r="L38" s="57" t="s">
        <v>1058</v>
      </c>
      <c r="M38" s="57" t="s">
        <v>1059</v>
      </c>
      <c r="N38" s="5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28" t="s">
        <v>106</v>
      </c>
      <c r="D39" s="15" t="s">
        <v>107</v>
      </c>
      <c r="E39" s="15" t="s">
        <v>108</v>
      </c>
      <c r="F39" s="35"/>
      <c r="G39" s="46"/>
      <c r="H39" s="31">
        <v>490.0</v>
      </c>
      <c r="I39" s="167"/>
      <c r="J39" s="44"/>
      <c r="K39" s="57" t="s">
        <v>1060</v>
      </c>
      <c r="L39" s="57" t="s">
        <v>1061</v>
      </c>
      <c r="M39" s="57" t="s">
        <v>1062</v>
      </c>
      <c r="N39" s="5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28" t="s">
        <v>109</v>
      </c>
      <c r="D40" s="15" t="s">
        <v>110</v>
      </c>
      <c r="E40" s="15" t="s">
        <v>829</v>
      </c>
      <c r="F40" s="35">
        <f t="shared" ref="F40:F43" si="4">G40*0.8</f>
        <v>399.2</v>
      </c>
      <c r="G40" s="41">
        <v>499.0</v>
      </c>
      <c r="H40" s="31">
        <v>525.0</v>
      </c>
      <c r="I40" s="167" t="s">
        <v>1063</v>
      </c>
      <c r="J40" s="44"/>
      <c r="K40" s="57" t="s">
        <v>1064</v>
      </c>
      <c r="L40" s="57" t="s">
        <v>1065</v>
      </c>
      <c r="M40" s="57" t="s">
        <v>1066</v>
      </c>
      <c r="N40" s="5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43" t="s">
        <v>112</v>
      </c>
      <c r="D41" s="15" t="s">
        <v>113</v>
      </c>
      <c r="E41" s="15" t="s">
        <v>832</v>
      </c>
      <c r="F41" s="35">
        <f t="shared" si="4"/>
        <v>415.2</v>
      </c>
      <c r="G41" s="41">
        <v>519.0</v>
      </c>
      <c r="H41" s="31">
        <v>545.0</v>
      </c>
      <c r="I41" s="167" t="s">
        <v>1067</v>
      </c>
      <c r="J41" s="44"/>
      <c r="K41" s="57" t="s">
        <v>1068</v>
      </c>
      <c r="L41" s="57" t="s">
        <v>1069</v>
      </c>
      <c r="M41" s="57" t="s">
        <v>1070</v>
      </c>
      <c r="N41" s="5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43" t="s">
        <v>115</v>
      </c>
      <c r="D42" s="15" t="s">
        <v>116</v>
      </c>
      <c r="E42" s="15" t="s">
        <v>117</v>
      </c>
      <c r="F42" s="35">
        <f t="shared" si="4"/>
        <v>287.2</v>
      </c>
      <c r="G42" s="41">
        <v>359.0</v>
      </c>
      <c r="H42" s="31">
        <v>375.0</v>
      </c>
      <c r="I42" s="167" t="s">
        <v>1071</v>
      </c>
      <c r="J42" s="44"/>
      <c r="K42" s="57" t="s">
        <v>1072</v>
      </c>
      <c r="L42" s="57" t="s">
        <v>1073</v>
      </c>
      <c r="M42" s="57" t="s">
        <v>1074</v>
      </c>
      <c r="N42" s="5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43" t="s">
        <v>118</v>
      </c>
      <c r="D43" s="15" t="s">
        <v>119</v>
      </c>
      <c r="E43" s="15" t="s">
        <v>120</v>
      </c>
      <c r="F43" s="35">
        <f t="shared" si="4"/>
        <v>303.2</v>
      </c>
      <c r="G43" s="48">
        <v>379.0</v>
      </c>
      <c r="H43" s="31">
        <v>395.0</v>
      </c>
      <c r="I43" s="167" t="s">
        <v>1075</v>
      </c>
      <c r="J43" s="44"/>
      <c r="K43" s="179" t="s">
        <v>1076</v>
      </c>
      <c r="L43" s="179" t="s">
        <v>1077</v>
      </c>
      <c r="M43" s="179" t="s">
        <v>1078</v>
      </c>
      <c r="N43" s="5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28" t="s">
        <v>463</v>
      </c>
      <c r="D44" s="15" t="s">
        <v>464</v>
      </c>
      <c r="E44" s="15" t="s">
        <v>465</v>
      </c>
      <c r="F44" s="35"/>
      <c r="G44" s="47"/>
      <c r="H44" s="31">
        <v>425.0</v>
      </c>
      <c r="I44" s="167" t="s">
        <v>1079</v>
      </c>
      <c r="J44" s="44"/>
      <c r="K44" s="179" t="s">
        <v>1080</v>
      </c>
      <c r="L44" s="179" t="s">
        <v>1081</v>
      </c>
      <c r="M44" s="179" t="s">
        <v>1082</v>
      </c>
      <c r="N44" s="5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95" t="s">
        <v>466</v>
      </c>
      <c r="D45" s="96" t="s">
        <v>467</v>
      </c>
      <c r="E45" s="15" t="s">
        <v>468</v>
      </c>
      <c r="F45" s="35"/>
      <c r="G45" s="47"/>
      <c r="H45" s="31">
        <v>445.0</v>
      </c>
      <c r="I45" s="167" t="s">
        <v>1083</v>
      </c>
      <c r="J45" s="44"/>
      <c r="K45" s="179" t="s">
        <v>1084</v>
      </c>
      <c r="L45" s="179" t="s">
        <v>1085</v>
      </c>
      <c r="M45" s="179" t="s">
        <v>1086</v>
      </c>
      <c r="N45" s="57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28" t="s">
        <v>121</v>
      </c>
      <c r="D46" s="15" t="s">
        <v>122</v>
      </c>
      <c r="E46" s="15" t="s">
        <v>123</v>
      </c>
      <c r="F46" s="35">
        <f t="shared" ref="F46:F47" si="5">G46*0.8</f>
        <v>287.2</v>
      </c>
      <c r="G46" s="41">
        <v>359.0</v>
      </c>
      <c r="H46" s="31">
        <v>375.0</v>
      </c>
      <c r="I46" s="167" t="s">
        <v>1087</v>
      </c>
      <c r="J46" s="44"/>
      <c r="K46" s="57" t="s">
        <v>1088</v>
      </c>
      <c r="L46" s="57" t="s">
        <v>1089</v>
      </c>
      <c r="M46" s="57" t="s">
        <v>1090</v>
      </c>
      <c r="N46" s="5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124</v>
      </c>
      <c r="D47" s="15" t="s">
        <v>125</v>
      </c>
      <c r="E47" s="15" t="s">
        <v>126</v>
      </c>
      <c r="F47" s="35">
        <f t="shared" si="5"/>
        <v>303.2</v>
      </c>
      <c r="G47" s="48">
        <v>379.0</v>
      </c>
      <c r="H47" s="31">
        <v>395.0</v>
      </c>
      <c r="I47" s="167" t="s">
        <v>1091</v>
      </c>
      <c r="J47" s="44"/>
      <c r="K47" s="57" t="s">
        <v>1092</v>
      </c>
      <c r="L47" s="57" t="s">
        <v>1093</v>
      </c>
      <c r="M47" s="57" t="s">
        <v>1094</v>
      </c>
      <c r="N47" s="5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/>
      <c r="D48" s="15"/>
      <c r="E48" s="15" t="s">
        <v>1095</v>
      </c>
      <c r="F48" s="35"/>
      <c r="G48" s="48"/>
      <c r="H48" s="31"/>
      <c r="I48" s="167"/>
      <c r="J48" s="44"/>
      <c r="K48" s="57" t="s">
        <v>1096</v>
      </c>
      <c r="L48" s="57" t="s">
        <v>1097</v>
      </c>
      <c r="M48" s="57" t="s">
        <v>1098</v>
      </c>
      <c r="N48" s="5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21" t="s">
        <v>17</v>
      </c>
      <c r="D49" s="22" t="s">
        <v>17</v>
      </c>
      <c r="E49" s="23" t="s">
        <v>127</v>
      </c>
      <c r="F49" s="24" t="s">
        <v>17</v>
      </c>
      <c r="G49" s="24" t="s">
        <v>17</v>
      </c>
      <c r="H49" s="25" t="s">
        <v>17</v>
      </c>
      <c r="I49" s="25" t="s">
        <v>17</v>
      </c>
      <c r="J49" s="25" t="s">
        <v>17</v>
      </c>
      <c r="K49" s="25" t="s">
        <v>17</v>
      </c>
      <c r="L49" s="25" t="s">
        <v>17</v>
      </c>
      <c r="M49" s="25" t="s">
        <v>17</v>
      </c>
      <c r="N49" s="25" t="s">
        <v>17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128</v>
      </c>
      <c r="D50" s="49" t="s">
        <v>129</v>
      </c>
      <c r="E50" s="32" t="s">
        <v>130</v>
      </c>
      <c r="F50" s="50">
        <f t="shared" ref="F50:F59" si="6">H50</f>
        <v>59.95</v>
      </c>
      <c r="G50" s="51">
        <f t="shared" ref="G50:G59" si="7">H50</f>
        <v>59.95</v>
      </c>
      <c r="H50" s="52">
        <v>59.95</v>
      </c>
      <c r="I50" s="32"/>
      <c r="J50" s="44"/>
      <c r="K50" s="44"/>
      <c r="L50" s="44"/>
      <c r="M50" s="32"/>
      <c r="N50" s="15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131</v>
      </c>
      <c r="D51" s="15" t="s">
        <v>132</v>
      </c>
      <c r="E51" s="32" t="s">
        <v>133</v>
      </c>
      <c r="F51" s="50">
        <f t="shared" si="6"/>
        <v>59.95</v>
      </c>
      <c r="G51" s="51">
        <f t="shared" si="7"/>
        <v>59.95</v>
      </c>
      <c r="H51" s="52">
        <v>59.95</v>
      </c>
      <c r="I51" s="32"/>
      <c r="J51" s="44"/>
      <c r="K51" s="44"/>
      <c r="L51" s="44"/>
      <c r="M51" s="32"/>
      <c r="N51" s="15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134</v>
      </c>
      <c r="D52" s="15" t="s">
        <v>135</v>
      </c>
      <c r="E52" s="32" t="s">
        <v>136</v>
      </c>
      <c r="F52" s="50">
        <f t="shared" si="6"/>
        <v>33.95</v>
      </c>
      <c r="G52" s="51">
        <f t="shared" si="7"/>
        <v>33.95</v>
      </c>
      <c r="H52" s="52">
        <v>33.95</v>
      </c>
      <c r="I52" s="32"/>
      <c r="J52" s="32"/>
      <c r="K52" s="32"/>
      <c r="L52" s="32"/>
      <c r="M52" s="32"/>
      <c r="N52" s="15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27"/>
      <c r="C53" s="43" t="s">
        <v>137</v>
      </c>
      <c r="D53" s="15" t="s">
        <v>138</v>
      </c>
      <c r="E53" s="32" t="s">
        <v>139</v>
      </c>
      <c r="F53" s="50">
        <f t="shared" si="6"/>
        <v>42.95</v>
      </c>
      <c r="G53" s="51">
        <f t="shared" si="7"/>
        <v>42.95</v>
      </c>
      <c r="H53" s="52">
        <v>42.95</v>
      </c>
      <c r="I53" s="32"/>
      <c r="J53" s="32"/>
      <c r="K53" s="32"/>
      <c r="L53" s="32"/>
      <c r="M53" s="32"/>
      <c r="N53" s="15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7"/>
      <c r="C54" s="43" t="s">
        <v>140</v>
      </c>
      <c r="D54" s="15" t="s">
        <v>141</v>
      </c>
      <c r="E54" s="32" t="s">
        <v>142</v>
      </c>
      <c r="F54" s="50">
        <f t="shared" si="6"/>
        <v>79.95</v>
      </c>
      <c r="G54" s="51">
        <f t="shared" si="7"/>
        <v>79.95</v>
      </c>
      <c r="H54" s="52">
        <v>79.95</v>
      </c>
      <c r="I54" s="32"/>
      <c r="J54" s="32"/>
      <c r="K54" s="32"/>
      <c r="L54" s="32"/>
      <c r="M54" s="32"/>
      <c r="N54" s="15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43" t="s">
        <v>143</v>
      </c>
      <c r="D55" s="15" t="s">
        <v>144</v>
      </c>
      <c r="E55" s="15" t="s">
        <v>145</v>
      </c>
      <c r="F55" s="50">
        <f t="shared" si="6"/>
        <v>42.95</v>
      </c>
      <c r="G55" s="51">
        <f t="shared" si="7"/>
        <v>42.95</v>
      </c>
      <c r="H55" s="52">
        <v>42.95</v>
      </c>
      <c r="I55" s="32"/>
      <c r="J55" s="32"/>
      <c r="K55" s="32"/>
      <c r="L55" s="32"/>
      <c r="M55" s="32"/>
      <c r="N55" s="15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43" t="s">
        <v>146</v>
      </c>
      <c r="D56" s="15" t="s">
        <v>147</v>
      </c>
      <c r="E56" s="15" t="s">
        <v>148</v>
      </c>
      <c r="F56" s="50">
        <f t="shared" si="6"/>
        <v>59.95</v>
      </c>
      <c r="G56" s="51">
        <f t="shared" si="7"/>
        <v>59.95</v>
      </c>
      <c r="H56" s="52">
        <v>59.95</v>
      </c>
      <c r="I56" s="32"/>
      <c r="J56" s="32"/>
      <c r="K56" s="32"/>
      <c r="L56" s="32"/>
      <c r="M56" s="32"/>
      <c r="N56" s="15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7"/>
      <c r="C57" s="43" t="s">
        <v>149</v>
      </c>
      <c r="D57" s="15" t="s">
        <v>150</v>
      </c>
      <c r="E57" s="15" t="s">
        <v>151</v>
      </c>
      <c r="F57" s="50">
        <f t="shared" si="6"/>
        <v>33.95</v>
      </c>
      <c r="G57" s="51">
        <f t="shared" si="7"/>
        <v>33.95</v>
      </c>
      <c r="H57" s="52">
        <v>33.95</v>
      </c>
      <c r="I57" s="32"/>
      <c r="J57" s="32"/>
      <c r="K57" s="32"/>
      <c r="L57" s="32"/>
      <c r="M57" s="32"/>
      <c r="N57" s="15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43" t="s">
        <v>152</v>
      </c>
      <c r="D58" s="53" t="s">
        <v>153</v>
      </c>
      <c r="E58" s="15" t="s">
        <v>154</v>
      </c>
      <c r="F58" s="50">
        <f t="shared" si="6"/>
        <v>80</v>
      </c>
      <c r="G58" s="51">
        <f t="shared" si="7"/>
        <v>80</v>
      </c>
      <c r="H58" s="54">
        <v>80.0</v>
      </c>
      <c r="I58" s="32"/>
      <c r="J58" s="32"/>
      <c r="K58" s="32"/>
      <c r="L58" s="32"/>
      <c r="M58" s="32"/>
      <c r="N58" s="15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38"/>
      <c r="C59" s="28" t="s">
        <v>155</v>
      </c>
      <c r="D59" s="53" t="s">
        <v>156</v>
      </c>
      <c r="E59" s="15" t="s">
        <v>157</v>
      </c>
      <c r="F59" s="50">
        <f t="shared" si="6"/>
        <v>29.95</v>
      </c>
      <c r="G59" s="51">
        <f t="shared" si="7"/>
        <v>29.95</v>
      </c>
      <c r="H59" s="52">
        <v>29.95</v>
      </c>
      <c r="I59" s="32"/>
      <c r="J59" s="32"/>
      <c r="K59" s="32"/>
      <c r="L59" s="32"/>
      <c r="M59" s="32"/>
      <c r="N59" s="15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0" t="s">
        <v>158</v>
      </c>
      <c r="C60" s="21" t="s">
        <v>17</v>
      </c>
      <c r="D60" s="22" t="s">
        <v>17</v>
      </c>
      <c r="E60" s="23" t="s">
        <v>159</v>
      </c>
      <c r="F60" s="24" t="s">
        <v>17</v>
      </c>
      <c r="G60" s="24" t="s">
        <v>17</v>
      </c>
      <c r="H60" s="25" t="s">
        <v>17</v>
      </c>
      <c r="I60" s="25" t="s">
        <v>17</v>
      </c>
      <c r="J60" s="25" t="s">
        <v>17</v>
      </c>
      <c r="K60" s="25" t="s">
        <v>17</v>
      </c>
      <c r="L60" s="25" t="s">
        <v>17</v>
      </c>
      <c r="M60" s="25" t="s">
        <v>17</v>
      </c>
      <c r="N60" s="25" t="s">
        <v>17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160</v>
      </c>
      <c r="D61" s="15" t="s">
        <v>161</v>
      </c>
      <c r="E61" s="15" t="s">
        <v>162</v>
      </c>
      <c r="F61" s="50">
        <f t="shared" ref="F61:F63" si="8">H61*80%</f>
        <v>208</v>
      </c>
      <c r="G61" s="56">
        <v>260.0</v>
      </c>
      <c r="H61" s="52">
        <v>260.0</v>
      </c>
      <c r="I61" s="165"/>
      <c r="J61" s="165"/>
      <c r="K61" s="179" t="s">
        <v>1099</v>
      </c>
      <c r="L61" s="179" t="s">
        <v>1100</v>
      </c>
      <c r="M61" s="179" t="s">
        <v>1101</v>
      </c>
      <c r="N61" s="214" t="s">
        <v>1102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164</v>
      </c>
      <c r="D62" s="15" t="s">
        <v>165</v>
      </c>
      <c r="E62" s="15" t="s">
        <v>166</v>
      </c>
      <c r="F62" s="50">
        <f t="shared" si="8"/>
        <v>208</v>
      </c>
      <c r="G62" s="56">
        <v>260.0</v>
      </c>
      <c r="H62" s="52">
        <v>260.0</v>
      </c>
      <c r="I62" s="165"/>
      <c r="J62" s="165"/>
      <c r="K62" s="179" t="s">
        <v>1103</v>
      </c>
      <c r="L62" s="179" t="s">
        <v>1104</v>
      </c>
      <c r="M62" s="179" t="s">
        <v>1105</v>
      </c>
      <c r="N62" s="214" t="s">
        <v>1106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167</v>
      </c>
      <c r="D63" s="15" t="s">
        <v>168</v>
      </c>
      <c r="E63" s="15" t="s">
        <v>169</v>
      </c>
      <c r="F63" s="50">
        <f t="shared" si="8"/>
        <v>208</v>
      </c>
      <c r="G63" s="56">
        <v>260.0</v>
      </c>
      <c r="H63" s="52">
        <v>260.0</v>
      </c>
      <c r="I63" s="165"/>
      <c r="J63" s="165"/>
      <c r="K63" s="179" t="s">
        <v>1107</v>
      </c>
      <c r="L63" s="179" t="s">
        <v>1108</v>
      </c>
      <c r="M63" s="179" t="s">
        <v>1109</v>
      </c>
      <c r="N63" s="214" t="s">
        <v>1110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21" t="s">
        <v>17</v>
      </c>
      <c r="D64" s="22" t="s">
        <v>17</v>
      </c>
      <c r="E64" s="23" t="s">
        <v>170</v>
      </c>
      <c r="F64" s="24" t="s">
        <v>17</v>
      </c>
      <c r="G64" s="24" t="s">
        <v>17</v>
      </c>
      <c r="H64" s="25" t="s">
        <v>17</v>
      </c>
      <c r="I64" s="25" t="s">
        <v>17</v>
      </c>
      <c r="J64" s="25" t="s">
        <v>17</v>
      </c>
      <c r="K64" s="25" t="s">
        <v>17</v>
      </c>
      <c r="L64" s="25" t="s">
        <v>17</v>
      </c>
      <c r="M64" s="25" t="s">
        <v>17</v>
      </c>
      <c r="N64" s="25" t="s">
        <v>17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55" t="s">
        <v>171</v>
      </c>
      <c r="D65" s="15" t="s">
        <v>172</v>
      </c>
      <c r="E65" s="15" t="s">
        <v>173</v>
      </c>
      <c r="F65" s="50">
        <f t="shared" ref="F65:F70" si="9">H65*70%</f>
        <v>51.1</v>
      </c>
      <c r="G65" s="56">
        <v>73.0</v>
      </c>
      <c r="H65" s="52">
        <v>73.0</v>
      </c>
      <c r="I65" s="165"/>
      <c r="J65" s="165"/>
      <c r="K65" s="165"/>
      <c r="L65" s="165"/>
      <c r="M65" s="165"/>
      <c r="N65" s="32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55" t="s">
        <v>176</v>
      </c>
      <c r="D66" s="15" t="s">
        <v>177</v>
      </c>
      <c r="E66" s="15" t="s">
        <v>178</v>
      </c>
      <c r="F66" s="50">
        <f t="shared" si="9"/>
        <v>51.1</v>
      </c>
      <c r="G66" s="56">
        <v>73.0</v>
      </c>
      <c r="H66" s="52">
        <v>73.0</v>
      </c>
      <c r="I66" s="165"/>
      <c r="J66" s="165"/>
      <c r="K66" s="165"/>
      <c r="L66" s="165"/>
      <c r="M66" s="165"/>
      <c r="N66" s="32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179</v>
      </c>
      <c r="D67" s="15" t="s">
        <v>180</v>
      </c>
      <c r="E67" s="15" t="s">
        <v>181</v>
      </c>
      <c r="F67" s="50">
        <f t="shared" si="9"/>
        <v>57.365</v>
      </c>
      <c r="G67" s="56">
        <v>81.95</v>
      </c>
      <c r="H67" s="52">
        <v>81.95</v>
      </c>
      <c r="I67" s="165"/>
      <c r="J67" s="165"/>
      <c r="K67" s="165"/>
      <c r="L67" s="165"/>
      <c r="M67" s="165"/>
      <c r="N67" s="214" t="s">
        <v>1111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55" t="s">
        <v>182</v>
      </c>
      <c r="D68" s="15" t="s">
        <v>183</v>
      </c>
      <c r="E68" s="15" t="s">
        <v>184</v>
      </c>
      <c r="F68" s="50">
        <f t="shared" si="9"/>
        <v>60.865</v>
      </c>
      <c r="G68" s="56">
        <v>86.95</v>
      </c>
      <c r="H68" s="52">
        <v>86.95</v>
      </c>
      <c r="I68" s="165"/>
      <c r="J68" s="165"/>
      <c r="K68" s="165"/>
      <c r="L68" s="165"/>
      <c r="M68" s="165"/>
      <c r="N68" s="214" t="s">
        <v>1112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55" t="s">
        <v>185</v>
      </c>
      <c r="D69" s="15" t="s">
        <v>186</v>
      </c>
      <c r="E69" s="15" t="s">
        <v>187</v>
      </c>
      <c r="F69" s="50">
        <f t="shared" si="9"/>
        <v>67.165</v>
      </c>
      <c r="G69" s="56">
        <v>95.95</v>
      </c>
      <c r="H69" s="52">
        <v>95.95</v>
      </c>
      <c r="I69" s="165"/>
      <c r="J69" s="165"/>
      <c r="K69" s="165"/>
      <c r="L69" s="165"/>
      <c r="M69" s="165"/>
      <c r="N69" s="214" t="s">
        <v>1113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188</v>
      </c>
      <c r="D70" s="15" t="s">
        <v>189</v>
      </c>
      <c r="E70" s="15" t="s">
        <v>190</v>
      </c>
      <c r="F70" s="50">
        <f t="shared" si="9"/>
        <v>74.865</v>
      </c>
      <c r="G70" s="56">
        <v>106.95</v>
      </c>
      <c r="H70" s="52">
        <v>106.95</v>
      </c>
      <c r="I70" s="165"/>
      <c r="J70" s="165"/>
      <c r="K70" s="165"/>
      <c r="L70" s="165"/>
      <c r="M70" s="165"/>
      <c r="N70" s="214" t="s">
        <v>1114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39" t="s">
        <v>1115</v>
      </c>
      <c r="D71" s="15" t="s">
        <v>624</v>
      </c>
      <c r="E71" s="15" t="s">
        <v>625</v>
      </c>
      <c r="F71" s="50"/>
      <c r="G71" s="56"/>
      <c r="H71" s="52"/>
      <c r="I71" s="165"/>
      <c r="J71" s="165"/>
      <c r="K71" s="179" t="s">
        <v>1116</v>
      </c>
      <c r="L71" s="179" t="s">
        <v>1117</v>
      </c>
      <c r="M71" s="179" t="s">
        <v>1118</v>
      </c>
      <c r="N71" s="214" t="s">
        <v>1119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39" t="s">
        <v>191</v>
      </c>
      <c r="D72" s="15" t="s">
        <v>192</v>
      </c>
      <c r="E72" s="15" t="s">
        <v>193</v>
      </c>
      <c r="F72" s="50">
        <f>H72*70%</f>
        <v>74.865</v>
      </c>
      <c r="G72" s="56">
        <v>106.95</v>
      </c>
      <c r="H72" s="52">
        <v>106.95</v>
      </c>
      <c r="I72" s="165"/>
      <c r="J72" s="165"/>
      <c r="K72" s="179" t="s">
        <v>1120</v>
      </c>
      <c r="L72" s="179" t="s">
        <v>1121</v>
      </c>
      <c r="M72" s="179" t="s">
        <v>1122</v>
      </c>
      <c r="N72" s="181" t="s">
        <v>1123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21" t="s">
        <v>17</v>
      </c>
      <c r="D73" s="22" t="s">
        <v>17</v>
      </c>
      <c r="E73" s="23" t="s">
        <v>194</v>
      </c>
      <c r="F73" s="24" t="s">
        <v>17</v>
      </c>
      <c r="G73" s="24" t="s">
        <v>17</v>
      </c>
      <c r="H73" s="25" t="s">
        <v>17</v>
      </c>
      <c r="I73" s="25" t="s">
        <v>17</v>
      </c>
      <c r="J73" s="25" t="s">
        <v>17</v>
      </c>
      <c r="K73" s="25" t="s">
        <v>17</v>
      </c>
      <c r="L73" s="25" t="s">
        <v>17</v>
      </c>
      <c r="M73" s="25" t="s">
        <v>17</v>
      </c>
      <c r="N73" s="25" t="s">
        <v>17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195</v>
      </c>
      <c r="D74" s="15" t="s">
        <v>196</v>
      </c>
      <c r="E74" s="15" t="s">
        <v>197</v>
      </c>
      <c r="F74" s="50">
        <f t="shared" ref="F74:F82" si="10">H74*70%</f>
        <v>18.2</v>
      </c>
      <c r="G74" s="56">
        <v>26.0</v>
      </c>
      <c r="H74" s="54">
        <v>26.0</v>
      </c>
      <c r="I74" s="165"/>
      <c r="J74" s="165"/>
      <c r="K74" s="165"/>
      <c r="L74" s="165"/>
      <c r="M74" s="165"/>
      <c r="N74" s="215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27"/>
      <c r="C75" s="55" t="s">
        <v>198</v>
      </c>
      <c r="D75" s="15" t="s">
        <v>199</v>
      </c>
      <c r="E75" s="15" t="s">
        <v>200</v>
      </c>
      <c r="F75" s="50">
        <f t="shared" si="10"/>
        <v>18.2</v>
      </c>
      <c r="G75" s="56">
        <v>26.0</v>
      </c>
      <c r="H75" s="54">
        <v>26.0</v>
      </c>
      <c r="I75" s="165"/>
      <c r="J75" s="165"/>
      <c r="K75" s="165"/>
      <c r="L75" s="165"/>
      <c r="M75" s="165"/>
      <c r="N75" s="165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7"/>
      <c r="C76" s="55" t="s">
        <v>201</v>
      </c>
      <c r="D76" s="15" t="s">
        <v>202</v>
      </c>
      <c r="E76" s="15" t="s">
        <v>203</v>
      </c>
      <c r="F76" s="50">
        <f t="shared" si="10"/>
        <v>21</v>
      </c>
      <c r="G76" s="56">
        <v>30.0</v>
      </c>
      <c r="H76" s="54">
        <v>30.0</v>
      </c>
      <c r="I76" s="165"/>
      <c r="J76" s="165"/>
      <c r="K76" s="165"/>
      <c r="L76" s="165"/>
      <c r="M76" s="165"/>
      <c r="N76" s="165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55" t="s">
        <v>204</v>
      </c>
      <c r="D77" s="15" t="s">
        <v>205</v>
      </c>
      <c r="E77" s="15" t="s">
        <v>206</v>
      </c>
      <c r="F77" s="50">
        <f t="shared" si="10"/>
        <v>12.6</v>
      </c>
      <c r="G77" s="56">
        <v>18.0</v>
      </c>
      <c r="H77" s="52">
        <v>18.0</v>
      </c>
      <c r="I77" s="165"/>
      <c r="J77" s="165"/>
      <c r="K77" s="165"/>
      <c r="L77" s="165"/>
      <c r="M77" s="165"/>
      <c r="N77" s="165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55" t="s">
        <v>207</v>
      </c>
      <c r="D78" s="15" t="s">
        <v>208</v>
      </c>
      <c r="E78" s="15" t="s">
        <v>209</v>
      </c>
      <c r="F78" s="50">
        <f t="shared" si="10"/>
        <v>15.4</v>
      </c>
      <c r="G78" s="56">
        <v>22.0</v>
      </c>
      <c r="H78" s="54">
        <v>22.0</v>
      </c>
      <c r="I78" s="165"/>
      <c r="J78" s="165"/>
      <c r="K78" s="165"/>
      <c r="L78" s="165"/>
      <c r="M78" s="165"/>
      <c r="N78" s="165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7"/>
      <c r="C79" s="55" t="s">
        <v>210</v>
      </c>
      <c r="D79" s="15" t="s">
        <v>211</v>
      </c>
      <c r="E79" s="15" t="s">
        <v>212</v>
      </c>
      <c r="F79" s="50">
        <f t="shared" si="10"/>
        <v>11.2</v>
      </c>
      <c r="G79" s="56">
        <v>16.0</v>
      </c>
      <c r="H79" s="52">
        <v>16.0</v>
      </c>
      <c r="I79" s="165"/>
      <c r="J79" s="165"/>
      <c r="K79" s="165"/>
      <c r="L79" s="165"/>
      <c r="M79" s="165"/>
      <c r="N79" s="165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55" t="s">
        <v>213</v>
      </c>
      <c r="D80" s="15" t="s">
        <v>214</v>
      </c>
      <c r="E80" s="15" t="s">
        <v>215</v>
      </c>
      <c r="F80" s="50">
        <f t="shared" si="10"/>
        <v>11.2</v>
      </c>
      <c r="G80" s="56">
        <v>16.0</v>
      </c>
      <c r="H80" s="52">
        <v>16.0</v>
      </c>
      <c r="I80" s="165"/>
      <c r="J80" s="165"/>
      <c r="K80" s="165"/>
      <c r="L80" s="165"/>
      <c r="M80" s="165"/>
      <c r="N80" s="165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55" t="s">
        <v>216</v>
      </c>
      <c r="D81" s="15" t="s">
        <v>217</v>
      </c>
      <c r="E81" s="15" t="s">
        <v>218</v>
      </c>
      <c r="F81" s="50">
        <f t="shared" si="10"/>
        <v>14.7</v>
      </c>
      <c r="G81" s="56">
        <v>21.0</v>
      </c>
      <c r="H81" s="54">
        <v>21.0</v>
      </c>
      <c r="I81" s="165"/>
      <c r="J81" s="165"/>
      <c r="K81" s="165"/>
      <c r="L81" s="165"/>
      <c r="M81" s="165"/>
      <c r="N81" s="165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38"/>
      <c r="C82" s="55" t="s">
        <v>219</v>
      </c>
      <c r="D82" s="49" t="s">
        <v>220</v>
      </c>
      <c r="E82" s="15" t="s">
        <v>221</v>
      </c>
      <c r="F82" s="50">
        <f t="shared" si="10"/>
        <v>15.4</v>
      </c>
      <c r="G82" s="56">
        <v>22.0</v>
      </c>
      <c r="H82" s="54">
        <v>22.0</v>
      </c>
      <c r="I82" s="165"/>
      <c r="J82" s="165"/>
      <c r="K82" s="165"/>
      <c r="L82" s="165"/>
      <c r="M82" s="165"/>
      <c r="N82" s="165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0"/>
      <c r="C83" s="216"/>
      <c r="D83" s="217"/>
      <c r="E83" s="218" t="s">
        <v>533</v>
      </c>
      <c r="F83" s="217"/>
      <c r="G83" s="217"/>
      <c r="H83" s="217"/>
      <c r="I83" s="217"/>
      <c r="J83" s="217"/>
      <c r="K83" s="217"/>
      <c r="L83" s="217"/>
      <c r="M83" s="217"/>
      <c r="N83" s="219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105" t="s">
        <v>738</v>
      </c>
      <c r="D84" s="150" t="s">
        <v>538</v>
      </c>
      <c r="E84" s="192" t="s">
        <v>539</v>
      </c>
      <c r="F84" s="133">
        <v>149.95</v>
      </c>
      <c r="G84" s="134">
        <v>149.95</v>
      </c>
      <c r="H84" s="135">
        <v>199.0</v>
      </c>
      <c r="I84" s="167" t="s">
        <v>1124</v>
      </c>
      <c r="J84" s="165"/>
      <c r="K84" s="167" t="s">
        <v>1125</v>
      </c>
      <c r="L84" s="167" t="s">
        <v>1126</v>
      </c>
      <c r="M84" s="167" t="s">
        <v>1127</v>
      </c>
      <c r="N84" s="15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105" t="s">
        <v>740</v>
      </c>
      <c r="D85" s="150" t="s">
        <v>535</v>
      </c>
      <c r="E85" s="192" t="s">
        <v>536</v>
      </c>
      <c r="F85" s="133">
        <v>239.96</v>
      </c>
      <c r="G85" s="134">
        <v>299.95</v>
      </c>
      <c r="H85" s="135">
        <v>299.95</v>
      </c>
      <c r="I85" s="37" t="s">
        <v>645</v>
      </c>
      <c r="J85" s="166"/>
      <c r="K85" s="167" t="s">
        <v>1128</v>
      </c>
      <c r="L85" s="167" t="s">
        <v>1129</v>
      </c>
      <c r="M85" s="167" t="s">
        <v>1130</v>
      </c>
      <c r="N85" s="15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38"/>
      <c r="C86" s="105" t="s">
        <v>1131</v>
      </c>
      <c r="D86" s="150" t="s">
        <v>541</v>
      </c>
      <c r="E86" s="192" t="s">
        <v>542</v>
      </c>
      <c r="F86" s="133">
        <v>354.15</v>
      </c>
      <c r="G86" s="134">
        <v>399.0</v>
      </c>
      <c r="H86" s="135">
        <v>399.0</v>
      </c>
      <c r="I86" s="167" t="s">
        <v>1132</v>
      </c>
      <c r="J86" s="165"/>
      <c r="K86" s="167" t="s">
        <v>1133</v>
      </c>
      <c r="L86" s="167" t="s">
        <v>1134</v>
      </c>
      <c r="M86" s="167" t="s">
        <v>1135</v>
      </c>
      <c r="N86" s="15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0" t="s">
        <v>222</v>
      </c>
      <c r="C87" s="21" t="s">
        <v>17</v>
      </c>
      <c r="D87" s="22" t="s">
        <v>17</v>
      </c>
      <c r="E87" s="23" t="s">
        <v>223</v>
      </c>
      <c r="F87" s="24" t="s">
        <v>17</v>
      </c>
      <c r="G87" s="24" t="s">
        <v>17</v>
      </c>
      <c r="H87" s="25" t="s">
        <v>17</v>
      </c>
      <c r="I87" s="25" t="s">
        <v>17</v>
      </c>
      <c r="J87" s="25" t="s">
        <v>17</v>
      </c>
      <c r="K87" s="25" t="s">
        <v>17</v>
      </c>
      <c r="L87" s="25" t="s">
        <v>17</v>
      </c>
      <c r="M87" s="25" t="s">
        <v>17</v>
      </c>
      <c r="N87" s="25" t="s">
        <v>17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224</v>
      </c>
      <c r="D88" s="15" t="s">
        <v>225</v>
      </c>
      <c r="E88" s="15" t="s">
        <v>226</v>
      </c>
      <c r="F88" s="58">
        <v>45.49</v>
      </c>
      <c r="G88" s="56">
        <v>69.95</v>
      </c>
      <c r="H88" s="52">
        <v>69.95</v>
      </c>
      <c r="I88" s="167" t="s">
        <v>1136</v>
      </c>
      <c r="J88" s="32"/>
      <c r="K88" s="167" t="s">
        <v>1137</v>
      </c>
      <c r="L88" s="167" t="s">
        <v>1138</v>
      </c>
      <c r="M88" s="167" t="s">
        <v>1139</v>
      </c>
      <c r="N88" s="32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227</v>
      </c>
      <c r="D89" s="15" t="s">
        <v>228</v>
      </c>
      <c r="E89" s="15" t="s">
        <v>229</v>
      </c>
      <c r="F89" s="58">
        <v>58.84</v>
      </c>
      <c r="G89" s="56">
        <v>79.95</v>
      </c>
      <c r="H89" s="52">
        <v>79.95</v>
      </c>
      <c r="I89" s="167" t="s">
        <v>1140</v>
      </c>
      <c r="J89" s="32"/>
      <c r="K89" s="167" t="s">
        <v>1141</v>
      </c>
      <c r="L89" s="167" t="s">
        <v>1142</v>
      </c>
      <c r="M89" s="167" t="s">
        <v>1143</v>
      </c>
      <c r="N89" s="16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230</v>
      </c>
      <c r="D90" s="15" t="s">
        <v>231</v>
      </c>
      <c r="E90" s="15" t="s">
        <v>232</v>
      </c>
      <c r="F90" s="58">
        <v>92.41</v>
      </c>
      <c r="G90" s="56">
        <v>114.95</v>
      </c>
      <c r="H90" s="54">
        <v>119.0</v>
      </c>
      <c r="I90" s="166" t="s">
        <v>1144</v>
      </c>
      <c r="J90" s="32"/>
      <c r="K90" s="167" t="s">
        <v>1145</v>
      </c>
      <c r="L90" s="167" t="s">
        <v>1146</v>
      </c>
      <c r="M90" s="167" t="s">
        <v>1147</v>
      </c>
      <c r="N90" s="32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39" t="s">
        <v>233</v>
      </c>
      <c r="D91" s="15" t="s">
        <v>234</v>
      </c>
      <c r="E91" s="15" t="s">
        <v>235</v>
      </c>
      <c r="F91" s="58">
        <v>17.99</v>
      </c>
      <c r="G91" s="56">
        <v>24.95</v>
      </c>
      <c r="H91" s="52">
        <v>24.95</v>
      </c>
      <c r="I91" s="167" t="s">
        <v>1148</v>
      </c>
      <c r="J91" s="32"/>
      <c r="K91" s="167" t="s">
        <v>1149</v>
      </c>
      <c r="L91" s="167" t="s">
        <v>1150</v>
      </c>
      <c r="M91" s="167" t="s">
        <v>1151</v>
      </c>
      <c r="N91" s="32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236</v>
      </c>
      <c r="D92" s="15" t="s">
        <v>237</v>
      </c>
      <c r="E92" s="15" t="s">
        <v>238</v>
      </c>
      <c r="F92" s="58">
        <v>27.99</v>
      </c>
      <c r="G92" s="59">
        <v>32.95</v>
      </c>
      <c r="H92" s="52">
        <v>32.95</v>
      </c>
      <c r="I92" s="167" t="s">
        <v>1152</v>
      </c>
      <c r="J92" s="32"/>
      <c r="K92" s="167" t="s">
        <v>1153</v>
      </c>
      <c r="L92" s="167" t="s">
        <v>1154</v>
      </c>
      <c r="M92" s="167" t="s">
        <v>1155</v>
      </c>
      <c r="N92" s="32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239</v>
      </c>
      <c r="D93" s="15" t="s">
        <v>240</v>
      </c>
      <c r="E93" s="15" t="s">
        <v>241</v>
      </c>
      <c r="F93" s="58">
        <v>19.95</v>
      </c>
      <c r="G93" s="59">
        <v>19.95</v>
      </c>
      <c r="H93" s="52">
        <v>19.95</v>
      </c>
      <c r="I93" s="167" t="s">
        <v>1156</v>
      </c>
      <c r="J93" s="32"/>
      <c r="K93" s="167" t="s">
        <v>1157</v>
      </c>
      <c r="L93" s="167" t="s">
        <v>1158</v>
      </c>
      <c r="M93" s="167" t="s">
        <v>1159</v>
      </c>
      <c r="N93" s="32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/>
      <c r="D94" s="15" t="s">
        <v>906</v>
      </c>
      <c r="E94" s="15" t="s">
        <v>907</v>
      </c>
      <c r="F94" s="58">
        <f>H94-(H94*0.25)</f>
        <v>26.2125</v>
      </c>
      <c r="G94" s="59">
        <v>34.95</v>
      </c>
      <c r="H94" s="52">
        <v>34.95</v>
      </c>
      <c r="I94" s="167" t="s">
        <v>1160</v>
      </c>
      <c r="J94" s="32"/>
      <c r="K94" s="167" t="s">
        <v>1161</v>
      </c>
      <c r="L94" s="167" t="s">
        <v>1162</v>
      </c>
      <c r="M94" s="167" t="s">
        <v>1163</v>
      </c>
      <c r="N94" s="32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242</v>
      </c>
      <c r="D95" s="15" t="s">
        <v>243</v>
      </c>
      <c r="E95" s="15" t="s">
        <v>244</v>
      </c>
      <c r="F95" s="58">
        <v>33.71</v>
      </c>
      <c r="G95" s="59">
        <v>44.95</v>
      </c>
      <c r="H95" s="52">
        <v>44.95</v>
      </c>
      <c r="I95" s="167" t="s">
        <v>1164</v>
      </c>
      <c r="J95" s="32"/>
      <c r="K95" s="167" t="s">
        <v>1165</v>
      </c>
      <c r="L95" s="167" t="s">
        <v>1166</v>
      </c>
      <c r="M95" s="167" t="s">
        <v>1167</v>
      </c>
      <c r="N95" s="32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39" t="s">
        <v>245</v>
      </c>
      <c r="D96" s="15" t="s">
        <v>246</v>
      </c>
      <c r="E96" s="15" t="s">
        <v>247</v>
      </c>
      <c r="F96" s="58">
        <v>33.71</v>
      </c>
      <c r="G96" s="59">
        <v>44.95</v>
      </c>
      <c r="H96" s="52">
        <v>44.95</v>
      </c>
      <c r="I96" s="167" t="s">
        <v>1168</v>
      </c>
      <c r="J96" s="32"/>
      <c r="K96" s="167" t="s">
        <v>1169</v>
      </c>
      <c r="L96" s="167" t="s">
        <v>1170</v>
      </c>
      <c r="M96" s="167" t="s">
        <v>1171</v>
      </c>
      <c r="N96" s="32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248</v>
      </c>
      <c r="D97" s="15" t="s">
        <v>249</v>
      </c>
      <c r="E97" s="15" t="s">
        <v>250</v>
      </c>
      <c r="F97" s="58">
        <v>104.99</v>
      </c>
      <c r="G97" s="59">
        <v>129.95</v>
      </c>
      <c r="H97" s="52">
        <v>129.95</v>
      </c>
      <c r="I97" s="167" t="s">
        <v>1172</v>
      </c>
      <c r="J97" s="32"/>
      <c r="K97" s="167" t="s">
        <v>1173</v>
      </c>
      <c r="L97" s="167" t="s">
        <v>1174</v>
      </c>
      <c r="M97" s="167" t="s">
        <v>1175</v>
      </c>
      <c r="N97" s="32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/>
      <c r="D98" s="193" t="s">
        <v>633</v>
      </c>
      <c r="E98" s="15" t="s">
        <v>634</v>
      </c>
      <c r="F98" s="58"/>
      <c r="G98" s="59"/>
      <c r="H98" s="52"/>
      <c r="I98" s="167" t="s">
        <v>1176</v>
      </c>
      <c r="J98" s="32"/>
      <c r="K98" s="167" t="s">
        <v>1177</v>
      </c>
      <c r="L98" s="167" t="s">
        <v>1178</v>
      </c>
      <c r="M98" s="167" t="s">
        <v>1179</v>
      </c>
      <c r="N98" s="32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39" t="s">
        <v>251</v>
      </c>
      <c r="D99" s="15" t="s">
        <v>252</v>
      </c>
      <c r="E99" s="15" t="s">
        <v>253</v>
      </c>
      <c r="F99" s="58">
        <v>21.24</v>
      </c>
      <c r="G99" s="59">
        <v>24.95</v>
      </c>
      <c r="H99" s="52">
        <v>24.95</v>
      </c>
      <c r="I99" s="167" t="s">
        <v>1180</v>
      </c>
      <c r="J99" s="32"/>
      <c r="K99" s="167" t="s">
        <v>1181</v>
      </c>
      <c r="L99" s="167" t="s">
        <v>1182</v>
      </c>
      <c r="M99" s="167" t="s">
        <v>1183</v>
      </c>
      <c r="N99" s="32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21" t="s">
        <v>17</v>
      </c>
      <c r="D100" s="22" t="s">
        <v>17</v>
      </c>
      <c r="E100" s="23" t="s">
        <v>254</v>
      </c>
      <c r="F100" s="24" t="s">
        <v>17</v>
      </c>
      <c r="G100" s="24" t="s">
        <v>17</v>
      </c>
      <c r="H100" s="25" t="s">
        <v>17</v>
      </c>
      <c r="I100" s="220"/>
      <c r="J100" s="25" t="s">
        <v>17</v>
      </c>
      <c r="K100" s="25" t="s">
        <v>17</v>
      </c>
      <c r="L100" s="25" t="s">
        <v>17</v>
      </c>
      <c r="M100" s="25" t="s">
        <v>17</v>
      </c>
      <c r="N100" s="25" t="s">
        <v>17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255</v>
      </c>
      <c r="D101" s="15" t="s">
        <v>256</v>
      </c>
      <c r="E101" s="15" t="s">
        <v>257</v>
      </c>
      <c r="F101" s="58">
        <v>84.4</v>
      </c>
      <c r="G101" s="59">
        <v>99.95</v>
      </c>
      <c r="H101" s="52">
        <v>99.95</v>
      </c>
      <c r="I101" s="44"/>
      <c r="J101" s="32"/>
      <c r="K101" s="32"/>
      <c r="L101" s="32"/>
      <c r="M101" s="32"/>
      <c r="N101" s="32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258</v>
      </c>
      <c r="D102" s="15" t="s">
        <v>259</v>
      </c>
      <c r="E102" s="15" t="s">
        <v>260</v>
      </c>
      <c r="F102" s="58">
        <v>126.82</v>
      </c>
      <c r="G102" s="59">
        <v>163.95</v>
      </c>
      <c r="H102" s="52">
        <v>163.95</v>
      </c>
      <c r="I102" s="32"/>
      <c r="J102" s="32"/>
      <c r="K102" s="32"/>
      <c r="L102" s="32"/>
      <c r="M102" s="32"/>
      <c r="N102" s="32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261</v>
      </c>
      <c r="D103" s="15" t="s">
        <v>262</v>
      </c>
      <c r="E103" s="15" t="s">
        <v>263</v>
      </c>
      <c r="F103" s="58">
        <v>24.95</v>
      </c>
      <c r="G103" s="59">
        <v>24.95</v>
      </c>
      <c r="H103" s="52">
        <v>24.95</v>
      </c>
      <c r="I103" s="32"/>
      <c r="J103" s="32"/>
      <c r="K103" s="32"/>
      <c r="L103" s="32"/>
      <c r="M103" s="32"/>
      <c r="N103" s="32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21" t="s">
        <v>17</v>
      </c>
      <c r="D104" s="22" t="s">
        <v>17</v>
      </c>
      <c r="E104" s="23" t="s">
        <v>264</v>
      </c>
      <c r="F104" s="24" t="s">
        <v>17</v>
      </c>
      <c r="G104" s="24" t="s">
        <v>17</v>
      </c>
      <c r="H104" s="25" t="s">
        <v>17</v>
      </c>
      <c r="I104" s="25" t="s">
        <v>17</v>
      </c>
      <c r="J104" s="25" t="s">
        <v>17</v>
      </c>
      <c r="K104" s="25" t="s">
        <v>17</v>
      </c>
      <c r="L104" s="25" t="s">
        <v>17</v>
      </c>
      <c r="M104" s="25" t="s">
        <v>17</v>
      </c>
      <c r="N104" s="25" t="s">
        <v>17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265</v>
      </c>
      <c r="D105" s="15" t="s">
        <v>266</v>
      </c>
      <c r="E105" s="15" t="s">
        <v>267</v>
      </c>
      <c r="F105" s="58">
        <v>104.97</v>
      </c>
      <c r="G105" s="56">
        <v>199.95</v>
      </c>
      <c r="H105" s="52">
        <v>149.95</v>
      </c>
      <c r="I105" s="167" t="s">
        <v>1184</v>
      </c>
      <c r="J105" s="32"/>
      <c r="K105" s="167" t="s">
        <v>1185</v>
      </c>
      <c r="L105" s="167" t="s">
        <v>1186</v>
      </c>
      <c r="M105" s="167" t="s">
        <v>1187</v>
      </c>
      <c r="N105" s="32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268</v>
      </c>
      <c r="D106" s="15" t="s">
        <v>269</v>
      </c>
      <c r="E106" s="15" t="s">
        <v>270</v>
      </c>
      <c r="F106" s="58">
        <v>136.5</v>
      </c>
      <c r="G106" s="56">
        <v>244.95</v>
      </c>
      <c r="H106" s="54">
        <v>195.0</v>
      </c>
      <c r="I106" s="167" t="s">
        <v>1184</v>
      </c>
      <c r="J106" s="32"/>
      <c r="K106" s="167" t="s">
        <v>1188</v>
      </c>
      <c r="L106" s="167" t="s">
        <v>1189</v>
      </c>
      <c r="M106" s="167" t="s">
        <v>1190</v>
      </c>
      <c r="N106" s="32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271</v>
      </c>
      <c r="D107" s="15" t="s">
        <v>272</v>
      </c>
      <c r="E107" s="15" t="s">
        <v>273</v>
      </c>
      <c r="F107" s="58">
        <v>19.95</v>
      </c>
      <c r="G107" s="56">
        <v>49.95</v>
      </c>
      <c r="H107" s="52">
        <v>29.95</v>
      </c>
      <c r="I107" s="167" t="s">
        <v>1191</v>
      </c>
      <c r="J107" s="32"/>
      <c r="K107" s="167" t="s">
        <v>1192</v>
      </c>
      <c r="L107" s="167" t="s">
        <v>1193</v>
      </c>
      <c r="M107" s="167" t="s">
        <v>1194</v>
      </c>
      <c r="N107" s="32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274</v>
      </c>
      <c r="D108" s="15" t="s">
        <v>275</v>
      </c>
      <c r="E108" s="15" t="s">
        <v>276</v>
      </c>
      <c r="F108" s="58">
        <v>19.95</v>
      </c>
      <c r="G108" s="56">
        <v>29.95</v>
      </c>
      <c r="H108" s="52">
        <v>29.95</v>
      </c>
      <c r="I108" s="167" t="s">
        <v>1195</v>
      </c>
      <c r="J108" s="32"/>
      <c r="K108" s="167" t="s">
        <v>1196</v>
      </c>
      <c r="L108" s="167" t="s">
        <v>1197</v>
      </c>
      <c r="M108" s="167" t="s">
        <v>1198</v>
      </c>
      <c r="N108" s="32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21" t="s">
        <v>17</v>
      </c>
      <c r="D109" s="22" t="s">
        <v>17</v>
      </c>
      <c r="E109" s="23" t="s">
        <v>277</v>
      </c>
      <c r="F109" s="24" t="s">
        <v>17</v>
      </c>
      <c r="G109" s="24" t="s">
        <v>17</v>
      </c>
      <c r="H109" s="25" t="s">
        <v>17</v>
      </c>
      <c r="I109" s="25" t="s">
        <v>17</v>
      </c>
      <c r="J109" s="25" t="s">
        <v>17</v>
      </c>
      <c r="K109" s="25" t="s">
        <v>17</v>
      </c>
      <c r="L109" s="25" t="s">
        <v>17</v>
      </c>
      <c r="M109" s="25" t="s">
        <v>17</v>
      </c>
      <c r="N109" s="25" t="s">
        <v>17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278</v>
      </c>
      <c r="D110" s="15" t="s">
        <v>279</v>
      </c>
      <c r="E110" s="15" t="s">
        <v>280</v>
      </c>
      <c r="F110" s="58">
        <v>52.61</v>
      </c>
      <c r="G110" s="59">
        <v>79.95</v>
      </c>
      <c r="H110" s="52">
        <v>79.95</v>
      </c>
      <c r="I110" s="32"/>
      <c r="J110" s="32"/>
      <c r="K110" s="32"/>
      <c r="L110" s="32"/>
      <c r="M110" s="32"/>
      <c r="N110" s="32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39" t="s">
        <v>281</v>
      </c>
      <c r="D111" s="15" t="s">
        <v>282</v>
      </c>
      <c r="E111" s="15" t="s">
        <v>283</v>
      </c>
      <c r="F111" s="58">
        <v>64.5</v>
      </c>
      <c r="G111" s="59">
        <v>129.0</v>
      </c>
      <c r="H111" s="52">
        <v>129.0</v>
      </c>
      <c r="I111" s="32"/>
      <c r="J111" s="32"/>
      <c r="K111" s="32"/>
      <c r="L111" s="32"/>
      <c r="M111" s="32"/>
      <c r="N111" s="32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21" t="s">
        <v>17</v>
      </c>
      <c r="D112" s="22" t="s">
        <v>17</v>
      </c>
      <c r="E112" s="23" t="s">
        <v>284</v>
      </c>
      <c r="F112" s="24" t="s">
        <v>17</v>
      </c>
      <c r="G112" s="24" t="s">
        <v>17</v>
      </c>
      <c r="H112" s="25" t="s">
        <v>17</v>
      </c>
      <c r="I112" s="25" t="s">
        <v>17</v>
      </c>
      <c r="J112" s="25" t="s">
        <v>17</v>
      </c>
      <c r="K112" s="25" t="s">
        <v>17</v>
      </c>
      <c r="L112" s="25" t="s">
        <v>17</v>
      </c>
      <c r="M112" s="25" t="s">
        <v>17</v>
      </c>
      <c r="N112" s="25" t="s">
        <v>17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285</v>
      </c>
      <c r="D113" s="60" t="s">
        <v>286</v>
      </c>
      <c r="E113" s="15" t="s">
        <v>287</v>
      </c>
      <c r="F113" s="58">
        <v>34.68</v>
      </c>
      <c r="G113" s="59">
        <v>39.95</v>
      </c>
      <c r="H113" s="52">
        <v>39.95</v>
      </c>
      <c r="I113" s="167" t="s">
        <v>1199</v>
      </c>
      <c r="J113" s="32"/>
      <c r="K113" s="167" t="s">
        <v>1200</v>
      </c>
      <c r="L113" s="167" t="s">
        <v>1201</v>
      </c>
      <c r="M113" s="167" t="s">
        <v>1202</v>
      </c>
      <c r="N113" s="32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288</v>
      </c>
      <c r="D114" s="60" t="s">
        <v>289</v>
      </c>
      <c r="E114" s="15" t="s">
        <v>290</v>
      </c>
      <c r="F114" s="58">
        <v>34.68</v>
      </c>
      <c r="G114" s="59">
        <v>39.95</v>
      </c>
      <c r="H114" s="52">
        <v>39.95</v>
      </c>
      <c r="I114" s="167" t="s">
        <v>1203</v>
      </c>
      <c r="J114" s="32"/>
      <c r="K114" s="179" t="s">
        <v>1204</v>
      </c>
      <c r="L114" s="179" t="s">
        <v>1205</v>
      </c>
      <c r="M114" s="179" t="s">
        <v>1206</v>
      </c>
      <c r="N114" s="32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291</v>
      </c>
      <c r="D115" s="60" t="s">
        <v>292</v>
      </c>
      <c r="E115" s="15" t="s">
        <v>293</v>
      </c>
      <c r="F115" s="58">
        <v>34.68</v>
      </c>
      <c r="G115" s="59">
        <v>39.95</v>
      </c>
      <c r="H115" s="52">
        <v>39.95</v>
      </c>
      <c r="I115" s="167" t="s">
        <v>1207</v>
      </c>
      <c r="J115" s="32"/>
      <c r="K115" s="179" t="s">
        <v>1208</v>
      </c>
      <c r="L115" s="179" t="s">
        <v>1209</v>
      </c>
      <c r="M115" s="179" t="s">
        <v>1210</v>
      </c>
      <c r="N115" s="32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294</v>
      </c>
      <c r="D116" s="61" t="s">
        <v>295</v>
      </c>
      <c r="E116" s="15" t="s">
        <v>296</v>
      </c>
      <c r="F116" s="58">
        <v>34.68</v>
      </c>
      <c r="G116" s="59">
        <v>39.95</v>
      </c>
      <c r="H116" s="52">
        <v>39.95</v>
      </c>
      <c r="I116" s="167" t="s">
        <v>1211</v>
      </c>
      <c r="J116" s="32"/>
      <c r="K116" s="179" t="s">
        <v>1212</v>
      </c>
      <c r="L116" s="179" t="s">
        <v>1213</v>
      </c>
      <c r="M116" s="179" t="s">
        <v>1214</v>
      </c>
      <c r="N116" s="32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297</v>
      </c>
      <c r="D117" s="60" t="s">
        <v>298</v>
      </c>
      <c r="E117" s="15" t="s">
        <v>299</v>
      </c>
      <c r="F117" s="58">
        <v>34.68</v>
      </c>
      <c r="G117" s="59">
        <v>39.95</v>
      </c>
      <c r="H117" s="52">
        <v>39.95</v>
      </c>
      <c r="I117" s="167" t="s">
        <v>1215</v>
      </c>
      <c r="J117" s="32"/>
      <c r="K117" s="179" t="s">
        <v>1216</v>
      </c>
      <c r="L117" s="179" t="s">
        <v>1217</v>
      </c>
      <c r="M117" s="179" t="s">
        <v>1218</v>
      </c>
      <c r="N117" s="32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300</v>
      </c>
      <c r="D118" s="60" t="s">
        <v>301</v>
      </c>
      <c r="E118" s="15" t="s">
        <v>302</v>
      </c>
      <c r="F118" s="58">
        <v>34.68</v>
      </c>
      <c r="G118" s="59">
        <v>39.95</v>
      </c>
      <c r="H118" s="52">
        <v>39.95</v>
      </c>
      <c r="I118" s="167" t="s">
        <v>1219</v>
      </c>
      <c r="J118" s="32"/>
      <c r="K118" s="179" t="s">
        <v>1220</v>
      </c>
      <c r="L118" s="179" t="s">
        <v>1221</v>
      </c>
      <c r="M118" s="179" t="s">
        <v>1222</v>
      </c>
      <c r="N118" s="32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303</v>
      </c>
      <c r="D119" s="60" t="s">
        <v>304</v>
      </c>
      <c r="E119" s="15" t="s">
        <v>305</v>
      </c>
      <c r="F119" s="58">
        <v>34.68</v>
      </c>
      <c r="G119" s="59">
        <v>39.95</v>
      </c>
      <c r="H119" s="52">
        <v>39.95</v>
      </c>
      <c r="I119" s="167" t="s">
        <v>1223</v>
      </c>
      <c r="J119" s="32"/>
      <c r="K119" s="179" t="s">
        <v>1224</v>
      </c>
      <c r="L119" s="179" t="s">
        <v>1225</v>
      </c>
      <c r="M119" s="179" t="s">
        <v>1226</v>
      </c>
      <c r="N119" s="32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27"/>
      <c r="C120" s="39" t="s">
        <v>306</v>
      </c>
      <c r="D120" s="62" t="s">
        <v>307</v>
      </c>
      <c r="E120" s="15" t="s">
        <v>308</v>
      </c>
      <c r="F120" s="58">
        <v>34.68</v>
      </c>
      <c r="G120" s="59">
        <v>39.95</v>
      </c>
      <c r="H120" s="52">
        <v>39.95</v>
      </c>
      <c r="I120" s="167" t="s">
        <v>1227</v>
      </c>
      <c r="J120" s="32"/>
      <c r="K120" s="179" t="s">
        <v>1228</v>
      </c>
      <c r="L120" s="179" t="s">
        <v>1229</v>
      </c>
      <c r="M120" s="179" t="s">
        <v>1230</v>
      </c>
      <c r="N120" s="32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7"/>
      <c r="C121" s="39" t="s">
        <v>309</v>
      </c>
      <c r="D121" s="60" t="s">
        <v>310</v>
      </c>
      <c r="E121" s="15" t="s">
        <v>311</v>
      </c>
      <c r="F121" s="58">
        <v>34.68</v>
      </c>
      <c r="G121" s="59">
        <v>39.95</v>
      </c>
      <c r="H121" s="52">
        <v>39.95</v>
      </c>
      <c r="I121" s="167" t="s">
        <v>1231</v>
      </c>
      <c r="J121" s="32"/>
      <c r="K121" s="179" t="s">
        <v>1232</v>
      </c>
      <c r="L121" s="179" t="s">
        <v>1233</v>
      </c>
      <c r="M121" s="179" t="s">
        <v>1234</v>
      </c>
      <c r="N121" s="32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39" t="s">
        <v>312</v>
      </c>
      <c r="D122" s="60" t="s">
        <v>313</v>
      </c>
      <c r="E122" s="15" t="s">
        <v>314</v>
      </c>
      <c r="F122" s="58">
        <v>34.68</v>
      </c>
      <c r="G122" s="59">
        <v>39.95</v>
      </c>
      <c r="H122" s="52">
        <v>39.95</v>
      </c>
      <c r="I122" s="167" t="s">
        <v>1235</v>
      </c>
      <c r="J122" s="32"/>
      <c r="K122" s="179" t="s">
        <v>1236</v>
      </c>
      <c r="L122" s="179" t="s">
        <v>1237</v>
      </c>
      <c r="M122" s="179" t="s">
        <v>1238</v>
      </c>
      <c r="N122" s="32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39" t="s">
        <v>315</v>
      </c>
      <c r="D123" s="60" t="s">
        <v>316</v>
      </c>
      <c r="E123" s="15" t="s">
        <v>317</v>
      </c>
      <c r="F123" s="58">
        <v>34.68</v>
      </c>
      <c r="G123" s="59">
        <v>39.95</v>
      </c>
      <c r="H123" s="52">
        <v>39.95</v>
      </c>
      <c r="I123" s="167" t="s">
        <v>1239</v>
      </c>
      <c r="J123" s="32"/>
      <c r="K123" s="179" t="s">
        <v>1240</v>
      </c>
      <c r="L123" s="179" t="s">
        <v>1241</v>
      </c>
      <c r="M123" s="179" t="s">
        <v>1242</v>
      </c>
      <c r="N123" s="32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21" t="s">
        <v>17</v>
      </c>
      <c r="D124" s="22" t="s">
        <v>17</v>
      </c>
      <c r="E124" s="23" t="s">
        <v>331</v>
      </c>
      <c r="F124" s="24" t="s">
        <v>17</v>
      </c>
      <c r="G124" s="24" t="s">
        <v>17</v>
      </c>
      <c r="H124" s="25" t="s">
        <v>17</v>
      </c>
      <c r="I124" s="164" t="s">
        <v>17</v>
      </c>
      <c r="J124" s="25" t="s">
        <v>17</v>
      </c>
      <c r="K124" s="221" t="s">
        <v>17</v>
      </c>
      <c r="L124" s="221" t="s">
        <v>17</v>
      </c>
      <c r="M124" s="221" t="s">
        <v>17</v>
      </c>
      <c r="N124" s="25" t="s">
        <v>17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39" t="s">
        <v>332</v>
      </c>
      <c r="D125" s="15" t="s">
        <v>333</v>
      </c>
      <c r="E125" s="15" t="s">
        <v>334</v>
      </c>
      <c r="F125" s="58">
        <v>41.97</v>
      </c>
      <c r="G125" s="56">
        <v>79.95</v>
      </c>
      <c r="H125" s="52">
        <v>59.95</v>
      </c>
      <c r="I125" s="167" t="s">
        <v>1243</v>
      </c>
      <c r="J125" s="32"/>
      <c r="K125" s="167" t="s">
        <v>1244</v>
      </c>
      <c r="L125" s="167" t="s">
        <v>1245</v>
      </c>
      <c r="M125" s="167" t="s">
        <v>1246</v>
      </c>
      <c r="N125" s="32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39" t="s">
        <v>335</v>
      </c>
      <c r="D126" s="15" t="s">
        <v>336</v>
      </c>
      <c r="E126" s="15" t="s">
        <v>337</v>
      </c>
      <c r="F126" s="58">
        <v>41.97</v>
      </c>
      <c r="G126" s="56">
        <v>79.95</v>
      </c>
      <c r="H126" s="52">
        <v>59.95</v>
      </c>
      <c r="I126" s="167" t="s">
        <v>1247</v>
      </c>
      <c r="J126" s="32"/>
      <c r="K126" s="167" t="s">
        <v>1248</v>
      </c>
      <c r="L126" s="167" t="s">
        <v>1249</v>
      </c>
      <c r="M126" s="167" t="s">
        <v>1250</v>
      </c>
      <c r="N126" s="32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39" t="s">
        <v>338</v>
      </c>
      <c r="D127" s="15" t="s">
        <v>339</v>
      </c>
      <c r="E127" s="15" t="s">
        <v>340</v>
      </c>
      <c r="F127" s="58">
        <v>41.97</v>
      </c>
      <c r="G127" s="56">
        <v>79.95</v>
      </c>
      <c r="H127" s="52">
        <v>59.95</v>
      </c>
      <c r="I127" s="167" t="s">
        <v>1251</v>
      </c>
      <c r="J127" s="32"/>
      <c r="K127" s="167" t="s">
        <v>1252</v>
      </c>
      <c r="L127" s="167" t="s">
        <v>1253</v>
      </c>
      <c r="M127" s="167" t="s">
        <v>1254</v>
      </c>
      <c r="N127" s="32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39" t="s">
        <v>341</v>
      </c>
      <c r="D128" s="15" t="s">
        <v>342</v>
      </c>
      <c r="E128" s="15" t="s">
        <v>340</v>
      </c>
      <c r="F128" s="58">
        <v>41.97</v>
      </c>
      <c r="G128" s="56">
        <v>79.95</v>
      </c>
      <c r="H128" s="52">
        <v>59.95</v>
      </c>
      <c r="I128" s="167" t="s">
        <v>1255</v>
      </c>
      <c r="J128" s="32"/>
      <c r="K128" s="167" t="s">
        <v>1256</v>
      </c>
      <c r="L128" s="167" t="s">
        <v>1257</v>
      </c>
      <c r="M128" s="167" t="s">
        <v>1258</v>
      </c>
      <c r="N128" s="32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39" t="s">
        <v>343</v>
      </c>
      <c r="D129" s="15" t="s">
        <v>344</v>
      </c>
      <c r="E129" s="15" t="s">
        <v>345</v>
      </c>
      <c r="F129" s="58">
        <v>41.97</v>
      </c>
      <c r="G129" s="56">
        <v>79.95</v>
      </c>
      <c r="H129" s="52">
        <v>59.95</v>
      </c>
      <c r="I129" s="167" t="s">
        <v>1259</v>
      </c>
      <c r="J129" s="32"/>
      <c r="K129" s="167" t="s">
        <v>1260</v>
      </c>
      <c r="L129" s="167" t="s">
        <v>1261</v>
      </c>
      <c r="M129" s="167" t="s">
        <v>1262</v>
      </c>
      <c r="N129" s="32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39" t="s">
        <v>346</v>
      </c>
      <c r="D130" s="15" t="s">
        <v>347</v>
      </c>
      <c r="E130" s="15" t="s">
        <v>340</v>
      </c>
      <c r="F130" s="58">
        <v>41.97</v>
      </c>
      <c r="G130" s="56">
        <v>79.95</v>
      </c>
      <c r="H130" s="52">
        <v>59.95</v>
      </c>
      <c r="I130" s="167" t="s">
        <v>1263</v>
      </c>
      <c r="J130" s="32"/>
      <c r="K130" s="167" t="s">
        <v>1264</v>
      </c>
      <c r="L130" s="167" t="s">
        <v>1265</v>
      </c>
      <c r="M130" s="167" t="s">
        <v>1266</v>
      </c>
      <c r="N130" s="32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39" t="s">
        <v>348</v>
      </c>
      <c r="D131" s="15" t="s">
        <v>349</v>
      </c>
      <c r="E131" s="15" t="s">
        <v>340</v>
      </c>
      <c r="F131" s="58">
        <v>41.97</v>
      </c>
      <c r="G131" s="56">
        <v>79.95</v>
      </c>
      <c r="H131" s="52">
        <v>59.95</v>
      </c>
      <c r="I131" s="167" t="s">
        <v>1267</v>
      </c>
      <c r="J131" s="32"/>
      <c r="K131" s="167" t="s">
        <v>1268</v>
      </c>
      <c r="L131" s="167" t="s">
        <v>1269</v>
      </c>
      <c r="M131" s="167" t="s">
        <v>1270</v>
      </c>
      <c r="N131" s="32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39" t="s">
        <v>350</v>
      </c>
      <c r="D132" s="15" t="s">
        <v>351</v>
      </c>
      <c r="E132" s="15" t="s">
        <v>352</v>
      </c>
      <c r="F132" s="58">
        <v>41.97</v>
      </c>
      <c r="G132" s="56">
        <v>79.95</v>
      </c>
      <c r="H132" s="52">
        <v>59.95</v>
      </c>
      <c r="I132" s="167" t="s">
        <v>1271</v>
      </c>
      <c r="J132" s="32"/>
      <c r="K132" s="167" t="s">
        <v>1272</v>
      </c>
      <c r="L132" s="167" t="s">
        <v>1273</v>
      </c>
      <c r="M132" s="167" t="s">
        <v>1274</v>
      </c>
      <c r="N132" s="32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38"/>
      <c r="C133" s="64" t="s">
        <v>353</v>
      </c>
      <c r="D133" s="65" t="s">
        <v>354</v>
      </c>
      <c r="E133" s="65" t="s">
        <v>355</v>
      </c>
      <c r="F133" s="58">
        <v>41.97</v>
      </c>
      <c r="G133" s="56">
        <v>79.95</v>
      </c>
      <c r="H133" s="52">
        <v>59.95</v>
      </c>
      <c r="I133" s="167" t="s">
        <v>1275</v>
      </c>
      <c r="J133" s="32"/>
      <c r="K133" s="167" t="s">
        <v>1276</v>
      </c>
      <c r="L133" s="167" t="s">
        <v>1277</v>
      </c>
      <c r="M133" s="167" t="s">
        <v>1278</v>
      </c>
      <c r="N133" s="32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0" t="s">
        <v>356</v>
      </c>
      <c r="C134" s="66" t="s">
        <v>17</v>
      </c>
      <c r="D134" s="67" t="s">
        <v>17</v>
      </c>
      <c r="E134" s="23" t="s">
        <v>357</v>
      </c>
      <c r="F134" s="68" t="s">
        <v>17</v>
      </c>
      <c r="G134" s="68" t="s">
        <v>17</v>
      </c>
      <c r="H134" s="25" t="s">
        <v>17</v>
      </c>
      <c r="I134" s="25" t="s">
        <v>17</v>
      </c>
      <c r="J134" s="25" t="s">
        <v>17</v>
      </c>
      <c r="K134" s="25" t="s">
        <v>17</v>
      </c>
      <c r="L134" s="25" t="s">
        <v>17</v>
      </c>
      <c r="M134" s="25" t="s">
        <v>17</v>
      </c>
      <c r="N134" s="25" t="s">
        <v>17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69" t="s">
        <v>358</v>
      </c>
      <c r="D135" s="70" t="s">
        <v>359</v>
      </c>
      <c r="E135" s="70" t="s">
        <v>360</v>
      </c>
      <c r="F135" s="71">
        <v>35.95</v>
      </c>
      <c r="G135" s="72">
        <v>69.95</v>
      </c>
      <c r="H135" s="52">
        <v>54.95</v>
      </c>
      <c r="I135" s="32"/>
      <c r="J135" s="32"/>
      <c r="K135" s="32"/>
      <c r="L135" s="32"/>
      <c r="M135" s="32"/>
      <c r="N135" s="32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66" t="s">
        <v>17</v>
      </c>
      <c r="D136" s="67" t="s">
        <v>17</v>
      </c>
      <c r="E136" s="23" t="s">
        <v>361</v>
      </c>
      <c r="F136" s="68" t="s">
        <v>17</v>
      </c>
      <c r="G136" s="68" t="s">
        <v>17</v>
      </c>
      <c r="H136" s="25" t="s">
        <v>17</v>
      </c>
      <c r="I136" s="25" t="s">
        <v>17</v>
      </c>
      <c r="J136" s="25" t="s">
        <v>17</v>
      </c>
      <c r="K136" s="25" t="s">
        <v>17</v>
      </c>
      <c r="L136" s="25" t="s">
        <v>17</v>
      </c>
      <c r="M136" s="25" t="s">
        <v>17</v>
      </c>
      <c r="N136" s="25" t="s">
        <v>17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73" t="s">
        <v>362</v>
      </c>
      <c r="D137" s="70" t="s">
        <v>363</v>
      </c>
      <c r="E137" s="70" t="s">
        <v>364</v>
      </c>
      <c r="F137" s="71">
        <v>35.95</v>
      </c>
      <c r="G137" s="72">
        <v>59.95</v>
      </c>
      <c r="H137" s="52">
        <v>59.95</v>
      </c>
      <c r="I137" s="32"/>
      <c r="J137" s="32"/>
      <c r="K137" s="32"/>
      <c r="L137" s="32"/>
      <c r="M137" s="32"/>
      <c r="N137" s="32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365</v>
      </c>
      <c r="D138" s="70" t="s">
        <v>366</v>
      </c>
      <c r="E138" s="70" t="s">
        <v>367</v>
      </c>
      <c r="F138" s="71">
        <v>71.9</v>
      </c>
      <c r="G138" s="72">
        <v>79.9</v>
      </c>
      <c r="H138" s="52">
        <v>97.12</v>
      </c>
      <c r="I138" s="32"/>
      <c r="J138" s="32"/>
      <c r="K138" s="32"/>
      <c r="L138" s="32"/>
      <c r="M138" s="32"/>
      <c r="N138" s="32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73" t="s">
        <v>368</v>
      </c>
      <c r="D139" s="70" t="s">
        <v>369</v>
      </c>
      <c r="E139" s="70" t="s">
        <v>370</v>
      </c>
      <c r="F139" s="71">
        <v>45.95</v>
      </c>
      <c r="G139" s="72">
        <v>69.95</v>
      </c>
      <c r="H139" s="52">
        <v>69.95</v>
      </c>
      <c r="I139" s="32"/>
      <c r="J139" s="32"/>
      <c r="K139" s="32"/>
      <c r="L139" s="32"/>
      <c r="M139" s="32"/>
      <c r="N139" s="32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371</v>
      </c>
      <c r="D140" s="70" t="s">
        <v>372</v>
      </c>
      <c r="E140" s="70" t="s">
        <v>373</v>
      </c>
      <c r="F140" s="71">
        <v>91.9</v>
      </c>
      <c r="G140" s="72">
        <v>99.9</v>
      </c>
      <c r="H140" s="52">
        <v>107.03</v>
      </c>
      <c r="I140" s="32"/>
      <c r="J140" s="32"/>
      <c r="K140" s="32"/>
      <c r="L140" s="32"/>
      <c r="M140" s="32"/>
      <c r="N140" s="32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66" t="s">
        <v>17</v>
      </c>
      <c r="D141" s="67" t="s">
        <v>17</v>
      </c>
      <c r="E141" s="23" t="s">
        <v>374</v>
      </c>
      <c r="F141" s="68" t="s">
        <v>17</v>
      </c>
      <c r="G141" s="68" t="s">
        <v>17</v>
      </c>
      <c r="H141" s="25" t="s">
        <v>17</v>
      </c>
      <c r="I141" s="25" t="s">
        <v>17</v>
      </c>
      <c r="J141" s="25" t="s">
        <v>17</v>
      </c>
      <c r="K141" s="25" t="s">
        <v>17</v>
      </c>
      <c r="L141" s="25" t="s">
        <v>17</v>
      </c>
      <c r="M141" s="25" t="s">
        <v>17</v>
      </c>
      <c r="N141" s="25" t="s">
        <v>17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74" t="s">
        <v>375</v>
      </c>
      <c r="D142" s="70" t="s">
        <v>376</v>
      </c>
      <c r="E142" s="70" t="s">
        <v>374</v>
      </c>
      <c r="F142" s="71">
        <v>35.95</v>
      </c>
      <c r="G142" s="72">
        <v>36.0</v>
      </c>
      <c r="H142" s="54">
        <v>36.0</v>
      </c>
      <c r="I142" s="32"/>
      <c r="J142" s="32"/>
      <c r="K142" s="32"/>
      <c r="L142" s="32"/>
      <c r="M142" s="32"/>
      <c r="N142" s="32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69" t="s">
        <v>377</v>
      </c>
      <c r="D143" s="70" t="s">
        <v>378</v>
      </c>
      <c r="E143" s="70" t="s">
        <v>379</v>
      </c>
      <c r="F143" s="71">
        <v>45.95</v>
      </c>
      <c r="G143" s="72">
        <v>58.65</v>
      </c>
      <c r="H143" s="52">
        <v>58.65</v>
      </c>
      <c r="I143" s="32"/>
      <c r="J143" s="32"/>
      <c r="K143" s="32"/>
      <c r="L143" s="32"/>
      <c r="M143" s="32"/>
      <c r="N143" s="32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66" t="s">
        <v>17</v>
      </c>
      <c r="D144" s="67" t="s">
        <v>17</v>
      </c>
      <c r="E144" s="23" t="s">
        <v>380</v>
      </c>
      <c r="F144" s="68" t="s">
        <v>17</v>
      </c>
      <c r="G144" s="68" t="s">
        <v>17</v>
      </c>
      <c r="H144" s="25" t="s">
        <v>17</v>
      </c>
      <c r="I144" s="25" t="s">
        <v>17</v>
      </c>
      <c r="J144" s="25" t="s">
        <v>17</v>
      </c>
      <c r="K144" s="25" t="s">
        <v>17</v>
      </c>
      <c r="L144" s="25" t="s">
        <v>17</v>
      </c>
      <c r="M144" s="25" t="s">
        <v>17</v>
      </c>
      <c r="N144" s="25" t="s">
        <v>17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74" t="s">
        <v>381</v>
      </c>
      <c r="D145" s="70" t="s">
        <v>382</v>
      </c>
      <c r="E145" s="70" t="s">
        <v>380</v>
      </c>
      <c r="F145" s="71">
        <v>35.95</v>
      </c>
      <c r="G145" s="72">
        <v>59.95</v>
      </c>
      <c r="H145" s="54">
        <v>55.0</v>
      </c>
      <c r="I145" s="32"/>
      <c r="J145" s="32"/>
      <c r="K145" s="32"/>
      <c r="L145" s="32"/>
      <c r="M145" s="32"/>
      <c r="N145" s="32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4" t="s">
        <v>383</v>
      </c>
      <c r="D146" s="70" t="s">
        <v>384</v>
      </c>
      <c r="E146" s="70" t="s">
        <v>385</v>
      </c>
      <c r="F146" s="71">
        <v>45.95</v>
      </c>
      <c r="G146" s="72">
        <v>69.95</v>
      </c>
      <c r="H146" s="54">
        <v>69.95</v>
      </c>
      <c r="I146" s="32"/>
      <c r="J146" s="32"/>
      <c r="K146" s="32"/>
      <c r="L146" s="32"/>
      <c r="M146" s="32"/>
      <c r="N146" s="32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27"/>
      <c r="C147" s="66" t="s">
        <v>17</v>
      </c>
      <c r="D147" s="67" t="s">
        <v>17</v>
      </c>
      <c r="E147" s="23" t="s">
        <v>386</v>
      </c>
      <c r="F147" s="68" t="s">
        <v>17</v>
      </c>
      <c r="G147" s="68" t="s">
        <v>17</v>
      </c>
      <c r="H147" s="25" t="s">
        <v>17</v>
      </c>
      <c r="I147" s="66" t="s">
        <v>17</v>
      </c>
      <c r="J147" s="67" t="s">
        <v>17</v>
      </c>
      <c r="K147" s="67" t="s">
        <v>17</v>
      </c>
      <c r="L147" s="68" t="s">
        <v>17</v>
      </c>
      <c r="M147" s="68" t="s">
        <v>17</v>
      </c>
      <c r="N147" s="25" t="s">
        <v>17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27"/>
      <c r="C148" s="73" t="s">
        <v>387</v>
      </c>
      <c r="D148" s="70" t="s">
        <v>388</v>
      </c>
      <c r="E148" s="70" t="s">
        <v>389</v>
      </c>
      <c r="F148" s="71">
        <v>19.99</v>
      </c>
      <c r="G148" s="72">
        <v>24.99</v>
      </c>
      <c r="H148" s="52">
        <v>34.95</v>
      </c>
      <c r="I148" s="32"/>
      <c r="J148" s="32"/>
      <c r="K148" s="32"/>
      <c r="L148" s="32"/>
      <c r="M148" s="32"/>
      <c r="N148" s="32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27"/>
      <c r="C149" s="73" t="s">
        <v>390</v>
      </c>
      <c r="D149" s="70" t="s">
        <v>391</v>
      </c>
      <c r="E149" s="70" t="s">
        <v>392</v>
      </c>
      <c r="F149" s="71">
        <v>39.95</v>
      </c>
      <c r="G149" s="72">
        <v>49.95</v>
      </c>
      <c r="H149" s="52">
        <v>59.99</v>
      </c>
      <c r="I149" s="32"/>
      <c r="J149" s="32"/>
      <c r="K149" s="32"/>
      <c r="L149" s="32"/>
      <c r="M149" s="32"/>
      <c r="N149" s="32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27"/>
      <c r="C150" s="73" t="s">
        <v>393</v>
      </c>
      <c r="D150" s="70" t="s">
        <v>394</v>
      </c>
      <c r="E150" s="70" t="s">
        <v>395</v>
      </c>
      <c r="F150" s="71">
        <v>79.9</v>
      </c>
      <c r="G150" s="72">
        <v>99.9</v>
      </c>
      <c r="H150" s="52">
        <v>124.95</v>
      </c>
      <c r="I150" s="32"/>
      <c r="J150" s="32"/>
      <c r="K150" s="32"/>
      <c r="L150" s="32"/>
      <c r="M150" s="32"/>
      <c r="N150" s="32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27"/>
      <c r="C151" s="73" t="s">
        <v>396</v>
      </c>
      <c r="D151" s="70" t="s">
        <v>397</v>
      </c>
      <c r="E151" s="70" t="s">
        <v>398</v>
      </c>
      <c r="F151" s="71">
        <v>49.95</v>
      </c>
      <c r="G151" s="72">
        <v>59.95</v>
      </c>
      <c r="H151" s="52">
        <v>69.95</v>
      </c>
      <c r="I151" s="32"/>
      <c r="J151" s="32"/>
      <c r="K151" s="32"/>
      <c r="L151" s="32"/>
      <c r="M151" s="32"/>
      <c r="N151" s="32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27"/>
      <c r="C152" s="66" t="s">
        <v>17</v>
      </c>
      <c r="D152" s="67" t="s">
        <v>17</v>
      </c>
      <c r="E152" s="23" t="s">
        <v>399</v>
      </c>
      <c r="F152" s="68" t="s">
        <v>17</v>
      </c>
      <c r="G152" s="68" t="s">
        <v>17</v>
      </c>
      <c r="H152" s="25" t="s">
        <v>17</v>
      </c>
      <c r="I152" s="66" t="s">
        <v>17</v>
      </c>
      <c r="J152" s="67" t="s">
        <v>17</v>
      </c>
      <c r="K152" s="67" t="s">
        <v>17</v>
      </c>
      <c r="L152" s="68" t="s">
        <v>17</v>
      </c>
      <c r="M152" s="68" t="s">
        <v>17</v>
      </c>
      <c r="N152" s="25" t="s">
        <v>17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27"/>
      <c r="C153" s="73" t="s">
        <v>400</v>
      </c>
      <c r="D153" s="70" t="s">
        <v>401</v>
      </c>
      <c r="E153" s="70" t="s">
        <v>399</v>
      </c>
      <c r="F153" s="71">
        <v>29.95</v>
      </c>
      <c r="G153" s="72">
        <v>39.95</v>
      </c>
      <c r="H153" s="52">
        <v>29.95</v>
      </c>
      <c r="I153" s="32"/>
      <c r="J153" s="32"/>
      <c r="K153" s="32"/>
      <c r="L153" s="32"/>
      <c r="M153" s="32"/>
      <c r="N153" s="32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27"/>
      <c r="C154" s="66" t="s">
        <v>17</v>
      </c>
      <c r="D154" s="67" t="s">
        <v>17</v>
      </c>
      <c r="E154" s="23" t="s">
        <v>402</v>
      </c>
      <c r="F154" s="68" t="s">
        <v>17</v>
      </c>
      <c r="G154" s="68" t="s">
        <v>17</v>
      </c>
      <c r="H154" s="25" t="s">
        <v>17</v>
      </c>
      <c r="I154" s="66" t="s">
        <v>17</v>
      </c>
      <c r="J154" s="67" t="s">
        <v>17</v>
      </c>
      <c r="K154" s="67" t="s">
        <v>17</v>
      </c>
      <c r="L154" s="68" t="s">
        <v>17</v>
      </c>
      <c r="M154" s="68" t="s">
        <v>17</v>
      </c>
      <c r="N154" s="25" t="s">
        <v>17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27"/>
      <c r="C155" s="69" t="s">
        <v>403</v>
      </c>
      <c r="D155" s="70" t="s">
        <v>404</v>
      </c>
      <c r="E155" s="70" t="s">
        <v>405</v>
      </c>
      <c r="F155" s="71">
        <v>69.95</v>
      </c>
      <c r="G155" s="72">
        <v>69.95</v>
      </c>
      <c r="H155" s="52">
        <v>69.95</v>
      </c>
      <c r="I155" s="32"/>
      <c r="J155" s="32"/>
      <c r="K155" s="32"/>
      <c r="L155" s="32"/>
      <c r="M155" s="32"/>
      <c r="N155" s="32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27"/>
      <c r="C156" s="66" t="s">
        <v>17</v>
      </c>
      <c r="D156" s="67" t="s">
        <v>17</v>
      </c>
      <c r="E156" s="23" t="s">
        <v>406</v>
      </c>
      <c r="F156" s="68" t="s">
        <v>17</v>
      </c>
      <c r="G156" s="68" t="s">
        <v>17</v>
      </c>
      <c r="H156" s="25" t="s">
        <v>17</v>
      </c>
      <c r="I156" s="66" t="s">
        <v>17</v>
      </c>
      <c r="J156" s="67" t="s">
        <v>17</v>
      </c>
      <c r="K156" s="67" t="s">
        <v>17</v>
      </c>
      <c r="L156" s="68" t="s">
        <v>17</v>
      </c>
      <c r="M156" s="68" t="s">
        <v>17</v>
      </c>
      <c r="N156" s="25" t="s">
        <v>17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27"/>
      <c r="C157" s="73" t="s">
        <v>407</v>
      </c>
      <c r="D157" s="70" t="s">
        <v>408</v>
      </c>
      <c r="E157" s="70" t="s">
        <v>409</v>
      </c>
      <c r="F157" s="71">
        <v>79.9</v>
      </c>
      <c r="G157" s="72">
        <v>79.9</v>
      </c>
      <c r="H157" s="52">
        <v>109.9</v>
      </c>
      <c r="I157" s="32"/>
      <c r="J157" s="32"/>
      <c r="K157" s="32"/>
      <c r="L157" s="32"/>
      <c r="M157" s="32"/>
      <c r="N157" s="32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27"/>
      <c r="C158" s="74" t="s">
        <v>410</v>
      </c>
      <c r="D158" s="70" t="s">
        <v>411</v>
      </c>
      <c r="E158" s="70" t="s">
        <v>412</v>
      </c>
      <c r="F158" s="71">
        <v>39.95</v>
      </c>
      <c r="G158" s="72">
        <v>49.95</v>
      </c>
      <c r="H158" s="52">
        <v>59.95</v>
      </c>
      <c r="I158" s="32"/>
      <c r="J158" s="32"/>
      <c r="K158" s="32"/>
      <c r="L158" s="32"/>
      <c r="M158" s="32"/>
      <c r="N158" s="32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27"/>
      <c r="C159" s="75" t="s">
        <v>413</v>
      </c>
      <c r="D159" s="70" t="s">
        <v>414</v>
      </c>
      <c r="E159" s="70" t="s">
        <v>415</v>
      </c>
      <c r="F159" s="71">
        <v>99.9</v>
      </c>
      <c r="G159" s="72">
        <v>99.9</v>
      </c>
      <c r="H159" s="52">
        <v>129.95</v>
      </c>
      <c r="I159" s="32"/>
      <c r="J159" s="32"/>
      <c r="K159" s="32"/>
      <c r="L159" s="32"/>
      <c r="M159" s="32"/>
      <c r="N159" s="32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38"/>
      <c r="C160" s="39" t="s">
        <v>416</v>
      </c>
      <c r="D160" s="15" t="s">
        <v>417</v>
      </c>
      <c r="E160" s="15" t="s">
        <v>418</v>
      </c>
      <c r="F160" s="58">
        <v>49.95</v>
      </c>
      <c r="G160" s="56">
        <v>59.95</v>
      </c>
      <c r="H160" s="52">
        <v>69.95</v>
      </c>
      <c r="I160" s="32"/>
      <c r="J160" s="32"/>
      <c r="K160" s="32"/>
      <c r="L160" s="32"/>
      <c r="M160" s="32"/>
      <c r="N160" s="32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</sheetData>
  <mergeCells count="9">
    <mergeCell ref="B87:B133"/>
    <mergeCell ref="B134:B160"/>
    <mergeCell ref="A1:N2"/>
    <mergeCell ref="A3:H3"/>
    <mergeCell ref="A5:A10"/>
    <mergeCell ref="B5:B35"/>
    <mergeCell ref="B36:B59"/>
    <mergeCell ref="B60:B82"/>
    <mergeCell ref="B83:B86"/>
  </mergeCells>
  <hyperlinks>
    <hyperlink r:id="rId1" ref="N61"/>
    <hyperlink r:id="rId2" ref="N62"/>
    <hyperlink r:id="rId3" ref="N63"/>
    <hyperlink r:id="rId4" ref="N67"/>
    <hyperlink r:id="rId5" ref="N68"/>
    <hyperlink r:id="rId6" ref="N69"/>
    <hyperlink r:id="rId7" ref="N70"/>
    <hyperlink r:id="rId8" ref="N71"/>
    <hyperlink r:id="rId9" ref="N72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2.25"/>
    <col customWidth="1" min="3" max="3" width="13.25"/>
    <col customWidth="1" min="5" max="5" width="27.63"/>
    <col customWidth="1" min="9" max="9" width="2.88"/>
    <col customWidth="1" min="11" max="11" width="34.88"/>
    <col customWidth="1" min="12" max="12" width="51.13"/>
  </cols>
  <sheetData>
    <row r="1">
      <c r="A1" s="5" t="s">
        <v>1279</v>
      </c>
    </row>
    <row r="3">
      <c r="A3" s="9" t="s">
        <v>1</v>
      </c>
      <c r="B3" s="10" t="s">
        <v>2</v>
      </c>
      <c r="C3" s="11" t="s">
        <v>3</v>
      </c>
      <c r="D3" s="10" t="s">
        <v>4</v>
      </c>
      <c r="E3" s="10" t="s">
        <v>5</v>
      </c>
      <c r="F3" s="12" t="s">
        <v>6</v>
      </c>
      <c r="G3" s="13" t="s">
        <v>7</v>
      </c>
      <c r="H3" s="14" t="s">
        <v>8</v>
      </c>
      <c r="I3" s="18"/>
      <c r="J3" s="222"/>
      <c r="K3" s="222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1280</v>
      </c>
      <c r="B4" s="20" t="s">
        <v>16</v>
      </c>
      <c r="C4" s="223" t="s">
        <v>17</v>
      </c>
      <c r="D4" s="191" t="s">
        <v>17</v>
      </c>
      <c r="E4" s="224" t="s">
        <v>18</v>
      </c>
      <c r="F4" s="188" t="s">
        <v>17</v>
      </c>
      <c r="G4" s="188" t="s">
        <v>17</v>
      </c>
      <c r="H4" s="189" t="s">
        <v>17</v>
      </c>
      <c r="I4" s="18"/>
      <c r="J4" s="88"/>
      <c r="K4" s="8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7"/>
      <c r="B5" s="27"/>
      <c r="C5" s="28" t="s">
        <v>19</v>
      </c>
      <c r="D5" s="15" t="s">
        <v>20</v>
      </c>
      <c r="E5" s="15" t="s">
        <v>21</v>
      </c>
      <c r="F5" s="29">
        <v>329.0</v>
      </c>
      <c r="G5" s="30">
        <v>399.0</v>
      </c>
      <c r="H5" s="31">
        <v>419.0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7"/>
      <c r="B6" s="27"/>
      <c r="C6" s="28" t="s">
        <v>22</v>
      </c>
      <c r="D6" s="15" t="s">
        <v>23</v>
      </c>
      <c r="E6" s="15" t="s">
        <v>24</v>
      </c>
      <c r="F6" s="29">
        <v>319.0</v>
      </c>
      <c r="G6" s="30">
        <v>389.0</v>
      </c>
      <c r="H6" s="31">
        <v>409.0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7"/>
      <c r="B7" s="27"/>
      <c r="C7" s="28" t="s">
        <v>26</v>
      </c>
      <c r="D7" s="15" t="s">
        <v>27</v>
      </c>
      <c r="E7" s="15" t="s">
        <v>28</v>
      </c>
      <c r="F7" s="35">
        <f t="shared" ref="F7:G7" si="1">F6+50</f>
        <v>369</v>
      </c>
      <c r="G7" s="30">
        <f t="shared" si="1"/>
        <v>439</v>
      </c>
      <c r="H7" s="31">
        <v>459.0</v>
      </c>
      <c r="I7" s="18"/>
      <c r="J7" s="225"/>
      <c r="K7" s="88"/>
      <c r="L7" s="8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7"/>
      <c r="B8" s="27"/>
      <c r="C8" s="28" t="s">
        <v>29</v>
      </c>
      <c r="D8" s="15" t="s">
        <v>30</v>
      </c>
      <c r="E8" s="37" t="s">
        <v>31</v>
      </c>
      <c r="F8" s="29">
        <v>399.0</v>
      </c>
      <c r="G8" s="30">
        <v>489.0</v>
      </c>
      <c r="H8" s="31">
        <v>489.0</v>
      </c>
      <c r="I8" s="18"/>
      <c r="J8" s="225"/>
      <c r="K8" s="88"/>
      <c r="L8" s="8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8"/>
      <c r="B9" s="27"/>
      <c r="C9" s="28" t="s">
        <v>32</v>
      </c>
      <c r="D9" s="37" t="s">
        <v>33</v>
      </c>
      <c r="E9" s="15" t="s">
        <v>34</v>
      </c>
      <c r="F9" s="29">
        <v>629.0</v>
      </c>
      <c r="G9" s="30">
        <v>629.0</v>
      </c>
      <c r="H9" s="31">
        <v>559.0</v>
      </c>
      <c r="I9" s="18"/>
      <c r="J9" s="225"/>
      <c r="K9" s="88"/>
      <c r="L9" s="8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27"/>
      <c r="C10" s="28" t="s">
        <v>35</v>
      </c>
      <c r="D10" s="15" t="s">
        <v>36</v>
      </c>
      <c r="E10" s="15" t="s">
        <v>37</v>
      </c>
      <c r="F10" s="35">
        <f>F9+50</f>
        <v>679</v>
      </c>
      <c r="G10" s="30">
        <v>679.0</v>
      </c>
      <c r="H10" s="31">
        <v>609.0</v>
      </c>
      <c r="I10" s="18"/>
      <c r="J10" s="225"/>
      <c r="K10" s="88"/>
      <c r="L10" s="8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27"/>
      <c r="C11" s="28" t="s">
        <v>38</v>
      </c>
      <c r="D11" s="15" t="s">
        <v>39</v>
      </c>
      <c r="E11" s="15" t="s">
        <v>40</v>
      </c>
      <c r="F11" s="29">
        <v>699.0</v>
      </c>
      <c r="G11" s="30">
        <v>999.0</v>
      </c>
      <c r="H11" s="31">
        <v>999.0</v>
      </c>
      <c r="I11" s="18"/>
      <c r="J11" s="225"/>
      <c r="K11" s="88"/>
      <c r="L11" s="8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27"/>
      <c r="C12" s="28" t="s">
        <v>42</v>
      </c>
      <c r="D12" s="15" t="s">
        <v>43</v>
      </c>
      <c r="E12" s="15" t="s">
        <v>44</v>
      </c>
      <c r="F12" s="35">
        <f>F11+50</f>
        <v>749</v>
      </c>
      <c r="G12" s="30">
        <v>1049.0</v>
      </c>
      <c r="H12" s="31">
        <v>1049.0</v>
      </c>
      <c r="I12" s="18"/>
      <c r="J12" s="225"/>
      <c r="K12" s="88"/>
      <c r="L12" s="8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27"/>
      <c r="C13" s="223" t="s">
        <v>17</v>
      </c>
      <c r="D13" s="191" t="s">
        <v>17</v>
      </c>
      <c r="E13" s="224" t="s">
        <v>45</v>
      </c>
      <c r="F13" s="188" t="s">
        <v>17</v>
      </c>
      <c r="G13" s="188"/>
      <c r="H13" s="25" t="s">
        <v>17</v>
      </c>
      <c r="I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27"/>
      <c r="C14" s="39" t="s">
        <v>46</v>
      </c>
      <c r="D14" s="40" t="s">
        <v>47</v>
      </c>
      <c r="E14" s="15" t="s">
        <v>1281</v>
      </c>
      <c r="F14" s="35">
        <f t="shared" ref="F14:F32" si="2">G14*0.9</f>
        <v>71.991</v>
      </c>
      <c r="G14" s="41">
        <v>79.99</v>
      </c>
      <c r="H14" s="42">
        <v>91.25</v>
      </c>
      <c r="I14" s="18"/>
      <c r="J14" s="225"/>
      <c r="K14" s="88"/>
      <c r="L14" s="8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27"/>
      <c r="C15" s="39" t="s">
        <v>49</v>
      </c>
      <c r="D15" s="40" t="s">
        <v>50</v>
      </c>
      <c r="E15" s="15" t="s">
        <v>1282</v>
      </c>
      <c r="F15" s="35">
        <f t="shared" si="2"/>
        <v>103.491</v>
      </c>
      <c r="G15" s="41">
        <v>114.99</v>
      </c>
      <c r="H15" s="42">
        <v>130.95</v>
      </c>
      <c r="I15" s="18"/>
      <c r="J15" s="225"/>
      <c r="K15" s="88"/>
      <c r="L15" s="8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27"/>
      <c r="C16" s="39" t="s">
        <v>52</v>
      </c>
      <c r="D16" s="40" t="s">
        <v>53</v>
      </c>
      <c r="E16" s="15" t="s">
        <v>54</v>
      </c>
      <c r="F16" s="35">
        <f t="shared" si="2"/>
        <v>40.455</v>
      </c>
      <c r="G16" s="41">
        <v>44.95</v>
      </c>
      <c r="H16" s="42">
        <v>56.95</v>
      </c>
      <c r="I16" s="18"/>
      <c r="J16" s="225"/>
      <c r="K16" s="88"/>
      <c r="L16" s="8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27"/>
      <c r="C17" s="39" t="s">
        <v>55</v>
      </c>
      <c r="D17" s="40" t="s">
        <v>56</v>
      </c>
      <c r="E17" s="15" t="s">
        <v>57</v>
      </c>
      <c r="F17" s="35">
        <f t="shared" si="2"/>
        <v>13.491</v>
      </c>
      <c r="G17" s="41">
        <v>14.99</v>
      </c>
      <c r="H17" s="42">
        <v>26.95</v>
      </c>
      <c r="I17" s="18"/>
      <c r="J17" s="225"/>
      <c r="K17" s="88"/>
      <c r="L17" s="8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27"/>
      <c r="C18" s="39" t="s">
        <v>58</v>
      </c>
      <c r="D18" s="40" t="s">
        <v>59</v>
      </c>
      <c r="E18" s="15" t="s">
        <v>60</v>
      </c>
      <c r="F18" s="35">
        <f t="shared" si="2"/>
        <v>40.455</v>
      </c>
      <c r="G18" s="41">
        <v>44.95</v>
      </c>
      <c r="H18" s="42">
        <v>57.95</v>
      </c>
      <c r="I18" s="18"/>
      <c r="J18" s="225"/>
      <c r="K18" s="88"/>
      <c r="L18" s="8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27"/>
      <c r="C19" s="39" t="s">
        <v>61</v>
      </c>
      <c r="D19" s="40" t="s">
        <v>62</v>
      </c>
      <c r="E19" s="15" t="s">
        <v>1283</v>
      </c>
      <c r="F19" s="35">
        <f t="shared" si="2"/>
        <v>137.691</v>
      </c>
      <c r="G19" s="41">
        <v>152.99</v>
      </c>
      <c r="H19" s="31">
        <v>178.0</v>
      </c>
      <c r="I19" s="18"/>
      <c r="J19" s="225"/>
      <c r="K19" s="88"/>
      <c r="L19" s="8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27"/>
      <c r="C20" s="39" t="s">
        <v>64</v>
      </c>
      <c r="D20" s="40" t="s">
        <v>65</v>
      </c>
      <c r="E20" s="15" t="s">
        <v>66</v>
      </c>
      <c r="F20" s="35">
        <f t="shared" si="2"/>
        <v>53.955</v>
      </c>
      <c r="G20" s="41">
        <v>59.95</v>
      </c>
      <c r="H20" s="42">
        <v>73.95</v>
      </c>
      <c r="I20" s="18"/>
      <c r="J20" s="225"/>
      <c r="K20" s="88"/>
      <c r="L20" s="8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27"/>
      <c r="C21" s="39" t="s">
        <v>67</v>
      </c>
      <c r="D21" s="40" t="s">
        <v>68</v>
      </c>
      <c r="E21" s="15" t="s">
        <v>69</v>
      </c>
      <c r="F21" s="35">
        <f t="shared" si="2"/>
        <v>17.955</v>
      </c>
      <c r="G21" s="41">
        <v>19.95</v>
      </c>
      <c r="H21" s="42">
        <v>27.95</v>
      </c>
      <c r="I21" s="18"/>
      <c r="J21" s="225"/>
      <c r="K21" s="88"/>
      <c r="L21" s="8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27"/>
      <c r="C22" s="39" t="s">
        <v>70</v>
      </c>
      <c r="D22" s="40" t="s">
        <v>71</v>
      </c>
      <c r="E22" s="15" t="s">
        <v>72</v>
      </c>
      <c r="F22" s="35">
        <f t="shared" si="2"/>
        <v>53.955</v>
      </c>
      <c r="G22" s="41">
        <v>59.95</v>
      </c>
      <c r="H22" s="42">
        <v>73.95</v>
      </c>
      <c r="I22" s="18"/>
      <c r="J22" s="225"/>
      <c r="K22" s="88"/>
      <c r="L22" s="8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27"/>
      <c r="C23" s="39" t="s">
        <v>73</v>
      </c>
      <c r="D23" s="40" t="s">
        <v>74</v>
      </c>
      <c r="E23" s="15" t="s">
        <v>1284</v>
      </c>
      <c r="F23" s="35">
        <f t="shared" si="2"/>
        <v>287.091</v>
      </c>
      <c r="G23" s="41">
        <v>318.99</v>
      </c>
      <c r="H23" s="42">
        <v>343.99</v>
      </c>
      <c r="I23" s="18"/>
      <c r="J23" s="225"/>
      <c r="K23" s="88"/>
      <c r="L23" s="8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27"/>
      <c r="C24" s="39" t="s">
        <v>76</v>
      </c>
      <c r="D24" s="40" t="s">
        <v>77</v>
      </c>
      <c r="E24" s="15" t="s">
        <v>78</v>
      </c>
      <c r="F24" s="35">
        <f t="shared" si="2"/>
        <v>112.5</v>
      </c>
      <c r="G24" s="30">
        <v>125.0</v>
      </c>
      <c r="H24" s="42">
        <v>140.95</v>
      </c>
      <c r="I24" s="18"/>
      <c r="J24" s="225"/>
      <c r="K24" s="88"/>
      <c r="L24" s="8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27"/>
      <c r="C25" s="39" t="s">
        <v>79</v>
      </c>
      <c r="D25" s="40" t="s">
        <v>80</v>
      </c>
      <c r="E25" s="15" t="s">
        <v>81</v>
      </c>
      <c r="F25" s="35">
        <f t="shared" si="2"/>
        <v>31.5</v>
      </c>
      <c r="G25" s="30">
        <v>35.0</v>
      </c>
      <c r="H25" s="42">
        <v>46.95</v>
      </c>
      <c r="I25" s="18"/>
      <c r="J25" s="225"/>
      <c r="K25" s="88"/>
      <c r="L25" s="8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27"/>
      <c r="C26" s="39" t="s">
        <v>82</v>
      </c>
      <c r="D26" s="40" t="s">
        <v>83</v>
      </c>
      <c r="E26" s="15" t="s">
        <v>84</v>
      </c>
      <c r="F26" s="35">
        <f t="shared" si="2"/>
        <v>112.5</v>
      </c>
      <c r="G26" s="30">
        <v>125.0</v>
      </c>
      <c r="H26" s="42">
        <v>142.95</v>
      </c>
      <c r="I26" s="18"/>
      <c r="J26" s="225"/>
      <c r="K26" s="88"/>
      <c r="L26" s="8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27"/>
      <c r="C27" s="39" t="s">
        <v>85</v>
      </c>
      <c r="D27" s="40" t="s">
        <v>86</v>
      </c>
      <c r="E27" s="15" t="s">
        <v>1285</v>
      </c>
      <c r="F27" s="35">
        <f t="shared" si="2"/>
        <v>44.955</v>
      </c>
      <c r="G27" s="41">
        <v>49.95</v>
      </c>
      <c r="H27" s="42">
        <v>59.95</v>
      </c>
      <c r="I27" s="18"/>
      <c r="J27" s="225"/>
      <c r="K27" s="88"/>
      <c r="L27" s="8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27"/>
      <c r="C28" s="39" t="s">
        <v>88</v>
      </c>
      <c r="D28" s="40" t="s">
        <v>89</v>
      </c>
      <c r="E28" s="15" t="s">
        <v>1285</v>
      </c>
      <c r="F28" s="35">
        <f t="shared" si="2"/>
        <v>44.955</v>
      </c>
      <c r="G28" s="41">
        <v>49.95</v>
      </c>
      <c r="H28" s="42">
        <v>59.95</v>
      </c>
      <c r="I28" s="18"/>
      <c r="J28" s="225"/>
      <c r="K28" s="88"/>
      <c r="L28" s="8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27"/>
      <c r="C29" s="39" t="s">
        <v>90</v>
      </c>
      <c r="D29" s="40" t="s">
        <v>91</v>
      </c>
      <c r="E29" s="15" t="s">
        <v>1285</v>
      </c>
      <c r="F29" s="35">
        <f t="shared" si="2"/>
        <v>44.955</v>
      </c>
      <c r="G29" s="41">
        <v>49.95</v>
      </c>
      <c r="H29" s="42">
        <v>59.95</v>
      </c>
      <c r="I29" s="18"/>
      <c r="J29" s="225"/>
      <c r="K29" s="88"/>
      <c r="L29" s="8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27"/>
      <c r="C30" s="39" t="s">
        <v>92</v>
      </c>
      <c r="D30" s="40" t="s">
        <v>93</v>
      </c>
      <c r="E30" s="15" t="s">
        <v>1285</v>
      </c>
      <c r="F30" s="35">
        <f t="shared" si="2"/>
        <v>44.955</v>
      </c>
      <c r="G30" s="41">
        <v>49.95</v>
      </c>
      <c r="H30" s="42">
        <v>59.95</v>
      </c>
      <c r="I30" s="18"/>
      <c r="J30" s="225"/>
      <c r="K30" s="88"/>
      <c r="L30" s="8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27"/>
      <c r="C31" s="39" t="s">
        <v>94</v>
      </c>
      <c r="D31" s="40" t="s">
        <v>95</v>
      </c>
      <c r="E31" s="15" t="s">
        <v>1285</v>
      </c>
      <c r="F31" s="35">
        <f t="shared" si="2"/>
        <v>44.955</v>
      </c>
      <c r="G31" s="41">
        <v>49.95</v>
      </c>
      <c r="H31" s="42">
        <v>59.95</v>
      </c>
      <c r="I31" s="18"/>
      <c r="J31" s="225"/>
      <c r="K31" s="88"/>
      <c r="L31" s="8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27"/>
      <c r="C32" s="39" t="s">
        <v>96</v>
      </c>
      <c r="D32" s="40" t="s">
        <v>97</v>
      </c>
      <c r="E32" s="15" t="s">
        <v>1285</v>
      </c>
      <c r="F32" s="35">
        <f t="shared" si="2"/>
        <v>44.955</v>
      </c>
      <c r="G32" s="41">
        <v>49.95</v>
      </c>
      <c r="H32" s="42">
        <v>59.95</v>
      </c>
      <c r="I32" s="18"/>
      <c r="J32" s="225"/>
      <c r="K32" s="88"/>
      <c r="L32" s="8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20" t="s">
        <v>98</v>
      </c>
      <c r="C33" s="223" t="s">
        <v>17</v>
      </c>
      <c r="D33" s="191" t="s">
        <v>17</v>
      </c>
      <c r="E33" s="224" t="s">
        <v>99</v>
      </c>
      <c r="F33" s="188" t="s">
        <v>17</v>
      </c>
      <c r="G33" s="188"/>
      <c r="H33" s="189" t="s">
        <v>17</v>
      </c>
      <c r="I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27"/>
      <c r="C34" s="43" t="s">
        <v>100</v>
      </c>
      <c r="D34" s="15" t="s">
        <v>101</v>
      </c>
      <c r="E34" s="15" t="s">
        <v>102</v>
      </c>
      <c r="F34" s="35">
        <f t="shared" ref="F34:F35" si="3">G34*0.8</f>
        <v>359.2</v>
      </c>
      <c r="G34" s="41">
        <v>449.0</v>
      </c>
      <c r="H34" s="31">
        <v>449.0</v>
      </c>
      <c r="I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6.5" customHeight="1">
      <c r="A35" s="18"/>
      <c r="B35" s="27"/>
      <c r="C35" s="45" t="s">
        <v>103</v>
      </c>
      <c r="D35" s="15" t="s">
        <v>104</v>
      </c>
      <c r="E35" s="15" t="s">
        <v>105</v>
      </c>
      <c r="F35" s="35">
        <f t="shared" si="3"/>
        <v>375.2</v>
      </c>
      <c r="G35" s="41">
        <v>469.0</v>
      </c>
      <c r="H35" s="31">
        <v>469.0</v>
      </c>
      <c r="I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8.0" customHeight="1">
      <c r="A36" s="18"/>
      <c r="B36" s="27"/>
      <c r="C36" s="28" t="s">
        <v>106</v>
      </c>
      <c r="D36" s="15" t="s">
        <v>107</v>
      </c>
      <c r="E36" s="15" t="s">
        <v>108</v>
      </c>
      <c r="F36" s="35"/>
      <c r="G36" s="46"/>
      <c r="H36" s="31">
        <v>464.0</v>
      </c>
      <c r="I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27"/>
      <c r="C37" s="28" t="s">
        <v>109</v>
      </c>
      <c r="D37" s="15" t="s">
        <v>110</v>
      </c>
      <c r="E37" s="15" t="s">
        <v>111</v>
      </c>
      <c r="F37" s="35">
        <f t="shared" ref="F37:F42" si="4">G37*0.8</f>
        <v>399.2</v>
      </c>
      <c r="G37" s="41">
        <v>499.0</v>
      </c>
      <c r="H37" s="31">
        <v>499.0</v>
      </c>
      <c r="I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27"/>
      <c r="C38" s="43" t="s">
        <v>112</v>
      </c>
      <c r="D38" s="15" t="s">
        <v>113</v>
      </c>
      <c r="E38" s="15" t="s">
        <v>114</v>
      </c>
      <c r="F38" s="35">
        <f t="shared" si="4"/>
        <v>415.2</v>
      </c>
      <c r="G38" s="41">
        <v>519.0</v>
      </c>
      <c r="H38" s="31">
        <v>519.0</v>
      </c>
      <c r="I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27"/>
      <c r="C39" s="43" t="s">
        <v>115</v>
      </c>
      <c r="D39" s="15" t="s">
        <v>116</v>
      </c>
      <c r="E39" s="15" t="s">
        <v>117</v>
      </c>
      <c r="F39" s="35">
        <f t="shared" si="4"/>
        <v>287.2</v>
      </c>
      <c r="G39" s="41">
        <v>359.0</v>
      </c>
      <c r="H39" s="31">
        <v>359.0</v>
      </c>
      <c r="I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27"/>
      <c r="C40" s="43" t="s">
        <v>118</v>
      </c>
      <c r="D40" s="15" t="s">
        <v>119</v>
      </c>
      <c r="E40" s="15" t="s">
        <v>120</v>
      </c>
      <c r="F40" s="35">
        <f t="shared" si="4"/>
        <v>303.2</v>
      </c>
      <c r="G40" s="48">
        <v>379.0</v>
      </c>
      <c r="H40" s="31">
        <v>379.0</v>
      </c>
      <c r="I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27"/>
      <c r="C41" s="28" t="s">
        <v>121</v>
      </c>
      <c r="D41" s="15" t="s">
        <v>122</v>
      </c>
      <c r="E41" s="15" t="s">
        <v>123</v>
      </c>
      <c r="F41" s="35">
        <f t="shared" si="4"/>
        <v>287.2</v>
      </c>
      <c r="G41" s="41">
        <v>359.0</v>
      </c>
      <c r="H41" s="31">
        <v>369.0</v>
      </c>
      <c r="I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27"/>
      <c r="C42" s="43" t="s">
        <v>124</v>
      </c>
      <c r="D42" s="15" t="s">
        <v>125</v>
      </c>
      <c r="E42" s="15" t="s">
        <v>126</v>
      </c>
      <c r="F42" s="35">
        <f t="shared" si="4"/>
        <v>303.2</v>
      </c>
      <c r="G42" s="48">
        <v>379.0</v>
      </c>
      <c r="H42" s="31">
        <v>389.0</v>
      </c>
      <c r="I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27"/>
      <c r="C43" s="223" t="s">
        <v>17</v>
      </c>
      <c r="D43" s="191" t="s">
        <v>17</v>
      </c>
      <c r="E43" s="224" t="s">
        <v>127</v>
      </c>
      <c r="F43" s="188" t="s">
        <v>17</v>
      </c>
      <c r="G43" s="188"/>
      <c r="H43" s="189" t="s">
        <v>17</v>
      </c>
      <c r="I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27"/>
      <c r="C44" s="43" t="s">
        <v>128</v>
      </c>
      <c r="D44" s="49" t="s">
        <v>129</v>
      </c>
      <c r="E44" s="32" t="s">
        <v>130</v>
      </c>
      <c r="F44" s="50">
        <f t="shared" ref="F44:F53" si="5">H44</f>
        <v>59.95</v>
      </c>
      <c r="G44" s="51">
        <f t="shared" ref="G44:G53" si="6">H44</f>
        <v>59.95</v>
      </c>
      <c r="H44" s="52">
        <v>59.95</v>
      </c>
      <c r="I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27"/>
      <c r="C45" s="43" t="s">
        <v>131</v>
      </c>
      <c r="D45" s="15" t="s">
        <v>132</v>
      </c>
      <c r="E45" s="32" t="s">
        <v>133</v>
      </c>
      <c r="F45" s="50">
        <f t="shared" si="5"/>
        <v>59.95</v>
      </c>
      <c r="G45" s="51">
        <f t="shared" si="6"/>
        <v>59.95</v>
      </c>
      <c r="H45" s="52">
        <v>59.95</v>
      </c>
      <c r="I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27"/>
      <c r="C46" s="43" t="s">
        <v>134</v>
      </c>
      <c r="D46" s="15" t="s">
        <v>135</v>
      </c>
      <c r="E46" s="32" t="s">
        <v>136</v>
      </c>
      <c r="F46" s="50">
        <f t="shared" si="5"/>
        <v>33.95</v>
      </c>
      <c r="G46" s="51">
        <f t="shared" si="6"/>
        <v>33.95</v>
      </c>
      <c r="H46" s="52">
        <v>33.95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27"/>
      <c r="C47" s="43" t="s">
        <v>137</v>
      </c>
      <c r="D47" s="15" t="s">
        <v>138</v>
      </c>
      <c r="E47" s="32" t="s">
        <v>139</v>
      </c>
      <c r="F47" s="50">
        <f t="shared" si="5"/>
        <v>42.95</v>
      </c>
      <c r="G47" s="51">
        <f t="shared" si="6"/>
        <v>42.95</v>
      </c>
      <c r="H47" s="52">
        <v>42.95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27"/>
      <c r="C48" s="43" t="s">
        <v>140</v>
      </c>
      <c r="D48" s="15" t="s">
        <v>141</v>
      </c>
      <c r="E48" s="32" t="s">
        <v>142</v>
      </c>
      <c r="F48" s="50">
        <f t="shared" si="5"/>
        <v>79.95</v>
      </c>
      <c r="G48" s="51">
        <f t="shared" si="6"/>
        <v>79.95</v>
      </c>
      <c r="H48" s="52">
        <v>79.95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27"/>
      <c r="C49" s="43" t="s">
        <v>143</v>
      </c>
      <c r="D49" s="15" t="s">
        <v>144</v>
      </c>
      <c r="E49" s="15" t="s">
        <v>145</v>
      </c>
      <c r="F49" s="50">
        <f t="shared" si="5"/>
        <v>42.95</v>
      </c>
      <c r="G49" s="51">
        <f t="shared" si="6"/>
        <v>42.95</v>
      </c>
      <c r="H49" s="52">
        <v>42.95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27"/>
      <c r="C50" s="43" t="s">
        <v>146</v>
      </c>
      <c r="D50" s="15" t="s">
        <v>147</v>
      </c>
      <c r="E50" s="15" t="s">
        <v>148</v>
      </c>
      <c r="F50" s="50">
        <f t="shared" si="5"/>
        <v>59.95</v>
      </c>
      <c r="G50" s="51">
        <f t="shared" si="6"/>
        <v>59.95</v>
      </c>
      <c r="H50" s="52">
        <v>59.95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27"/>
      <c r="C51" s="43" t="s">
        <v>149</v>
      </c>
      <c r="D51" s="15" t="s">
        <v>150</v>
      </c>
      <c r="E51" s="15" t="s">
        <v>151</v>
      </c>
      <c r="F51" s="50">
        <f t="shared" si="5"/>
        <v>33.95</v>
      </c>
      <c r="G51" s="51">
        <f t="shared" si="6"/>
        <v>33.95</v>
      </c>
      <c r="H51" s="52">
        <v>33.95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27"/>
      <c r="C52" s="43" t="s">
        <v>152</v>
      </c>
      <c r="D52" s="53" t="s">
        <v>153</v>
      </c>
      <c r="E52" s="15" t="s">
        <v>154</v>
      </c>
      <c r="F52" s="50">
        <f t="shared" si="5"/>
        <v>80</v>
      </c>
      <c r="G52" s="51">
        <f t="shared" si="6"/>
        <v>80</v>
      </c>
      <c r="H52" s="54">
        <v>80.0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38"/>
      <c r="C53" s="28" t="s">
        <v>155</v>
      </c>
      <c r="D53" s="53" t="s">
        <v>156</v>
      </c>
      <c r="E53" s="15" t="s">
        <v>157</v>
      </c>
      <c r="F53" s="50">
        <f t="shared" si="5"/>
        <v>29.95</v>
      </c>
      <c r="G53" s="51">
        <f t="shared" si="6"/>
        <v>29.95</v>
      </c>
      <c r="H53" s="52">
        <v>29.95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20" t="s">
        <v>158</v>
      </c>
      <c r="C54" s="186" t="s">
        <v>17</v>
      </c>
      <c r="D54" s="191" t="s">
        <v>17</v>
      </c>
      <c r="E54" s="224" t="s">
        <v>159</v>
      </c>
      <c r="F54" s="188" t="s">
        <v>17</v>
      </c>
      <c r="G54" s="188"/>
      <c r="H54" s="189" t="s">
        <v>17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27"/>
      <c r="C55" s="55" t="s">
        <v>160</v>
      </c>
      <c r="D55" s="15" t="s">
        <v>161</v>
      </c>
      <c r="E55" s="15" t="s">
        <v>162</v>
      </c>
      <c r="F55" s="50">
        <f t="shared" ref="F55:F57" si="7">H55*80%</f>
        <v>208</v>
      </c>
      <c r="G55" s="56">
        <v>260.0</v>
      </c>
      <c r="H55" s="52">
        <v>260.0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27"/>
      <c r="C56" s="55" t="s">
        <v>164</v>
      </c>
      <c r="D56" s="15" t="s">
        <v>165</v>
      </c>
      <c r="E56" s="15" t="s">
        <v>166</v>
      </c>
      <c r="F56" s="50">
        <f t="shared" si="7"/>
        <v>208</v>
      </c>
      <c r="G56" s="56">
        <v>260.0</v>
      </c>
      <c r="H56" s="52">
        <v>260.0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27"/>
      <c r="C57" s="55" t="s">
        <v>167</v>
      </c>
      <c r="D57" s="15" t="s">
        <v>168</v>
      </c>
      <c r="E57" s="15" t="s">
        <v>169</v>
      </c>
      <c r="F57" s="50">
        <f t="shared" si="7"/>
        <v>208</v>
      </c>
      <c r="G57" s="56">
        <v>260.0</v>
      </c>
      <c r="H57" s="52">
        <v>260.0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27"/>
      <c r="C58" s="186" t="s">
        <v>17</v>
      </c>
      <c r="D58" s="191" t="s">
        <v>17</v>
      </c>
      <c r="E58" s="224" t="s">
        <v>170</v>
      </c>
      <c r="F58" s="188" t="s">
        <v>17</v>
      </c>
      <c r="G58" s="188"/>
      <c r="H58" s="189" t="s">
        <v>17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27"/>
      <c r="C59" s="55" t="s">
        <v>171</v>
      </c>
      <c r="D59" s="15" t="s">
        <v>172</v>
      </c>
      <c r="E59" s="15" t="s">
        <v>173</v>
      </c>
      <c r="F59" s="50">
        <f t="shared" ref="F59:F65" si="8">H59*70%</f>
        <v>51.1</v>
      </c>
      <c r="G59" s="56">
        <v>73.0</v>
      </c>
      <c r="H59" s="52">
        <v>73.0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27"/>
      <c r="C60" s="55" t="s">
        <v>176</v>
      </c>
      <c r="D60" s="15" t="s">
        <v>177</v>
      </c>
      <c r="E60" s="15" t="s">
        <v>178</v>
      </c>
      <c r="F60" s="50">
        <f t="shared" si="8"/>
        <v>51.1</v>
      </c>
      <c r="G60" s="56">
        <v>73.0</v>
      </c>
      <c r="H60" s="52">
        <v>73.0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27"/>
      <c r="C61" s="55" t="s">
        <v>179</v>
      </c>
      <c r="D61" s="15" t="s">
        <v>180</v>
      </c>
      <c r="E61" s="15" t="s">
        <v>181</v>
      </c>
      <c r="F61" s="50">
        <f t="shared" si="8"/>
        <v>57.365</v>
      </c>
      <c r="G61" s="56">
        <v>81.95</v>
      </c>
      <c r="H61" s="52">
        <v>81.95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27"/>
      <c r="C62" s="55" t="s">
        <v>182</v>
      </c>
      <c r="D62" s="15" t="s">
        <v>183</v>
      </c>
      <c r="E62" s="15" t="s">
        <v>184</v>
      </c>
      <c r="F62" s="50">
        <f t="shared" si="8"/>
        <v>60.865</v>
      </c>
      <c r="G62" s="56">
        <v>86.95</v>
      </c>
      <c r="H62" s="52">
        <v>86.95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27"/>
      <c r="C63" s="55" t="s">
        <v>185</v>
      </c>
      <c r="D63" s="15" t="s">
        <v>186</v>
      </c>
      <c r="E63" s="15" t="s">
        <v>187</v>
      </c>
      <c r="F63" s="50">
        <f t="shared" si="8"/>
        <v>67.165</v>
      </c>
      <c r="G63" s="56">
        <v>95.95</v>
      </c>
      <c r="H63" s="52">
        <v>95.95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27"/>
      <c r="C64" s="55" t="s">
        <v>188</v>
      </c>
      <c r="D64" s="15" t="s">
        <v>189</v>
      </c>
      <c r="E64" s="15" t="s">
        <v>190</v>
      </c>
      <c r="F64" s="50">
        <f t="shared" si="8"/>
        <v>74.865</v>
      </c>
      <c r="G64" s="56">
        <v>106.95</v>
      </c>
      <c r="H64" s="52">
        <v>106.95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27"/>
      <c r="C65" s="39" t="s">
        <v>191</v>
      </c>
      <c r="D65" s="15" t="s">
        <v>192</v>
      </c>
      <c r="E65" s="15" t="s">
        <v>193</v>
      </c>
      <c r="F65" s="50">
        <f t="shared" si="8"/>
        <v>74.865</v>
      </c>
      <c r="G65" s="56">
        <v>106.95</v>
      </c>
      <c r="H65" s="52">
        <v>106.95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27"/>
      <c r="C66" s="186" t="s">
        <v>17</v>
      </c>
      <c r="D66" s="191" t="s">
        <v>17</v>
      </c>
      <c r="E66" s="224" t="s">
        <v>194</v>
      </c>
      <c r="F66" s="188" t="s">
        <v>17</v>
      </c>
      <c r="G66" s="188"/>
      <c r="H66" s="189" t="s">
        <v>17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27"/>
      <c r="C67" s="55" t="s">
        <v>195</v>
      </c>
      <c r="D67" s="15" t="s">
        <v>196</v>
      </c>
      <c r="E67" s="15" t="s">
        <v>197</v>
      </c>
      <c r="F67" s="50">
        <f t="shared" ref="F67:F75" si="9">H67*70%</f>
        <v>18.2</v>
      </c>
      <c r="G67" s="56">
        <v>26.0</v>
      </c>
      <c r="H67" s="54">
        <v>26.0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27"/>
      <c r="C68" s="55" t="s">
        <v>198</v>
      </c>
      <c r="D68" s="15" t="s">
        <v>199</v>
      </c>
      <c r="E68" s="15" t="s">
        <v>200</v>
      </c>
      <c r="F68" s="50">
        <f t="shared" si="9"/>
        <v>18.2</v>
      </c>
      <c r="G68" s="56">
        <v>26.0</v>
      </c>
      <c r="H68" s="54">
        <v>26.0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27"/>
      <c r="C69" s="55" t="s">
        <v>201</v>
      </c>
      <c r="D69" s="15" t="s">
        <v>202</v>
      </c>
      <c r="E69" s="15" t="s">
        <v>203</v>
      </c>
      <c r="F69" s="50">
        <f t="shared" si="9"/>
        <v>21</v>
      </c>
      <c r="G69" s="56">
        <v>30.0</v>
      </c>
      <c r="H69" s="54">
        <v>30.0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27"/>
      <c r="C70" s="55" t="s">
        <v>204</v>
      </c>
      <c r="D70" s="15" t="s">
        <v>205</v>
      </c>
      <c r="E70" s="15" t="s">
        <v>206</v>
      </c>
      <c r="F70" s="50">
        <f t="shared" si="9"/>
        <v>12.6</v>
      </c>
      <c r="G70" s="56">
        <v>18.0</v>
      </c>
      <c r="H70" s="52">
        <v>18.0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27"/>
      <c r="C71" s="55" t="s">
        <v>207</v>
      </c>
      <c r="D71" s="15" t="s">
        <v>208</v>
      </c>
      <c r="E71" s="15" t="s">
        <v>209</v>
      </c>
      <c r="F71" s="50">
        <f t="shared" si="9"/>
        <v>15.4</v>
      </c>
      <c r="G71" s="56">
        <v>22.0</v>
      </c>
      <c r="H71" s="54">
        <v>22.0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27"/>
      <c r="C72" s="55" t="s">
        <v>210</v>
      </c>
      <c r="D72" s="15" t="s">
        <v>211</v>
      </c>
      <c r="E72" s="15" t="s">
        <v>212</v>
      </c>
      <c r="F72" s="50">
        <f t="shared" si="9"/>
        <v>11.2</v>
      </c>
      <c r="G72" s="56">
        <v>16.0</v>
      </c>
      <c r="H72" s="52">
        <v>16.0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27"/>
      <c r="C73" s="55" t="s">
        <v>213</v>
      </c>
      <c r="D73" s="15" t="s">
        <v>214</v>
      </c>
      <c r="E73" s="15" t="s">
        <v>215</v>
      </c>
      <c r="F73" s="50">
        <f t="shared" si="9"/>
        <v>11.2</v>
      </c>
      <c r="G73" s="56">
        <v>16.0</v>
      </c>
      <c r="H73" s="52">
        <v>16.0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27"/>
      <c r="C74" s="55" t="s">
        <v>216</v>
      </c>
      <c r="D74" s="15" t="s">
        <v>217</v>
      </c>
      <c r="E74" s="15" t="s">
        <v>218</v>
      </c>
      <c r="F74" s="50">
        <f t="shared" si="9"/>
        <v>14.7</v>
      </c>
      <c r="G74" s="56">
        <v>21.0</v>
      </c>
      <c r="H74" s="54">
        <v>21.0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38"/>
      <c r="C75" s="55" t="s">
        <v>219</v>
      </c>
      <c r="D75" s="49" t="s">
        <v>220</v>
      </c>
      <c r="E75" s="15" t="s">
        <v>221</v>
      </c>
      <c r="F75" s="50">
        <f t="shared" si="9"/>
        <v>15.4</v>
      </c>
      <c r="G75" s="56">
        <v>22.0</v>
      </c>
      <c r="H75" s="54">
        <v>22.0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20" t="s">
        <v>222</v>
      </c>
      <c r="C76" s="186" t="s">
        <v>17</v>
      </c>
      <c r="D76" s="191" t="s">
        <v>17</v>
      </c>
      <c r="E76" s="224" t="s">
        <v>223</v>
      </c>
      <c r="F76" s="188" t="s">
        <v>17</v>
      </c>
      <c r="G76" s="188"/>
      <c r="H76" s="189" t="s">
        <v>17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27"/>
      <c r="C77" s="39" t="s">
        <v>224</v>
      </c>
      <c r="D77" s="15" t="s">
        <v>225</v>
      </c>
      <c r="E77" s="15" t="s">
        <v>226</v>
      </c>
      <c r="F77" s="58">
        <v>45.49</v>
      </c>
      <c r="G77" s="56">
        <v>69.95</v>
      </c>
      <c r="H77" s="52">
        <v>69.95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27"/>
      <c r="C78" s="39" t="s">
        <v>227</v>
      </c>
      <c r="D78" s="15" t="s">
        <v>228</v>
      </c>
      <c r="E78" s="15" t="s">
        <v>229</v>
      </c>
      <c r="F78" s="58">
        <v>58.84</v>
      </c>
      <c r="G78" s="56">
        <v>79.95</v>
      </c>
      <c r="H78" s="52">
        <v>79.95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27"/>
      <c r="C79" s="39" t="s">
        <v>230</v>
      </c>
      <c r="D79" s="15" t="s">
        <v>231</v>
      </c>
      <c r="E79" s="15" t="s">
        <v>232</v>
      </c>
      <c r="F79" s="58">
        <v>92.41</v>
      </c>
      <c r="G79" s="56">
        <v>114.95</v>
      </c>
      <c r="H79" s="54">
        <v>119.0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27"/>
      <c r="C80" s="39" t="s">
        <v>233</v>
      </c>
      <c r="D80" s="15" t="s">
        <v>234</v>
      </c>
      <c r="E80" s="15" t="s">
        <v>235</v>
      </c>
      <c r="F80" s="58">
        <v>17.99</v>
      </c>
      <c r="G80" s="56">
        <v>24.95</v>
      </c>
      <c r="H80" s="52">
        <v>24.95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27"/>
      <c r="C81" s="39" t="s">
        <v>236</v>
      </c>
      <c r="D81" s="15" t="s">
        <v>237</v>
      </c>
      <c r="E81" s="15" t="s">
        <v>238</v>
      </c>
      <c r="F81" s="58">
        <v>27.99</v>
      </c>
      <c r="G81" s="59">
        <v>32.95</v>
      </c>
      <c r="H81" s="52">
        <v>32.95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27"/>
      <c r="C82" s="39" t="s">
        <v>239</v>
      </c>
      <c r="D82" s="15" t="s">
        <v>240</v>
      </c>
      <c r="E82" s="15" t="s">
        <v>241</v>
      </c>
      <c r="F82" s="58">
        <v>19.95</v>
      </c>
      <c r="G82" s="59">
        <v>19.95</v>
      </c>
      <c r="H82" s="52">
        <v>19.95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27"/>
      <c r="C83" s="39" t="s">
        <v>242</v>
      </c>
      <c r="D83" s="15" t="s">
        <v>243</v>
      </c>
      <c r="E83" s="15" t="s">
        <v>244</v>
      </c>
      <c r="F83" s="58">
        <v>33.71</v>
      </c>
      <c r="G83" s="59">
        <v>44.95</v>
      </c>
      <c r="H83" s="52">
        <v>44.95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27"/>
      <c r="C84" s="39" t="s">
        <v>245</v>
      </c>
      <c r="D84" s="15" t="s">
        <v>246</v>
      </c>
      <c r="E84" s="15" t="s">
        <v>247</v>
      </c>
      <c r="F84" s="58">
        <v>33.71</v>
      </c>
      <c r="G84" s="59">
        <v>44.95</v>
      </c>
      <c r="H84" s="52">
        <v>44.95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27"/>
      <c r="C85" s="39" t="s">
        <v>248</v>
      </c>
      <c r="D85" s="15" t="s">
        <v>249</v>
      </c>
      <c r="E85" s="15" t="s">
        <v>250</v>
      </c>
      <c r="F85" s="58">
        <v>104.99</v>
      </c>
      <c r="G85" s="59">
        <v>129.95</v>
      </c>
      <c r="H85" s="52">
        <v>129.95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27"/>
      <c r="C86" s="39" t="s">
        <v>251</v>
      </c>
      <c r="D86" s="15" t="s">
        <v>252</v>
      </c>
      <c r="E86" s="15" t="s">
        <v>253</v>
      </c>
      <c r="F86" s="58">
        <v>21.24</v>
      </c>
      <c r="G86" s="59">
        <v>24.95</v>
      </c>
      <c r="H86" s="52">
        <v>24.95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27"/>
      <c r="C87" s="186" t="s">
        <v>17</v>
      </c>
      <c r="D87" s="191" t="s">
        <v>17</v>
      </c>
      <c r="E87" s="224" t="s">
        <v>254</v>
      </c>
      <c r="F87" s="188"/>
      <c r="G87" s="188"/>
      <c r="H87" s="189" t="s">
        <v>17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27"/>
      <c r="C88" s="39" t="s">
        <v>255</v>
      </c>
      <c r="D88" s="15" t="s">
        <v>256</v>
      </c>
      <c r="E88" s="15" t="s">
        <v>257</v>
      </c>
      <c r="F88" s="58">
        <v>84.4</v>
      </c>
      <c r="G88" s="59">
        <v>99.95</v>
      </c>
      <c r="H88" s="52">
        <v>99.95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27"/>
      <c r="C89" s="39" t="s">
        <v>258</v>
      </c>
      <c r="D89" s="15" t="s">
        <v>259</v>
      </c>
      <c r="E89" s="15" t="s">
        <v>260</v>
      </c>
      <c r="F89" s="58">
        <v>126.82</v>
      </c>
      <c r="G89" s="59">
        <v>163.95</v>
      </c>
      <c r="H89" s="52">
        <v>163.95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27"/>
      <c r="C90" s="39" t="s">
        <v>261</v>
      </c>
      <c r="D90" s="15" t="s">
        <v>262</v>
      </c>
      <c r="E90" s="15" t="s">
        <v>263</v>
      </c>
      <c r="F90" s="58">
        <v>24.95</v>
      </c>
      <c r="G90" s="59">
        <v>24.95</v>
      </c>
      <c r="H90" s="52">
        <v>24.95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27"/>
      <c r="C91" s="186" t="s">
        <v>17</v>
      </c>
      <c r="D91" s="191" t="s">
        <v>17</v>
      </c>
      <c r="E91" s="224" t="s">
        <v>264</v>
      </c>
      <c r="F91" s="188" t="s">
        <v>17</v>
      </c>
      <c r="G91" s="188"/>
      <c r="H91" s="189" t="s">
        <v>17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27"/>
      <c r="C92" s="39" t="s">
        <v>265</v>
      </c>
      <c r="D92" s="15" t="s">
        <v>266</v>
      </c>
      <c r="E92" s="15" t="s">
        <v>267</v>
      </c>
      <c r="F92" s="58">
        <v>104.97</v>
      </c>
      <c r="G92" s="56">
        <v>199.95</v>
      </c>
      <c r="H92" s="52">
        <v>149.95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27"/>
      <c r="C93" s="39" t="s">
        <v>268</v>
      </c>
      <c r="D93" s="15" t="s">
        <v>269</v>
      </c>
      <c r="E93" s="15" t="s">
        <v>270</v>
      </c>
      <c r="F93" s="58">
        <v>136.5</v>
      </c>
      <c r="G93" s="56">
        <v>244.95</v>
      </c>
      <c r="H93" s="54">
        <v>195.0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27"/>
      <c r="C94" s="39" t="s">
        <v>271</v>
      </c>
      <c r="D94" s="15" t="s">
        <v>272</v>
      </c>
      <c r="E94" s="15" t="s">
        <v>273</v>
      </c>
      <c r="F94" s="58">
        <v>19.95</v>
      </c>
      <c r="G94" s="56">
        <v>49.95</v>
      </c>
      <c r="H94" s="52">
        <v>29.95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27"/>
      <c r="C95" s="39" t="s">
        <v>274</v>
      </c>
      <c r="D95" s="15" t="s">
        <v>275</v>
      </c>
      <c r="E95" s="15" t="s">
        <v>276</v>
      </c>
      <c r="F95" s="58">
        <v>19.95</v>
      </c>
      <c r="G95" s="56">
        <v>29.95</v>
      </c>
      <c r="H95" s="52">
        <v>29.95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27"/>
      <c r="C96" s="186" t="s">
        <v>17</v>
      </c>
      <c r="D96" s="191" t="s">
        <v>17</v>
      </c>
      <c r="E96" s="224" t="s">
        <v>277</v>
      </c>
      <c r="F96" s="188" t="s">
        <v>17</v>
      </c>
      <c r="G96" s="188"/>
      <c r="H96" s="189" t="s">
        <v>17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27"/>
      <c r="C97" s="39" t="s">
        <v>278</v>
      </c>
      <c r="D97" s="15" t="s">
        <v>279</v>
      </c>
      <c r="E97" s="15" t="s">
        <v>280</v>
      </c>
      <c r="F97" s="58">
        <v>52.61</v>
      </c>
      <c r="G97" s="59">
        <v>79.95</v>
      </c>
      <c r="H97" s="52">
        <v>79.95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27"/>
      <c r="C98" s="39" t="s">
        <v>281</v>
      </c>
      <c r="D98" s="15" t="s">
        <v>282</v>
      </c>
      <c r="E98" s="15" t="s">
        <v>283</v>
      </c>
      <c r="F98" s="58">
        <v>64.5</v>
      </c>
      <c r="G98" s="59">
        <v>129.0</v>
      </c>
      <c r="H98" s="52">
        <v>129.0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27"/>
      <c r="C99" s="186" t="s">
        <v>17</v>
      </c>
      <c r="D99" s="191" t="s">
        <v>17</v>
      </c>
      <c r="E99" s="224" t="s">
        <v>284</v>
      </c>
      <c r="F99" s="188" t="s">
        <v>17</v>
      </c>
      <c r="G99" s="188"/>
      <c r="H99" s="189" t="s">
        <v>17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27"/>
      <c r="C100" s="39" t="s">
        <v>285</v>
      </c>
      <c r="D100" s="60" t="s">
        <v>286</v>
      </c>
      <c r="E100" s="15" t="s">
        <v>287</v>
      </c>
      <c r="F100" s="58">
        <v>34.68</v>
      </c>
      <c r="G100" s="59">
        <v>39.95</v>
      </c>
      <c r="H100" s="52">
        <v>39.95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27"/>
      <c r="C101" s="39" t="s">
        <v>288</v>
      </c>
      <c r="D101" s="60" t="s">
        <v>289</v>
      </c>
      <c r="E101" s="15" t="s">
        <v>290</v>
      </c>
      <c r="F101" s="58">
        <v>34.68</v>
      </c>
      <c r="G101" s="59">
        <v>39.95</v>
      </c>
      <c r="H101" s="52">
        <v>39.95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27"/>
      <c r="C102" s="39" t="s">
        <v>291</v>
      </c>
      <c r="D102" s="60" t="s">
        <v>292</v>
      </c>
      <c r="E102" s="15" t="s">
        <v>293</v>
      </c>
      <c r="F102" s="58">
        <v>34.68</v>
      </c>
      <c r="G102" s="59">
        <v>39.95</v>
      </c>
      <c r="H102" s="52">
        <v>39.95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27"/>
      <c r="C103" s="39" t="s">
        <v>294</v>
      </c>
      <c r="D103" s="61" t="s">
        <v>295</v>
      </c>
      <c r="E103" s="15" t="s">
        <v>296</v>
      </c>
      <c r="F103" s="58">
        <v>34.68</v>
      </c>
      <c r="G103" s="59">
        <v>39.95</v>
      </c>
      <c r="H103" s="52">
        <v>39.95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27"/>
      <c r="C104" s="39" t="s">
        <v>297</v>
      </c>
      <c r="D104" s="60" t="s">
        <v>298</v>
      </c>
      <c r="E104" s="15" t="s">
        <v>299</v>
      </c>
      <c r="F104" s="58">
        <v>34.68</v>
      </c>
      <c r="G104" s="59">
        <v>39.95</v>
      </c>
      <c r="H104" s="52">
        <v>39.95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27"/>
      <c r="C105" s="39" t="s">
        <v>300</v>
      </c>
      <c r="D105" s="60" t="s">
        <v>301</v>
      </c>
      <c r="E105" s="15" t="s">
        <v>302</v>
      </c>
      <c r="F105" s="58">
        <v>34.68</v>
      </c>
      <c r="G105" s="59">
        <v>39.95</v>
      </c>
      <c r="H105" s="52">
        <v>39.95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27"/>
      <c r="C106" s="39" t="s">
        <v>303</v>
      </c>
      <c r="D106" s="60" t="s">
        <v>304</v>
      </c>
      <c r="E106" s="15" t="s">
        <v>305</v>
      </c>
      <c r="F106" s="58">
        <v>34.68</v>
      </c>
      <c r="G106" s="59">
        <v>39.95</v>
      </c>
      <c r="H106" s="52">
        <v>39.95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27"/>
      <c r="C107" s="39" t="s">
        <v>306</v>
      </c>
      <c r="D107" s="62" t="s">
        <v>307</v>
      </c>
      <c r="E107" s="15" t="s">
        <v>308</v>
      </c>
      <c r="F107" s="58">
        <v>34.68</v>
      </c>
      <c r="G107" s="59">
        <v>39.95</v>
      </c>
      <c r="H107" s="52">
        <v>39.95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27"/>
      <c r="C108" s="39" t="s">
        <v>309</v>
      </c>
      <c r="D108" s="60" t="s">
        <v>310</v>
      </c>
      <c r="E108" s="15" t="s">
        <v>311</v>
      </c>
      <c r="F108" s="58">
        <v>34.68</v>
      </c>
      <c r="G108" s="59">
        <v>39.95</v>
      </c>
      <c r="H108" s="52">
        <v>39.95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27"/>
      <c r="C109" s="39" t="s">
        <v>312</v>
      </c>
      <c r="D109" s="60" t="s">
        <v>313</v>
      </c>
      <c r="E109" s="15" t="s">
        <v>314</v>
      </c>
      <c r="F109" s="58">
        <v>34.68</v>
      </c>
      <c r="G109" s="59">
        <v>39.95</v>
      </c>
      <c r="H109" s="52">
        <v>39.95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27"/>
      <c r="C110" s="39" t="s">
        <v>315</v>
      </c>
      <c r="D110" s="60" t="s">
        <v>316</v>
      </c>
      <c r="E110" s="15" t="s">
        <v>317</v>
      </c>
      <c r="F110" s="58">
        <v>34.68</v>
      </c>
      <c r="G110" s="59">
        <v>39.95</v>
      </c>
      <c r="H110" s="52">
        <v>39.95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27"/>
      <c r="C111" s="186" t="s">
        <v>17</v>
      </c>
      <c r="D111" s="191" t="s">
        <v>17</v>
      </c>
      <c r="E111" s="224" t="s">
        <v>331</v>
      </c>
      <c r="F111" s="188" t="s">
        <v>17</v>
      </c>
      <c r="G111" s="188"/>
      <c r="H111" s="189" t="s">
        <v>17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27"/>
      <c r="C112" s="39" t="s">
        <v>332</v>
      </c>
      <c r="D112" s="15" t="s">
        <v>333</v>
      </c>
      <c r="E112" s="15" t="s">
        <v>334</v>
      </c>
      <c r="F112" s="58">
        <v>41.97</v>
      </c>
      <c r="G112" s="56">
        <v>79.95</v>
      </c>
      <c r="H112" s="52">
        <v>59.95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27"/>
      <c r="C113" s="39" t="s">
        <v>335</v>
      </c>
      <c r="D113" s="15" t="s">
        <v>336</v>
      </c>
      <c r="E113" s="15" t="s">
        <v>337</v>
      </c>
      <c r="F113" s="58">
        <v>41.97</v>
      </c>
      <c r="G113" s="56">
        <v>79.95</v>
      </c>
      <c r="H113" s="52">
        <v>59.95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27"/>
      <c r="C114" s="39" t="s">
        <v>338</v>
      </c>
      <c r="D114" s="15" t="s">
        <v>339</v>
      </c>
      <c r="E114" s="15" t="s">
        <v>340</v>
      </c>
      <c r="F114" s="58">
        <v>41.97</v>
      </c>
      <c r="G114" s="56">
        <v>79.95</v>
      </c>
      <c r="H114" s="52">
        <v>59.95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27"/>
      <c r="C115" s="39" t="s">
        <v>341</v>
      </c>
      <c r="D115" s="15" t="s">
        <v>342</v>
      </c>
      <c r="E115" s="15" t="s">
        <v>340</v>
      </c>
      <c r="F115" s="58">
        <v>41.97</v>
      </c>
      <c r="G115" s="56">
        <v>79.95</v>
      </c>
      <c r="H115" s="52">
        <v>59.95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27"/>
      <c r="C116" s="39" t="s">
        <v>343</v>
      </c>
      <c r="D116" s="15" t="s">
        <v>344</v>
      </c>
      <c r="E116" s="15" t="s">
        <v>345</v>
      </c>
      <c r="F116" s="58">
        <v>41.97</v>
      </c>
      <c r="G116" s="56">
        <v>79.95</v>
      </c>
      <c r="H116" s="52">
        <v>59.95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27"/>
      <c r="C117" s="39" t="s">
        <v>346</v>
      </c>
      <c r="D117" s="15" t="s">
        <v>347</v>
      </c>
      <c r="E117" s="15" t="s">
        <v>340</v>
      </c>
      <c r="F117" s="58">
        <v>41.97</v>
      </c>
      <c r="G117" s="56">
        <v>79.95</v>
      </c>
      <c r="H117" s="52">
        <v>59.95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27"/>
      <c r="C118" s="39" t="s">
        <v>348</v>
      </c>
      <c r="D118" s="15" t="s">
        <v>349</v>
      </c>
      <c r="E118" s="15" t="s">
        <v>340</v>
      </c>
      <c r="F118" s="58">
        <v>41.97</v>
      </c>
      <c r="G118" s="56">
        <v>79.95</v>
      </c>
      <c r="H118" s="52">
        <v>59.95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27"/>
      <c r="C119" s="39" t="s">
        <v>350</v>
      </c>
      <c r="D119" s="15" t="s">
        <v>351</v>
      </c>
      <c r="E119" s="15" t="s">
        <v>352</v>
      </c>
      <c r="F119" s="58">
        <v>41.97</v>
      </c>
      <c r="G119" s="56">
        <v>79.95</v>
      </c>
      <c r="H119" s="52">
        <v>59.95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38"/>
      <c r="C120" s="64" t="s">
        <v>353</v>
      </c>
      <c r="D120" s="65" t="s">
        <v>354</v>
      </c>
      <c r="E120" s="65" t="s">
        <v>355</v>
      </c>
      <c r="F120" s="58">
        <v>41.97</v>
      </c>
      <c r="G120" s="56">
        <v>79.95</v>
      </c>
      <c r="H120" s="52">
        <v>59.95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20" t="s">
        <v>356</v>
      </c>
      <c r="C121" s="226" t="s">
        <v>17</v>
      </c>
      <c r="D121" s="227" t="s">
        <v>17</v>
      </c>
      <c r="E121" s="228" t="s">
        <v>357</v>
      </c>
      <c r="F121" s="229" t="s">
        <v>17</v>
      </c>
      <c r="G121" s="229"/>
      <c r="H121" s="189" t="s">
        <v>17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27"/>
      <c r="C122" s="69" t="s">
        <v>358</v>
      </c>
      <c r="D122" s="70" t="s">
        <v>359</v>
      </c>
      <c r="E122" s="70" t="s">
        <v>360</v>
      </c>
      <c r="F122" s="71">
        <v>35.95</v>
      </c>
      <c r="G122" s="72">
        <v>69.95</v>
      </c>
      <c r="H122" s="52">
        <v>54.95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27"/>
      <c r="C123" s="226" t="s">
        <v>17</v>
      </c>
      <c r="D123" s="227" t="s">
        <v>17</v>
      </c>
      <c r="E123" s="228" t="s">
        <v>361</v>
      </c>
      <c r="F123" s="229" t="s">
        <v>17</v>
      </c>
      <c r="G123" s="229"/>
      <c r="H123" s="189" t="s">
        <v>17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27"/>
      <c r="C124" s="73" t="s">
        <v>362</v>
      </c>
      <c r="D124" s="70" t="s">
        <v>363</v>
      </c>
      <c r="E124" s="70" t="s">
        <v>364</v>
      </c>
      <c r="F124" s="71">
        <v>35.95</v>
      </c>
      <c r="G124" s="72">
        <v>59.95</v>
      </c>
      <c r="H124" s="52">
        <v>59.95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27"/>
      <c r="C125" s="73" t="s">
        <v>365</v>
      </c>
      <c r="D125" s="70" t="s">
        <v>366</v>
      </c>
      <c r="E125" s="70" t="s">
        <v>367</v>
      </c>
      <c r="F125" s="71">
        <v>71.9</v>
      </c>
      <c r="G125" s="72">
        <v>79.9</v>
      </c>
      <c r="H125" s="52">
        <v>97.12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27"/>
      <c r="C126" s="73" t="s">
        <v>368</v>
      </c>
      <c r="D126" s="70" t="s">
        <v>369</v>
      </c>
      <c r="E126" s="70" t="s">
        <v>370</v>
      </c>
      <c r="F126" s="71">
        <v>45.95</v>
      </c>
      <c r="G126" s="72">
        <v>69.95</v>
      </c>
      <c r="H126" s="52">
        <v>69.95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27"/>
      <c r="C127" s="73" t="s">
        <v>371</v>
      </c>
      <c r="D127" s="70" t="s">
        <v>372</v>
      </c>
      <c r="E127" s="70" t="s">
        <v>373</v>
      </c>
      <c r="F127" s="71">
        <v>91.9</v>
      </c>
      <c r="G127" s="72">
        <v>99.9</v>
      </c>
      <c r="H127" s="52">
        <v>107.03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27"/>
      <c r="C128" s="226" t="s">
        <v>17</v>
      </c>
      <c r="D128" s="227" t="s">
        <v>17</v>
      </c>
      <c r="E128" s="228" t="s">
        <v>374</v>
      </c>
      <c r="F128" s="229" t="s">
        <v>17</v>
      </c>
      <c r="G128" s="229"/>
      <c r="H128" s="189" t="s">
        <v>17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27"/>
      <c r="C129" s="74" t="s">
        <v>375</v>
      </c>
      <c r="D129" s="70" t="s">
        <v>376</v>
      </c>
      <c r="E129" s="70" t="s">
        <v>374</v>
      </c>
      <c r="F129" s="71">
        <v>35.95</v>
      </c>
      <c r="G129" s="72">
        <v>36.0</v>
      </c>
      <c r="H129" s="54">
        <v>36.0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27"/>
      <c r="C130" s="69" t="s">
        <v>377</v>
      </c>
      <c r="D130" s="70" t="s">
        <v>378</v>
      </c>
      <c r="E130" s="70" t="s">
        <v>379</v>
      </c>
      <c r="F130" s="71">
        <v>45.95</v>
      </c>
      <c r="G130" s="72">
        <v>58.65</v>
      </c>
      <c r="H130" s="52">
        <v>58.65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27"/>
      <c r="C131" s="226" t="s">
        <v>17</v>
      </c>
      <c r="D131" s="227" t="s">
        <v>17</v>
      </c>
      <c r="E131" s="228" t="s">
        <v>380</v>
      </c>
      <c r="F131" s="229" t="s">
        <v>17</v>
      </c>
      <c r="G131" s="229"/>
      <c r="H131" s="189" t="s">
        <v>17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27"/>
      <c r="C132" s="74" t="s">
        <v>381</v>
      </c>
      <c r="D132" s="70" t="s">
        <v>382</v>
      </c>
      <c r="E132" s="70" t="s">
        <v>380</v>
      </c>
      <c r="F132" s="71">
        <v>35.95</v>
      </c>
      <c r="G132" s="72">
        <v>59.95</v>
      </c>
      <c r="H132" s="54">
        <v>55.0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27"/>
      <c r="C133" s="74" t="s">
        <v>383</v>
      </c>
      <c r="D133" s="70" t="s">
        <v>384</v>
      </c>
      <c r="E133" s="70" t="s">
        <v>385</v>
      </c>
      <c r="F133" s="71">
        <v>45.95</v>
      </c>
      <c r="G133" s="72">
        <v>69.95</v>
      </c>
      <c r="H133" s="54">
        <v>69.95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27"/>
      <c r="C134" s="226" t="s">
        <v>17</v>
      </c>
      <c r="D134" s="227" t="s">
        <v>17</v>
      </c>
      <c r="E134" s="228" t="s">
        <v>386</v>
      </c>
      <c r="F134" s="229" t="s">
        <v>17</v>
      </c>
      <c r="G134" s="229"/>
      <c r="H134" s="189" t="s">
        <v>17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27"/>
      <c r="C135" s="73" t="s">
        <v>387</v>
      </c>
      <c r="D135" s="70" t="s">
        <v>388</v>
      </c>
      <c r="E135" s="70" t="s">
        <v>389</v>
      </c>
      <c r="F135" s="71">
        <v>19.99</v>
      </c>
      <c r="G135" s="72">
        <v>24.99</v>
      </c>
      <c r="H135" s="52">
        <v>34.95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27"/>
      <c r="C136" s="73" t="s">
        <v>390</v>
      </c>
      <c r="D136" s="70" t="s">
        <v>391</v>
      </c>
      <c r="E136" s="70" t="s">
        <v>392</v>
      </c>
      <c r="F136" s="71">
        <v>39.95</v>
      </c>
      <c r="G136" s="72">
        <v>49.95</v>
      </c>
      <c r="H136" s="52">
        <v>59.99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27"/>
      <c r="C137" s="73" t="s">
        <v>393</v>
      </c>
      <c r="D137" s="70" t="s">
        <v>394</v>
      </c>
      <c r="E137" s="70" t="s">
        <v>395</v>
      </c>
      <c r="F137" s="71">
        <v>79.9</v>
      </c>
      <c r="G137" s="72">
        <v>99.9</v>
      </c>
      <c r="H137" s="52">
        <v>124.95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27"/>
      <c r="C138" s="73" t="s">
        <v>396</v>
      </c>
      <c r="D138" s="70" t="s">
        <v>397</v>
      </c>
      <c r="E138" s="70" t="s">
        <v>398</v>
      </c>
      <c r="F138" s="71">
        <v>49.95</v>
      </c>
      <c r="G138" s="72">
        <v>59.95</v>
      </c>
      <c r="H138" s="52">
        <v>69.95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27"/>
      <c r="C139" s="226" t="s">
        <v>17</v>
      </c>
      <c r="D139" s="227" t="s">
        <v>17</v>
      </c>
      <c r="E139" s="228" t="s">
        <v>399</v>
      </c>
      <c r="F139" s="229" t="s">
        <v>17</v>
      </c>
      <c r="G139" s="229"/>
      <c r="H139" s="189" t="s">
        <v>17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27"/>
      <c r="C140" s="73" t="s">
        <v>400</v>
      </c>
      <c r="D140" s="70" t="s">
        <v>401</v>
      </c>
      <c r="E140" s="70" t="s">
        <v>399</v>
      </c>
      <c r="F140" s="71">
        <v>29.95</v>
      </c>
      <c r="G140" s="72">
        <v>39.95</v>
      </c>
      <c r="H140" s="52">
        <v>29.95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27"/>
      <c r="C141" s="226" t="s">
        <v>17</v>
      </c>
      <c r="D141" s="227" t="s">
        <v>17</v>
      </c>
      <c r="E141" s="228" t="s">
        <v>402</v>
      </c>
      <c r="F141" s="229" t="s">
        <v>17</v>
      </c>
      <c r="G141" s="229"/>
      <c r="H141" s="189" t="s">
        <v>17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27"/>
      <c r="C142" s="69" t="s">
        <v>403</v>
      </c>
      <c r="D142" s="70" t="s">
        <v>404</v>
      </c>
      <c r="E142" s="70" t="s">
        <v>405</v>
      </c>
      <c r="F142" s="71">
        <v>69.95</v>
      </c>
      <c r="G142" s="72">
        <v>69.95</v>
      </c>
      <c r="H142" s="52">
        <v>69.95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27"/>
      <c r="C143" s="226" t="s">
        <v>17</v>
      </c>
      <c r="D143" s="227" t="s">
        <v>17</v>
      </c>
      <c r="E143" s="228" t="s">
        <v>406</v>
      </c>
      <c r="F143" s="229" t="s">
        <v>17</v>
      </c>
      <c r="G143" s="229"/>
      <c r="H143" s="189" t="s">
        <v>17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27"/>
      <c r="C144" s="73" t="s">
        <v>407</v>
      </c>
      <c r="D144" s="70" t="s">
        <v>408</v>
      </c>
      <c r="E144" s="70" t="s">
        <v>409</v>
      </c>
      <c r="F144" s="71">
        <v>79.9</v>
      </c>
      <c r="G144" s="72">
        <v>79.9</v>
      </c>
      <c r="H144" s="52">
        <v>109.9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27"/>
      <c r="C145" s="74" t="s">
        <v>410</v>
      </c>
      <c r="D145" s="70" t="s">
        <v>411</v>
      </c>
      <c r="E145" s="70" t="s">
        <v>412</v>
      </c>
      <c r="F145" s="71">
        <v>39.95</v>
      </c>
      <c r="G145" s="72">
        <v>49.95</v>
      </c>
      <c r="H145" s="52">
        <v>59.95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27"/>
      <c r="C146" s="75" t="s">
        <v>413</v>
      </c>
      <c r="D146" s="70" t="s">
        <v>414</v>
      </c>
      <c r="E146" s="70" t="s">
        <v>415</v>
      </c>
      <c r="F146" s="71">
        <v>99.9</v>
      </c>
      <c r="G146" s="72">
        <v>99.9</v>
      </c>
      <c r="H146" s="52">
        <v>129.95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38"/>
      <c r="C147" s="39" t="s">
        <v>416</v>
      </c>
      <c r="D147" s="15" t="s">
        <v>417</v>
      </c>
      <c r="E147" s="15" t="s">
        <v>418</v>
      </c>
      <c r="F147" s="58">
        <v>49.95</v>
      </c>
      <c r="G147" s="56">
        <v>59.95</v>
      </c>
      <c r="H147" s="52">
        <v>69.95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230"/>
      <c r="D148" s="18"/>
      <c r="E148" s="18"/>
      <c r="F148" s="231"/>
      <c r="G148" s="231"/>
      <c r="H148" s="232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230"/>
      <c r="D149" s="18"/>
      <c r="E149" s="18"/>
      <c r="F149" s="231"/>
      <c r="G149" s="231"/>
      <c r="H149" s="232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230"/>
      <c r="D150" s="18"/>
      <c r="E150" s="18"/>
      <c r="F150" s="231"/>
      <c r="G150" s="231"/>
      <c r="H150" s="232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230"/>
      <c r="D151" s="18"/>
      <c r="E151" s="18"/>
      <c r="F151" s="231"/>
      <c r="G151" s="231"/>
      <c r="H151" s="232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230"/>
      <c r="D152" s="18"/>
      <c r="E152" s="18"/>
      <c r="F152" s="231"/>
      <c r="G152" s="231"/>
      <c r="H152" s="232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230"/>
      <c r="D153" s="18"/>
      <c r="E153" s="18"/>
      <c r="F153" s="231"/>
      <c r="G153" s="231"/>
      <c r="H153" s="232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230"/>
      <c r="D154" s="18"/>
      <c r="E154" s="18"/>
      <c r="F154" s="231"/>
      <c r="G154" s="231"/>
      <c r="H154" s="232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230"/>
      <c r="D155" s="18"/>
      <c r="E155" s="18"/>
      <c r="F155" s="231"/>
      <c r="G155" s="231"/>
      <c r="H155" s="232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230"/>
      <c r="D156" s="18"/>
      <c r="E156" s="18"/>
      <c r="F156" s="231"/>
      <c r="G156" s="231"/>
      <c r="H156" s="232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230"/>
      <c r="D157" s="18"/>
      <c r="E157" s="18"/>
      <c r="F157" s="231"/>
      <c r="G157" s="231"/>
      <c r="H157" s="232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230"/>
      <c r="D158" s="18"/>
      <c r="E158" s="18"/>
      <c r="F158" s="231"/>
      <c r="G158" s="231"/>
      <c r="H158" s="232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230"/>
      <c r="D159" s="18"/>
      <c r="E159" s="18"/>
      <c r="F159" s="231"/>
      <c r="G159" s="231"/>
      <c r="H159" s="232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230"/>
      <c r="D160" s="18"/>
      <c r="E160" s="18"/>
      <c r="F160" s="231"/>
      <c r="G160" s="231"/>
      <c r="H160" s="232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230"/>
      <c r="D161" s="18"/>
      <c r="E161" s="18"/>
      <c r="F161" s="231"/>
      <c r="G161" s="231"/>
      <c r="H161" s="232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230"/>
      <c r="D162" s="18"/>
      <c r="E162" s="18"/>
      <c r="F162" s="231"/>
      <c r="G162" s="231"/>
      <c r="H162" s="232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230"/>
      <c r="D163" s="18"/>
      <c r="E163" s="18"/>
      <c r="F163" s="231"/>
      <c r="G163" s="231"/>
      <c r="H163" s="232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230"/>
      <c r="D164" s="18"/>
      <c r="E164" s="18"/>
      <c r="F164" s="231"/>
      <c r="G164" s="231"/>
      <c r="H164" s="232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230"/>
      <c r="D165" s="18"/>
      <c r="E165" s="18"/>
      <c r="F165" s="231"/>
      <c r="G165" s="231"/>
      <c r="H165" s="232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230"/>
      <c r="D166" s="18"/>
      <c r="E166" s="18"/>
      <c r="F166" s="231"/>
      <c r="G166" s="231"/>
      <c r="H166" s="232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230"/>
      <c r="D167" s="18"/>
      <c r="E167" s="18"/>
      <c r="F167" s="231"/>
      <c r="G167" s="231"/>
      <c r="H167" s="232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230"/>
      <c r="D168" s="18"/>
      <c r="E168" s="18"/>
      <c r="F168" s="231"/>
      <c r="G168" s="231"/>
      <c r="H168" s="232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230"/>
      <c r="D169" s="18"/>
      <c r="E169" s="18"/>
      <c r="F169" s="231"/>
      <c r="G169" s="231"/>
      <c r="H169" s="232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230"/>
      <c r="D170" s="18"/>
      <c r="E170" s="18"/>
      <c r="F170" s="231"/>
      <c r="G170" s="231"/>
      <c r="H170" s="232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230"/>
      <c r="D171" s="18"/>
      <c r="E171" s="18"/>
      <c r="F171" s="231"/>
      <c r="G171" s="231"/>
      <c r="H171" s="23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230"/>
      <c r="D172" s="18"/>
      <c r="E172" s="18"/>
      <c r="F172" s="231"/>
      <c r="G172" s="231"/>
      <c r="H172" s="23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230"/>
      <c r="D173" s="18"/>
      <c r="E173" s="18"/>
      <c r="F173" s="231"/>
      <c r="G173" s="231"/>
      <c r="H173" s="232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230"/>
      <c r="D174" s="18"/>
      <c r="E174" s="18"/>
      <c r="F174" s="231"/>
      <c r="G174" s="231"/>
      <c r="H174" s="232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230"/>
      <c r="D175" s="18"/>
      <c r="E175" s="18"/>
      <c r="F175" s="231"/>
      <c r="G175" s="231"/>
      <c r="H175" s="232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230"/>
      <c r="D176" s="18"/>
      <c r="E176" s="18"/>
      <c r="F176" s="231"/>
      <c r="G176" s="231"/>
      <c r="H176" s="232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230"/>
      <c r="D177" s="18"/>
      <c r="E177" s="18"/>
      <c r="F177" s="231"/>
      <c r="G177" s="231"/>
      <c r="H177" s="232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230"/>
      <c r="D178" s="18"/>
      <c r="E178" s="18"/>
      <c r="F178" s="231"/>
      <c r="G178" s="231"/>
      <c r="H178" s="232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230"/>
      <c r="D179" s="18"/>
      <c r="E179" s="18"/>
      <c r="F179" s="231"/>
      <c r="G179" s="231"/>
      <c r="H179" s="232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230"/>
      <c r="D180" s="18"/>
      <c r="E180" s="18"/>
      <c r="F180" s="231"/>
      <c r="G180" s="18"/>
      <c r="H180" s="232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230"/>
      <c r="D181" s="18"/>
      <c r="E181" s="18"/>
      <c r="F181" s="231"/>
      <c r="G181" s="18"/>
      <c r="H181" s="232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230"/>
      <c r="D182" s="18"/>
      <c r="E182" s="18"/>
      <c r="F182" s="231"/>
      <c r="G182" s="18"/>
      <c r="H182" s="232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230"/>
      <c r="D183" s="18"/>
      <c r="E183" s="18"/>
      <c r="F183" s="231"/>
      <c r="G183" s="18"/>
      <c r="H183" s="232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230"/>
      <c r="D184" s="18"/>
      <c r="E184" s="18"/>
      <c r="F184" s="231"/>
      <c r="G184" s="18"/>
      <c r="H184" s="232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230"/>
      <c r="D185" s="18"/>
      <c r="E185" s="18"/>
      <c r="F185" s="231"/>
      <c r="G185" s="18"/>
      <c r="H185" s="232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230"/>
      <c r="D186" s="18"/>
      <c r="E186" s="18"/>
      <c r="F186" s="231"/>
      <c r="G186" s="18"/>
      <c r="H186" s="232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230"/>
      <c r="D187" s="18"/>
      <c r="E187" s="18"/>
      <c r="F187" s="231"/>
      <c r="G187" s="18"/>
      <c r="H187" s="232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230"/>
      <c r="D188" s="18"/>
      <c r="E188" s="18"/>
      <c r="F188" s="231"/>
      <c r="G188" s="18"/>
      <c r="H188" s="232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230"/>
      <c r="D189" s="18"/>
      <c r="E189" s="18"/>
      <c r="F189" s="231"/>
      <c r="G189" s="18"/>
      <c r="H189" s="232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230"/>
      <c r="D190" s="18"/>
      <c r="E190" s="18"/>
      <c r="F190" s="231"/>
      <c r="G190" s="18"/>
      <c r="H190" s="232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230"/>
      <c r="D191" s="18"/>
      <c r="E191" s="18"/>
      <c r="F191" s="231"/>
      <c r="G191" s="18"/>
      <c r="H191" s="232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230"/>
      <c r="D192" s="18"/>
      <c r="E192" s="18"/>
      <c r="F192" s="231"/>
      <c r="G192" s="18"/>
      <c r="H192" s="232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230"/>
      <c r="D193" s="18"/>
      <c r="E193" s="18"/>
      <c r="F193" s="231"/>
      <c r="G193" s="18"/>
      <c r="H193" s="232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230"/>
      <c r="D194" s="18"/>
      <c r="E194" s="18"/>
      <c r="F194" s="231"/>
      <c r="G194" s="18"/>
      <c r="H194" s="232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230"/>
      <c r="D195" s="18"/>
      <c r="E195" s="18"/>
      <c r="F195" s="231"/>
      <c r="G195" s="18"/>
      <c r="H195" s="232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230"/>
      <c r="D196" s="18"/>
      <c r="E196" s="18"/>
      <c r="F196" s="231"/>
      <c r="G196" s="18"/>
      <c r="H196" s="232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230"/>
      <c r="D197" s="18"/>
      <c r="E197" s="18"/>
      <c r="F197" s="231"/>
      <c r="G197" s="18"/>
      <c r="H197" s="232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230"/>
      <c r="D198" s="18"/>
      <c r="E198" s="18"/>
      <c r="F198" s="231"/>
      <c r="G198" s="18"/>
      <c r="H198" s="232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230"/>
      <c r="D199" s="18"/>
      <c r="E199" s="18"/>
      <c r="F199" s="231"/>
      <c r="G199" s="18"/>
      <c r="H199" s="232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230"/>
      <c r="D200" s="18"/>
      <c r="E200" s="18"/>
      <c r="F200" s="231"/>
      <c r="G200" s="18"/>
      <c r="H200" s="232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230"/>
      <c r="D201" s="18"/>
      <c r="E201" s="18"/>
      <c r="F201" s="231"/>
      <c r="G201" s="18"/>
      <c r="H201" s="232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230"/>
      <c r="D202" s="18"/>
      <c r="E202" s="18"/>
      <c r="F202" s="231"/>
      <c r="G202" s="18"/>
      <c r="H202" s="232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230"/>
      <c r="D203" s="18"/>
      <c r="E203" s="18"/>
      <c r="F203" s="231"/>
      <c r="G203" s="18"/>
      <c r="H203" s="232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230"/>
      <c r="D204" s="18"/>
      <c r="E204" s="18"/>
      <c r="F204" s="231"/>
      <c r="G204" s="18"/>
      <c r="H204" s="232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230"/>
      <c r="D205" s="18"/>
      <c r="E205" s="18"/>
      <c r="F205" s="231"/>
      <c r="G205" s="18"/>
      <c r="H205" s="232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230"/>
      <c r="D206" s="18"/>
      <c r="E206" s="18"/>
      <c r="F206" s="231"/>
      <c r="G206" s="18"/>
      <c r="H206" s="232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230"/>
      <c r="D207" s="18"/>
      <c r="E207" s="18"/>
      <c r="F207" s="231"/>
      <c r="G207" s="18"/>
      <c r="H207" s="232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230"/>
      <c r="D208" s="18"/>
      <c r="E208" s="18"/>
      <c r="F208" s="231"/>
      <c r="G208" s="18"/>
      <c r="H208" s="232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230"/>
      <c r="D209" s="18"/>
      <c r="E209" s="18"/>
      <c r="F209" s="231"/>
      <c r="G209" s="18"/>
      <c r="H209" s="232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230"/>
      <c r="D210" s="18"/>
      <c r="E210" s="18"/>
      <c r="F210" s="231"/>
      <c r="G210" s="18"/>
      <c r="H210" s="232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230"/>
      <c r="D211" s="18"/>
      <c r="E211" s="18"/>
      <c r="F211" s="231"/>
      <c r="G211" s="18"/>
      <c r="H211" s="232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230"/>
      <c r="D212" s="18"/>
      <c r="E212" s="18"/>
      <c r="F212" s="231"/>
      <c r="G212" s="18"/>
      <c r="H212" s="232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230"/>
      <c r="D213" s="18"/>
      <c r="E213" s="18"/>
      <c r="F213" s="231"/>
      <c r="G213" s="18"/>
      <c r="H213" s="232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230"/>
      <c r="D214" s="18"/>
      <c r="E214" s="18"/>
      <c r="F214" s="231"/>
      <c r="G214" s="18"/>
      <c r="H214" s="232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230"/>
      <c r="D215" s="18"/>
      <c r="E215" s="18"/>
      <c r="F215" s="231"/>
      <c r="G215" s="18"/>
      <c r="H215" s="232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230"/>
      <c r="D216" s="18"/>
      <c r="E216" s="18"/>
      <c r="F216" s="231"/>
      <c r="G216" s="18"/>
      <c r="H216" s="232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230"/>
      <c r="D217" s="18"/>
      <c r="E217" s="18"/>
      <c r="F217" s="231"/>
      <c r="G217" s="18"/>
      <c r="H217" s="232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230"/>
      <c r="D218" s="18"/>
      <c r="E218" s="18"/>
      <c r="F218" s="231"/>
      <c r="G218" s="18"/>
      <c r="H218" s="232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230"/>
      <c r="D219" s="18"/>
      <c r="E219" s="18"/>
      <c r="F219" s="231"/>
      <c r="G219" s="18"/>
      <c r="H219" s="232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230"/>
      <c r="D220" s="18"/>
      <c r="E220" s="18"/>
      <c r="F220" s="231"/>
      <c r="G220" s="18"/>
      <c r="H220" s="232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230"/>
      <c r="D221" s="18"/>
      <c r="E221" s="18"/>
      <c r="F221" s="231"/>
      <c r="G221" s="18"/>
      <c r="H221" s="232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230"/>
      <c r="D222" s="18"/>
      <c r="E222" s="18"/>
      <c r="F222" s="231"/>
      <c r="G222" s="18"/>
      <c r="H222" s="232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230"/>
      <c r="D223" s="18"/>
      <c r="E223" s="18"/>
      <c r="F223" s="231"/>
      <c r="G223" s="18"/>
      <c r="H223" s="232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230"/>
      <c r="D224" s="18"/>
      <c r="E224" s="18"/>
      <c r="F224" s="231"/>
      <c r="G224" s="18"/>
      <c r="H224" s="232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230"/>
      <c r="D225" s="18"/>
      <c r="E225" s="18"/>
      <c r="F225" s="231"/>
      <c r="G225" s="18"/>
      <c r="H225" s="232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230"/>
      <c r="D226" s="18"/>
      <c r="E226" s="18"/>
      <c r="F226" s="231"/>
      <c r="G226" s="18"/>
      <c r="H226" s="232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230"/>
      <c r="D227" s="18"/>
      <c r="E227" s="18"/>
      <c r="F227" s="231"/>
      <c r="G227" s="18"/>
      <c r="H227" s="232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230"/>
      <c r="D228" s="18"/>
      <c r="E228" s="18"/>
      <c r="F228" s="231"/>
      <c r="G228" s="18"/>
      <c r="H228" s="232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230"/>
      <c r="D229" s="18"/>
      <c r="E229" s="18"/>
      <c r="F229" s="231"/>
      <c r="G229" s="18"/>
      <c r="H229" s="232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230"/>
      <c r="D230" s="18"/>
      <c r="E230" s="18"/>
      <c r="F230" s="231"/>
      <c r="G230" s="18"/>
      <c r="H230" s="232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230"/>
      <c r="D231" s="18"/>
      <c r="E231" s="18"/>
      <c r="F231" s="231"/>
      <c r="G231" s="18"/>
      <c r="H231" s="232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230"/>
      <c r="D232" s="18"/>
      <c r="E232" s="18"/>
      <c r="F232" s="231"/>
      <c r="G232" s="18"/>
      <c r="H232" s="232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230"/>
      <c r="D233" s="18"/>
      <c r="E233" s="18"/>
      <c r="F233" s="231"/>
      <c r="G233" s="18"/>
      <c r="H233" s="232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230"/>
      <c r="D234" s="18"/>
      <c r="E234" s="18"/>
      <c r="F234" s="231"/>
      <c r="G234" s="18"/>
      <c r="H234" s="232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230"/>
      <c r="D235" s="18"/>
      <c r="E235" s="18"/>
      <c r="F235" s="231"/>
      <c r="G235" s="18"/>
      <c r="H235" s="232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230"/>
      <c r="D236" s="18"/>
      <c r="E236" s="18"/>
      <c r="F236" s="231"/>
      <c r="G236" s="18"/>
      <c r="H236" s="232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230"/>
      <c r="D237" s="18"/>
      <c r="E237" s="18"/>
      <c r="F237" s="231"/>
      <c r="G237" s="18"/>
      <c r="H237" s="232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230"/>
      <c r="D238" s="18"/>
      <c r="E238" s="18"/>
      <c r="F238" s="231"/>
      <c r="G238" s="18"/>
      <c r="H238" s="232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230"/>
      <c r="D239" s="18"/>
      <c r="E239" s="18"/>
      <c r="F239" s="231"/>
      <c r="G239" s="18"/>
      <c r="H239" s="232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230"/>
      <c r="D240" s="18"/>
      <c r="E240" s="18"/>
      <c r="F240" s="231"/>
      <c r="G240" s="18"/>
      <c r="H240" s="232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230"/>
      <c r="D241" s="18"/>
      <c r="E241" s="18"/>
      <c r="F241" s="231"/>
      <c r="G241" s="18"/>
      <c r="H241" s="232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230"/>
      <c r="D242" s="18"/>
      <c r="E242" s="18"/>
      <c r="F242" s="231"/>
      <c r="G242" s="18"/>
      <c r="H242" s="232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230"/>
      <c r="D243" s="18"/>
      <c r="E243" s="18"/>
      <c r="F243" s="231"/>
      <c r="G243" s="18"/>
      <c r="H243" s="232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230"/>
      <c r="D244" s="18"/>
      <c r="E244" s="18"/>
      <c r="F244" s="231"/>
      <c r="G244" s="18"/>
      <c r="H244" s="232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230"/>
      <c r="D245" s="18"/>
      <c r="E245" s="18"/>
      <c r="F245" s="231"/>
      <c r="G245" s="18"/>
      <c r="H245" s="232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230"/>
      <c r="D246" s="18"/>
      <c r="E246" s="18"/>
      <c r="F246" s="231"/>
      <c r="G246" s="18"/>
      <c r="H246" s="232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230"/>
      <c r="D247" s="18"/>
      <c r="E247" s="18"/>
      <c r="F247" s="231"/>
      <c r="G247" s="18"/>
      <c r="H247" s="232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230"/>
      <c r="D248" s="18"/>
      <c r="E248" s="18"/>
      <c r="F248" s="231"/>
      <c r="G248" s="18"/>
      <c r="H248" s="232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230"/>
      <c r="D249" s="18"/>
      <c r="E249" s="18"/>
      <c r="F249" s="231"/>
      <c r="G249" s="18"/>
      <c r="H249" s="232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230"/>
      <c r="D250" s="18"/>
      <c r="E250" s="18"/>
      <c r="F250" s="231"/>
      <c r="G250" s="18"/>
      <c r="H250" s="232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230"/>
      <c r="D251" s="18"/>
      <c r="E251" s="18"/>
      <c r="F251" s="231"/>
      <c r="G251" s="18"/>
      <c r="H251" s="232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230"/>
      <c r="D252" s="18"/>
      <c r="E252" s="18"/>
      <c r="F252" s="231"/>
      <c r="G252" s="18"/>
      <c r="H252" s="232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230"/>
      <c r="D253" s="18"/>
      <c r="E253" s="18"/>
      <c r="F253" s="231"/>
      <c r="G253" s="18"/>
      <c r="H253" s="232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230"/>
      <c r="D254" s="18"/>
      <c r="E254" s="18"/>
      <c r="F254" s="231"/>
      <c r="G254" s="18"/>
      <c r="H254" s="232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230"/>
      <c r="D255" s="18"/>
      <c r="E255" s="18"/>
      <c r="F255" s="231"/>
      <c r="G255" s="18"/>
      <c r="H255" s="232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230"/>
      <c r="D256" s="18"/>
      <c r="E256" s="18"/>
      <c r="F256" s="231"/>
      <c r="G256" s="18"/>
      <c r="H256" s="232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230"/>
      <c r="D257" s="18"/>
      <c r="E257" s="18"/>
      <c r="F257" s="231"/>
      <c r="G257" s="18"/>
      <c r="H257" s="232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230"/>
      <c r="D258" s="18"/>
      <c r="E258" s="18"/>
      <c r="F258" s="231"/>
      <c r="G258" s="18"/>
      <c r="H258" s="232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230"/>
      <c r="D259" s="18"/>
      <c r="E259" s="18"/>
      <c r="F259" s="231"/>
      <c r="G259" s="18"/>
      <c r="H259" s="232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230"/>
      <c r="D260" s="18"/>
      <c r="E260" s="18"/>
      <c r="F260" s="231"/>
      <c r="G260" s="18"/>
      <c r="H260" s="232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230"/>
      <c r="D261" s="18"/>
      <c r="E261" s="18"/>
      <c r="F261" s="231"/>
      <c r="G261" s="18"/>
      <c r="H261" s="232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230"/>
      <c r="D262" s="18"/>
      <c r="E262" s="18"/>
      <c r="F262" s="231"/>
      <c r="G262" s="18"/>
      <c r="H262" s="232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230"/>
      <c r="D263" s="18"/>
      <c r="E263" s="18"/>
      <c r="F263" s="231"/>
      <c r="G263" s="18"/>
      <c r="H263" s="232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230"/>
      <c r="D264" s="18"/>
      <c r="E264" s="18"/>
      <c r="F264" s="231"/>
      <c r="G264" s="18"/>
      <c r="H264" s="232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230"/>
      <c r="D265" s="18"/>
      <c r="E265" s="18"/>
      <c r="F265" s="231"/>
      <c r="G265" s="18"/>
      <c r="H265" s="232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230"/>
      <c r="D266" s="18"/>
      <c r="E266" s="18"/>
      <c r="F266" s="231"/>
      <c r="G266" s="18"/>
      <c r="H266" s="232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230"/>
      <c r="D267" s="18"/>
      <c r="E267" s="18"/>
      <c r="F267" s="231"/>
      <c r="G267" s="18"/>
      <c r="H267" s="232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230"/>
      <c r="D268" s="18"/>
      <c r="E268" s="18"/>
      <c r="F268" s="231"/>
      <c r="G268" s="18"/>
      <c r="H268" s="232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230"/>
      <c r="D269" s="18"/>
      <c r="E269" s="18"/>
      <c r="F269" s="231"/>
      <c r="G269" s="18"/>
      <c r="H269" s="232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230"/>
      <c r="D270" s="18"/>
      <c r="E270" s="18"/>
      <c r="F270" s="231"/>
      <c r="G270" s="18"/>
      <c r="H270" s="232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230"/>
      <c r="D271" s="18"/>
      <c r="E271" s="18"/>
      <c r="F271" s="231"/>
      <c r="G271" s="18"/>
      <c r="H271" s="232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230"/>
      <c r="D272" s="18"/>
      <c r="E272" s="18"/>
      <c r="F272" s="231"/>
      <c r="G272" s="18"/>
      <c r="H272" s="232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230"/>
      <c r="D273" s="18"/>
      <c r="E273" s="18"/>
      <c r="F273" s="231"/>
      <c r="G273" s="18"/>
      <c r="H273" s="232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230"/>
      <c r="D274" s="18"/>
      <c r="E274" s="18"/>
      <c r="F274" s="231"/>
      <c r="G274" s="18"/>
      <c r="H274" s="232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230"/>
      <c r="D275" s="18"/>
      <c r="E275" s="18"/>
      <c r="F275" s="231"/>
      <c r="G275" s="18"/>
      <c r="H275" s="232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230"/>
      <c r="D276" s="18"/>
      <c r="E276" s="18"/>
      <c r="F276" s="231"/>
      <c r="G276" s="18"/>
      <c r="H276" s="232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230"/>
      <c r="D277" s="18"/>
      <c r="E277" s="18"/>
      <c r="F277" s="231"/>
      <c r="G277" s="18"/>
      <c r="H277" s="232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230"/>
      <c r="D278" s="18"/>
      <c r="E278" s="18"/>
      <c r="F278" s="231"/>
      <c r="G278" s="18"/>
      <c r="H278" s="232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230"/>
      <c r="D279" s="18"/>
      <c r="E279" s="18"/>
      <c r="F279" s="231"/>
      <c r="G279" s="18"/>
      <c r="H279" s="232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230"/>
      <c r="D280" s="18"/>
      <c r="E280" s="18"/>
      <c r="F280" s="231"/>
      <c r="G280" s="18"/>
      <c r="H280" s="232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230"/>
      <c r="D281" s="18"/>
      <c r="E281" s="18"/>
      <c r="F281" s="231"/>
      <c r="G281" s="18"/>
      <c r="H281" s="232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230"/>
      <c r="D282" s="18"/>
      <c r="E282" s="18"/>
      <c r="F282" s="231"/>
      <c r="G282" s="18"/>
      <c r="H282" s="232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230"/>
      <c r="D283" s="18"/>
      <c r="E283" s="18"/>
      <c r="F283" s="231"/>
      <c r="G283" s="18"/>
      <c r="H283" s="232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230"/>
      <c r="D284" s="18"/>
      <c r="E284" s="18"/>
      <c r="F284" s="231"/>
      <c r="G284" s="18"/>
      <c r="H284" s="232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230"/>
      <c r="D285" s="18"/>
      <c r="E285" s="18"/>
      <c r="F285" s="231"/>
      <c r="G285" s="18"/>
      <c r="H285" s="232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230"/>
      <c r="D286" s="18"/>
      <c r="E286" s="18"/>
      <c r="F286" s="231"/>
      <c r="G286" s="18"/>
      <c r="H286" s="232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230"/>
      <c r="D287" s="18"/>
      <c r="E287" s="18"/>
      <c r="F287" s="231"/>
      <c r="G287" s="18"/>
      <c r="H287" s="232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230"/>
      <c r="D288" s="18"/>
      <c r="E288" s="18"/>
      <c r="F288" s="231"/>
      <c r="G288" s="18"/>
      <c r="H288" s="232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230"/>
      <c r="D289" s="18"/>
      <c r="E289" s="18"/>
      <c r="F289" s="231"/>
      <c r="G289" s="18"/>
      <c r="H289" s="232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230"/>
      <c r="D290" s="18"/>
      <c r="E290" s="18"/>
      <c r="F290" s="231"/>
      <c r="G290" s="18"/>
      <c r="H290" s="232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230"/>
      <c r="D291" s="18"/>
      <c r="E291" s="18"/>
      <c r="F291" s="231"/>
      <c r="G291" s="18"/>
      <c r="H291" s="232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230"/>
      <c r="D292" s="18"/>
      <c r="E292" s="18"/>
      <c r="F292" s="231"/>
      <c r="G292" s="18"/>
      <c r="H292" s="232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230"/>
      <c r="D293" s="18"/>
      <c r="E293" s="18"/>
      <c r="F293" s="231"/>
      <c r="G293" s="18"/>
      <c r="H293" s="232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230"/>
      <c r="D294" s="18"/>
      <c r="E294" s="18"/>
      <c r="F294" s="231"/>
      <c r="G294" s="18"/>
      <c r="H294" s="232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230"/>
      <c r="D295" s="18"/>
      <c r="E295" s="18"/>
      <c r="F295" s="231"/>
      <c r="G295" s="18"/>
      <c r="H295" s="232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230"/>
      <c r="D296" s="18"/>
      <c r="E296" s="18"/>
      <c r="F296" s="231"/>
      <c r="G296" s="18"/>
      <c r="H296" s="232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230"/>
      <c r="D297" s="18"/>
      <c r="E297" s="18"/>
      <c r="F297" s="231"/>
      <c r="G297" s="18"/>
      <c r="H297" s="232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230"/>
      <c r="D298" s="18"/>
      <c r="E298" s="18"/>
      <c r="F298" s="231"/>
      <c r="G298" s="18"/>
      <c r="H298" s="232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230"/>
      <c r="D299" s="18"/>
      <c r="E299" s="18"/>
      <c r="F299" s="231"/>
      <c r="G299" s="18"/>
      <c r="H299" s="232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230"/>
      <c r="D300" s="18"/>
      <c r="E300" s="18"/>
      <c r="F300" s="231"/>
      <c r="G300" s="18"/>
      <c r="H300" s="232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230"/>
      <c r="D301" s="18"/>
      <c r="E301" s="18"/>
      <c r="F301" s="231"/>
      <c r="G301" s="18"/>
      <c r="H301" s="232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230"/>
      <c r="D302" s="18"/>
      <c r="E302" s="18"/>
      <c r="F302" s="231"/>
      <c r="G302" s="18"/>
      <c r="H302" s="232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230"/>
      <c r="D303" s="18"/>
      <c r="E303" s="18"/>
      <c r="F303" s="231"/>
      <c r="G303" s="18"/>
      <c r="H303" s="232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230"/>
      <c r="D304" s="18"/>
      <c r="E304" s="18"/>
      <c r="F304" s="231"/>
      <c r="G304" s="18"/>
      <c r="H304" s="232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230"/>
      <c r="D305" s="18"/>
      <c r="E305" s="18"/>
      <c r="F305" s="231"/>
      <c r="G305" s="18"/>
      <c r="H305" s="232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230"/>
      <c r="D306" s="18"/>
      <c r="E306" s="18"/>
      <c r="F306" s="231"/>
      <c r="G306" s="18"/>
      <c r="H306" s="232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230"/>
      <c r="D307" s="18"/>
      <c r="E307" s="18"/>
      <c r="F307" s="231"/>
      <c r="G307" s="18"/>
      <c r="H307" s="232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230"/>
      <c r="D308" s="18"/>
      <c r="E308" s="18"/>
      <c r="F308" s="231"/>
      <c r="G308" s="18"/>
      <c r="H308" s="232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230"/>
      <c r="D309" s="18"/>
      <c r="E309" s="18"/>
      <c r="F309" s="231"/>
      <c r="G309" s="18"/>
      <c r="H309" s="232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230"/>
      <c r="D310" s="18"/>
      <c r="E310" s="18"/>
      <c r="F310" s="231"/>
      <c r="G310" s="18"/>
      <c r="H310" s="232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230"/>
      <c r="D311" s="18"/>
      <c r="E311" s="18"/>
      <c r="F311" s="231"/>
      <c r="G311" s="18"/>
      <c r="H311" s="232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230"/>
      <c r="D312" s="18"/>
      <c r="E312" s="18"/>
      <c r="F312" s="231"/>
      <c r="G312" s="18"/>
      <c r="H312" s="232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230"/>
      <c r="D313" s="18"/>
      <c r="E313" s="18"/>
      <c r="F313" s="231"/>
      <c r="G313" s="18"/>
      <c r="H313" s="232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230"/>
      <c r="D314" s="18"/>
      <c r="E314" s="18"/>
      <c r="F314" s="231"/>
      <c r="G314" s="18"/>
      <c r="H314" s="232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230"/>
      <c r="D315" s="18"/>
      <c r="E315" s="18"/>
      <c r="F315" s="231"/>
      <c r="G315" s="18"/>
      <c r="H315" s="232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230"/>
      <c r="D316" s="18"/>
      <c r="E316" s="18"/>
      <c r="F316" s="231"/>
      <c r="G316" s="18"/>
      <c r="H316" s="232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230"/>
      <c r="D317" s="18"/>
      <c r="E317" s="18"/>
      <c r="F317" s="231"/>
      <c r="G317" s="18"/>
      <c r="H317" s="232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230"/>
      <c r="D318" s="18"/>
      <c r="E318" s="18"/>
      <c r="F318" s="231"/>
      <c r="G318" s="18"/>
      <c r="H318" s="232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230"/>
      <c r="D319" s="18"/>
      <c r="E319" s="18"/>
      <c r="F319" s="231"/>
      <c r="G319" s="18"/>
      <c r="H319" s="232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230"/>
      <c r="D320" s="18"/>
      <c r="E320" s="18"/>
      <c r="F320" s="231"/>
      <c r="G320" s="18"/>
      <c r="H320" s="232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230"/>
      <c r="D321" s="18"/>
      <c r="E321" s="18"/>
      <c r="F321" s="231"/>
      <c r="G321" s="18"/>
      <c r="H321" s="232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230"/>
      <c r="D322" s="18"/>
      <c r="E322" s="18"/>
      <c r="F322" s="231"/>
      <c r="G322" s="18"/>
      <c r="H322" s="232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230"/>
      <c r="D323" s="18"/>
      <c r="E323" s="18"/>
      <c r="F323" s="231"/>
      <c r="G323" s="18"/>
      <c r="H323" s="232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230"/>
      <c r="D324" s="18"/>
      <c r="E324" s="18"/>
      <c r="F324" s="231"/>
      <c r="G324" s="18"/>
      <c r="H324" s="232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230"/>
      <c r="D325" s="18"/>
      <c r="E325" s="18"/>
      <c r="F325" s="231"/>
      <c r="G325" s="18"/>
      <c r="H325" s="232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230"/>
      <c r="D326" s="18"/>
      <c r="E326" s="18"/>
      <c r="F326" s="231"/>
      <c r="G326" s="18"/>
      <c r="H326" s="232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230"/>
      <c r="D327" s="18"/>
      <c r="E327" s="18"/>
      <c r="F327" s="231"/>
      <c r="G327" s="18"/>
      <c r="H327" s="232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230"/>
      <c r="D328" s="18"/>
      <c r="E328" s="18"/>
      <c r="F328" s="231"/>
      <c r="G328" s="18"/>
      <c r="H328" s="232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230"/>
      <c r="D329" s="18"/>
      <c r="E329" s="18"/>
      <c r="F329" s="231"/>
      <c r="G329" s="18"/>
      <c r="H329" s="232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230"/>
      <c r="D330" s="18"/>
      <c r="E330" s="18"/>
      <c r="F330" s="231"/>
      <c r="G330" s="18"/>
      <c r="H330" s="232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230"/>
      <c r="D331" s="18"/>
      <c r="E331" s="18"/>
      <c r="F331" s="231"/>
      <c r="G331" s="18"/>
      <c r="H331" s="232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230"/>
      <c r="D332" s="18"/>
      <c r="E332" s="18"/>
      <c r="F332" s="231"/>
      <c r="G332" s="18"/>
      <c r="H332" s="232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230"/>
      <c r="D333" s="18"/>
      <c r="E333" s="18"/>
      <c r="F333" s="231"/>
      <c r="G333" s="18"/>
      <c r="H333" s="232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230"/>
      <c r="D334" s="18"/>
      <c r="E334" s="18"/>
      <c r="F334" s="231"/>
      <c r="G334" s="18"/>
      <c r="H334" s="232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230"/>
      <c r="D335" s="18"/>
      <c r="E335" s="18"/>
      <c r="F335" s="231"/>
      <c r="G335" s="18"/>
      <c r="H335" s="232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230"/>
      <c r="D336" s="18"/>
      <c r="E336" s="18"/>
      <c r="F336" s="231"/>
      <c r="G336" s="18"/>
      <c r="H336" s="232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230"/>
      <c r="D337" s="18"/>
      <c r="E337" s="18"/>
      <c r="F337" s="231"/>
      <c r="G337" s="18"/>
      <c r="H337" s="232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230"/>
      <c r="D338" s="18"/>
      <c r="E338" s="18"/>
      <c r="F338" s="231"/>
      <c r="G338" s="18"/>
      <c r="H338" s="232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230"/>
      <c r="D339" s="18"/>
      <c r="E339" s="18"/>
      <c r="F339" s="231"/>
      <c r="G339" s="18"/>
      <c r="H339" s="232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230"/>
      <c r="D340" s="18"/>
      <c r="E340" s="18"/>
      <c r="F340" s="231"/>
      <c r="G340" s="18"/>
      <c r="H340" s="232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230"/>
      <c r="D341" s="18"/>
      <c r="E341" s="18"/>
      <c r="F341" s="231"/>
      <c r="G341" s="18"/>
      <c r="H341" s="232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230"/>
      <c r="D342" s="18"/>
      <c r="E342" s="18"/>
      <c r="F342" s="231"/>
      <c r="G342" s="18"/>
      <c r="H342" s="232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230"/>
      <c r="D343" s="18"/>
      <c r="E343" s="18"/>
      <c r="F343" s="231"/>
      <c r="G343" s="18"/>
      <c r="H343" s="232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230"/>
      <c r="D344" s="18"/>
      <c r="E344" s="18"/>
      <c r="F344" s="231"/>
      <c r="G344" s="18"/>
      <c r="H344" s="232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230"/>
      <c r="D345" s="18"/>
      <c r="E345" s="18"/>
      <c r="F345" s="231"/>
      <c r="G345" s="18"/>
      <c r="H345" s="232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230"/>
      <c r="D346" s="18"/>
      <c r="E346" s="18"/>
      <c r="F346" s="231"/>
      <c r="G346" s="18"/>
      <c r="H346" s="232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230"/>
      <c r="D347" s="18"/>
      <c r="E347" s="18"/>
      <c r="F347" s="231"/>
      <c r="G347" s="18"/>
      <c r="H347" s="232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230"/>
      <c r="D348" s="18"/>
      <c r="E348" s="18"/>
      <c r="F348" s="231"/>
      <c r="G348" s="18"/>
      <c r="H348" s="232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230"/>
      <c r="D349" s="18"/>
      <c r="E349" s="18"/>
      <c r="F349" s="231"/>
      <c r="G349" s="18"/>
      <c r="H349" s="232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230"/>
      <c r="D350" s="18"/>
      <c r="E350" s="18"/>
      <c r="F350" s="231"/>
      <c r="G350" s="18"/>
      <c r="H350" s="232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230"/>
      <c r="D351" s="18"/>
      <c r="E351" s="18"/>
      <c r="F351" s="231"/>
      <c r="G351" s="18"/>
      <c r="H351" s="232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230"/>
      <c r="D352" s="18"/>
      <c r="E352" s="18"/>
      <c r="F352" s="231"/>
      <c r="G352" s="18"/>
      <c r="H352" s="232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230"/>
      <c r="D353" s="18"/>
      <c r="E353" s="18"/>
      <c r="F353" s="231"/>
      <c r="G353" s="18"/>
      <c r="H353" s="232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230"/>
      <c r="D354" s="18"/>
      <c r="E354" s="18"/>
      <c r="F354" s="231"/>
      <c r="G354" s="18"/>
      <c r="H354" s="232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230"/>
      <c r="D355" s="18"/>
      <c r="E355" s="18"/>
      <c r="F355" s="231"/>
      <c r="G355" s="18"/>
      <c r="H355" s="232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230"/>
      <c r="D356" s="18"/>
      <c r="E356" s="18"/>
      <c r="F356" s="231"/>
      <c r="G356" s="18"/>
      <c r="H356" s="232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230"/>
      <c r="D357" s="18"/>
      <c r="E357" s="18"/>
      <c r="F357" s="231"/>
      <c r="G357" s="18"/>
      <c r="H357" s="232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230"/>
      <c r="D358" s="18"/>
      <c r="E358" s="18"/>
      <c r="F358" s="231"/>
      <c r="G358" s="18"/>
      <c r="H358" s="232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230"/>
      <c r="D359" s="18"/>
      <c r="E359" s="18"/>
      <c r="F359" s="231"/>
      <c r="G359" s="18"/>
      <c r="H359" s="232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230"/>
      <c r="D360" s="18"/>
      <c r="E360" s="18"/>
      <c r="F360" s="231"/>
      <c r="G360" s="18"/>
      <c r="H360" s="232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230"/>
      <c r="D361" s="18"/>
      <c r="E361" s="18"/>
      <c r="F361" s="231"/>
      <c r="G361" s="18"/>
      <c r="H361" s="232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230"/>
      <c r="D362" s="18"/>
      <c r="E362" s="18"/>
      <c r="F362" s="231"/>
      <c r="G362" s="18"/>
      <c r="H362" s="232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230"/>
      <c r="D363" s="18"/>
      <c r="E363" s="18"/>
      <c r="F363" s="231"/>
      <c r="G363" s="18"/>
      <c r="H363" s="232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230"/>
      <c r="D364" s="18"/>
      <c r="E364" s="18"/>
      <c r="F364" s="231"/>
      <c r="G364" s="18"/>
      <c r="H364" s="232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230"/>
      <c r="D365" s="18"/>
      <c r="E365" s="18"/>
      <c r="F365" s="231"/>
      <c r="G365" s="18"/>
      <c r="H365" s="232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230"/>
      <c r="D366" s="18"/>
      <c r="E366" s="18"/>
      <c r="F366" s="231"/>
      <c r="G366" s="18"/>
      <c r="H366" s="232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230"/>
      <c r="D367" s="18"/>
      <c r="E367" s="18"/>
      <c r="F367" s="231"/>
      <c r="G367" s="18"/>
      <c r="H367" s="232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230"/>
      <c r="D368" s="18"/>
      <c r="E368" s="18"/>
      <c r="F368" s="231"/>
      <c r="G368" s="18"/>
      <c r="H368" s="232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230"/>
      <c r="D369" s="18"/>
      <c r="E369" s="18"/>
      <c r="F369" s="231"/>
      <c r="G369" s="18"/>
      <c r="H369" s="232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230"/>
      <c r="D370" s="18"/>
      <c r="E370" s="18"/>
      <c r="F370" s="231"/>
      <c r="G370" s="18"/>
      <c r="H370" s="232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230"/>
      <c r="D371" s="18"/>
      <c r="E371" s="18"/>
      <c r="F371" s="231"/>
      <c r="G371" s="18"/>
      <c r="H371" s="232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230"/>
      <c r="D372" s="18"/>
      <c r="E372" s="18"/>
      <c r="F372" s="231"/>
      <c r="G372" s="18"/>
      <c r="H372" s="232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230"/>
      <c r="D373" s="18"/>
      <c r="E373" s="18"/>
      <c r="F373" s="231"/>
      <c r="G373" s="18"/>
      <c r="H373" s="232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230"/>
      <c r="D374" s="18"/>
      <c r="E374" s="18"/>
      <c r="F374" s="231"/>
      <c r="G374" s="18"/>
      <c r="H374" s="232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230"/>
      <c r="D375" s="18"/>
      <c r="E375" s="18"/>
      <c r="F375" s="231"/>
      <c r="G375" s="18"/>
      <c r="H375" s="232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230"/>
      <c r="D376" s="18"/>
      <c r="E376" s="18"/>
      <c r="F376" s="231"/>
      <c r="G376" s="18"/>
      <c r="H376" s="232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230"/>
      <c r="D377" s="18"/>
      <c r="E377" s="18"/>
      <c r="F377" s="231"/>
      <c r="G377" s="18"/>
      <c r="H377" s="232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230"/>
      <c r="D378" s="18"/>
      <c r="E378" s="18"/>
      <c r="F378" s="231"/>
      <c r="G378" s="18"/>
      <c r="H378" s="232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230"/>
      <c r="D379" s="18"/>
      <c r="E379" s="18"/>
      <c r="F379" s="231"/>
      <c r="G379" s="18"/>
      <c r="H379" s="232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230"/>
      <c r="D380" s="18"/>
      <c r="E380" s="18"/>
      <c r="F380" s="231"/>
      <c r="G380" s="18"/>
      <c r="H380" s="232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230"/>
      <c r="D381" s="18"/>
      <c r="E381" s="18"/>
      <c r="F381" s="231"/>
      <c r="G381" s="18"/>
      <c r="H381" s="232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230"/>
      <c r="D382" s="18"/>
      <c r="E382" s="18"/>
      <c r="F382" s="231"/>
      <c r="G382" s="18"/>
      <c r="H382" s="232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230"/>
      <c r="D383" s="18"/>
      <c r="E383" s="18"/>
      <c r="F383" s="231"/>
      <c r="G383" s="18"/>
      <c r="H383" s="232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230"/>
      <c r="D384" s="18"/>
      <c r="E384" s="18"/>
      <c r="F384" s="231"/>
      <c r="G384" s="18"/>
      <c r="H384" s="232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230"/>
      <c r="D385" s="18"/>
      <c r="E385" s="18"/>
      <c r="F385" s="231"/>
      <c r="G385" s="18"/>
      <c r="H385" s="232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230"/>
      <c r="D386" s="18"/>
      <c r="E386" s="18"/>
      <c r="F386" s="231"/>
      <c r="G386" s="18"/>
      <c r="H386" s="232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230"/>
      <c r="D387" s="18"/>
      <c r="E387" s="18"/>
      <c r="F387" s="231"/>
      <c r="G387" s="18"/>
      <c r="H387" s="232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230"/>
      <c r="D388" s="18"/>
      <c r="E388" s="18"/>
      <c r="F388" s="231"/>
      <c r="G388" s="18"/>
      <c r="H388" s="232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230"/>
      <c r="D389" s="18"/>
      <c r="E389" s="18"/>
      <c r="F389" s="231"/>
      <c r="G389" s="18"/>
      <c r="H389" s="232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230"/>
      <c r="D390" s="18"/>
      <c r="E390" s="18"/>
      <c r="F390" s="231"/>
      <c r="G390" s="18"/>
      <c r="H390" s="232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230"/>
      <c r="D391" s="18"/>
      <c r="E391" s="18"/>
      <c r="F391" s="231"/>
      <c r="G391" s="18"/>
      <c r="H391" s="232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230"/>
      <c r="D392" s="18"/>
      <c r="E392" s="18"/>
      <c r="F392" s="231"/>
      <c r="G392" s="18"/>
      <c r="H392" s="232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230"/>
      <c r="D393" s="18"/>
      <c r="E393" s="18"/>
      <c r="F393" s="231"/>
      <c r="G393" s="18"/>
      <c r="H393" s="232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230"/>
      <c r="D394" s="18"/>
      <c r="E394" s="18"/>
      <c r="F394" s="231"/>
      <c r="G394" s="18"/>
      <c r="H394" s="232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230"/>
      <c r="D395" s="18"/>
      <c r="E395" s="18"/>
      <c r="F395" s="231"/>
      <c r="G395" s="18"/>
      <c r="H395" s="232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230"/>
      <c r="D396" s="18"/>
      <c r="E396" s="18"/>
      <c r="F396" s="231"/>
      <c r="G396" s="18"/>
      <c r="H396" s="232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230"/>
      <c r="D397" s="18"/>
      <c r="E397" s="18"/>
      <c r="F397" s="231"/>
      <c r="G397" s="18"/>
      <c r="H397" s="232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230"/>
      <c r="D398" s="18"/>
      <c r="E398" s="18"/>
      <c r="F398" s="231"/>
      <c r="G398" s="18"/>
      <c r="H398" s="232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230"/>
      <c r="D399" s="18"/>
      <c r="E399" s="18"/>
      <c r="F399" s="231"/>
      <c r="G399" s="18"/>
      <c r="H399" s="232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230"/>
      <c r="D400" s="18"/>
      <c r="E400" s="18"/>
      <c r="F400" s="231"/>
      <c r="G400" s="18"/>
      <c r="H400" s="232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230"/>
      <c r="D401" s="18"/>
      <c r="E401" s="18"/>
      <c r="F401" s="231"/>
      <c r="G401" s="18"/>
      <c r="H401" s="232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230"/>
      <c r="D402" s="18"/>
      <c r="E402" s="18"/>
      <c r="F402" s="231"/>
      <c r="G402" s="18"/>
      <c r="H402" s="232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230"/>
      <c r="D403" s="18"/>
      <c r="E403" s="18"/>
      <c r="F403" s="231"/>
      <c r="G403" s="18"/>
      <c r="H403" s="232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230"/>
      <c r="D404" s="18"/>
      <c r="E404" s="18"/>
      <c r="F404" s="231"/>
      <c r="G404" s="18"/>
      <c r="H404" s="232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230"/>
      <c r="D405" s="18"/>
      <c r="E405" s="18"/>
      <c r="F405" s="231"/>
      <c r="G405" s="18"/>
      <c r="H405" s="232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230"/>
      <c r="D406" s="18"/>
      <c r="E406" s="18"/>
      <c r="F406" s="231"/>
      <c r="G406" s="18"/>
      <c r="H406" s="232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230"/>
      <c r="D407" s="18"/>
      <c r="E407" s="18"/>
      <c r="F407" s="231"/>
      <c r="G407" s="18"/>
      <c r="H407" s="232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230"/>
      <c r="D408" s="18"/>
      <c r="E408" s="18"/>
      <c r="F408" s="231"/>
      <c r="G408" s="18"/>
      <c r="H408" s="232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230"/>
      <c r="D409" s="18"/>
      <c r="E409" s="18"/>
      <c r="F409" s="231"/>
      <c r="G409" s="18"/>
      <c r="H409" s="232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230"/>
      <c r="D410" s="18"/>
      <c r="E410" s="18"/>
      <c r="F410" s="231"/>
      <c r="G410" s="18"/>
      <c r="H410" s="232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230"/>
      <c r="D411" s="18"/>
      <c r="E411" s="18"/>
      <c r="F411" s="231"/>
      <c r="G411" s="18"/>
      <c r="H411" s="232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230"/>
      <c r="D412" s="18"/>
      <c r="E412" s="18"/>
      <c r="F412" s="231"/>
      <c r="G412" s="18"/>
      <c r="H412" s="232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230"/>
      <c r="D413" s="18"/>
      <c r="E413" s="18"/>
      <c r="F413" s="231"/>
      <c r="G413" s="18"/>
      <c r="H413" s="232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230"/>
      <c r="D414" s="18"/>
      <c r="E414" s="18"/>
      <c r="F414" s="231"/>
      <c r="G414" s="18"/>
      <c r="H414" s="232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230"/>
      <c r="D415" s="18"/>
      <c r="E415" s="18"/>
      <c r="F415" s="231"/>
      <c r="G415" s="18"/>
      <c r="H415" s="232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230"/>
      <c r="D416" s="18"/>
      <c r="E416" s="18"/>
      <c r="F416" s="231"/>
      <c r="G416" s="18"/>
      <c r="H416" s="232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230"/>
      <c r="D417" s="18"/>
      <c r="E417" s="18"/>
      <c r="F417" s="231"/>
      <c r="G417" s="18"/>
      <c r="H417" s="232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230"/>
      <c r="D418" s="18"/>
      <c r="E418" s="18"/>
      <c r="F418" s="231"/>
      <c r="G418" s="18"/>
      <c r="H418" s="232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230"/>
      <c r="D419" s="18"/>
      <c r="E419" s="18"/>
      <c r="F419" s="231"/>
      <c r="G419" s="18"/>
      <c r="H419" s="232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230"/>
      <c r="D420" s="18"/>
      <c r="E420" s="18"/>
      <c r="F420" s="231"/>
      <c r="G420" s="18"/>
      <c r="H420" s="232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230"/>
      <c r="D421" s="18"/>
      <c r="E421" s="18"/>
      <c r="F421" s="231"/>
      <c r="G421" s="18"/>
      <c r="H421" s="232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230"/>
      <c r="D422" s="18"/>
      <c r="E422" s="18"/>
      <c r="F422" s="231"/>
      <c r="G422" s="18"/>
      <c r="H422" s="232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230"/>
      <c r="D423" s="18"/>
      <c r="E423" s="18"/>
      <c r="F423" s="231"/>
      <c r="G423" s="18"/>
      <c r="H423" s="232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230"/>
      <c r="D424" s="18"/>
      <c r="E424" s="18"/>
      <c r="F424" s="231"/>
      <c r="G424" s="18"/>
      <c r="H424" s="232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230"/>
      <c r="D425" s="18"/>
      <c r="E425" s="18"/>
      <c r="F425" s="231"/>
      <c r="G425" s="18"/>
      <c r="H425" s="232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230"/>
      <c r="D426" s="18"/>
      <c r="E426" s="18"/>
      <c r="F426" s="231"/>
      <c r="G426" s="18"/>
      <c r="H426" s="232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230"/>
      <c r="D427" s="18"/>
      <c r="E427" s="18"/>
      <c r="F427" s="231"/>
      <c r="G427" s="18"/>
      <c r="H427" s="232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230"/>
      <c r="D428" s="18"/>
      <c r="E428" s="18"/>
      <c r="F428" s="231"/>
      <c r="G428" s="18"/>
      <c r="H428" s="232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230"/>
      <c r="D429" s="18"/>
      <c r="E429" s="18"/>
      <c r="F429" s="231"/>
      <c r="G429" s="18"/>
      <c r="H429" s="232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230"/>
      <c r="D430" s="18"/>
      <c r="E430" s="18"/>
      <c r="F430" s="231"/>
      <c r="G430" s="18"/>
      <c r="H430" s="232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230"/>
      <c r="D431" s="18"/>
      <c r="E431" s="18"/>
      <c r="F431" s="231"/>
      <c r="G431" s="18"/>
      <c r="H431" s="232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230"/>
      <c r="D432" s="18"/>
      <c r="E432" s="18"/>
      <c r="F432" s="231"/>
      <c r="G432" s="18"/>
      <c r="H432" s="232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230"/>
      <c r="D433" s="18"/>
      <c r="E433" s="18"/>
      <c r="F433" s="231"/>
      <c r="G433" s="18"/>
      <c r="H433" s="232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230"/>
      <c r="D434" s="18"/>
      <c r="E434" s="18"/>
      <c r="F434" s="231"/>
      <c r="G434" s="18"/>
      <c r="H434" s="232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230"/>
      <c r="D435" s="18"/>
      <c r="E435" s="18"/>
      <c r="F435" s="231"/>
      <c r="G435" s="18"/>
      <c r="H435" s="232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230"/>
      <c r="D436" s="18"/>
      <c r="E436" s="18"/>
      <c r="F436" s="231"/>
      <c r="G436" s="18"/>
      <c r="H436" s="232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230"/>
      <c r="D437" s="18"/>
      <c r="E437" s="18"/>
      <c r="F437" s="231"/>
      <c r="G437" s="18"/>
      <c r="H437" s="232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230"/>
      <c r="D438" s="18"/>
      <c r="E438" s="18"/>
      <c r="F438" s="231"/>
      <c r="G438" s="18"/>
      <c r="H438" s="232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230"/>
      <c r="D439" s="18"/>
      <c r="E439" s="18"/>
      <c r="F439" s="231"/>
      <c r="G439" s="18"/>
      <c r="H439" s="232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230"/>
      <c r="D440" s="18"/>
      <c r="E440" s="18"/>
      <c r="F440" s="231"/>
      <c r="G440" s="18"/>
      <c r="H440" s="232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230"/>
      <c r="D441" s="18"/>
      <c r="E441" s="18"/>
      <c r="F441" s="231"/>
      <c r="G441" s="18"/>
      <c r="H441" s="232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230"/>
      <c r="D442" s="18"/>
      <c r="E442" s="18"/>
      <c r="F442" s="231"/>
      <c r="G442" s="18"/>
      <c r="H442" s="232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230"/>
      <c r="D443" s="18"/>
      <c r="E443" s="18"/>
      <c r="F443" s="231"/>
      <c r="G443" s="18"/>
      <c r="H443" s="232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230"/>
      <c r="D444" s="18"/>
      <c r="E444" s="18"/>
      <c r="F444" s="231"/>
      <c r="G444" s="18"/>
      <c r="H444" s="232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230"/>
      <c r="D445" s="18"/>
      <c r="E445" s="18"/>
      <c r="F445" s="231"/>
      <c r="G445" s="18"/>
      <c r="H445" s="232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230"/>
      <c r="D446" s="18"/>
      <c r="E446" s="18"/>
      <c r="F446" s="231"/>
      <c r="G446" s="18"/>
      <c r="H446" s="232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230"/>
      <c r="D447" s="18"/>
      <c r="E447" s="18"/>
      <c r="F447" s="231"/>
      <c r="G447" s="18"/>
      <c r="H447" s="232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230"/>
      <c r="D448" s="18"/>
      <c r="E448" s="18"/>
      <c r="F448" s="231"/>
      <c r="G448" s="18"/>
      <c r="H448" s="232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230"/>
      <c r="D449" s="18"/>
      <c r="E449" s="18"/>
      <c r="F449" s="231"/>
      <c r="G449" s="18"/>
      <c r="H449" s="232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230"/>
      <c r="D450" s="18"/>
      <c r="E450" s="18"/>
      <c r="F450" s="231"/>
      <c r="G450" s="18"/>
      <c r="H450" s="232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230"/>
      <c r="D451" s="18"/>
      <c r="E451" s="18"/>
      <c r="F451" s="231"/>
      <c r="G451" s="18"/>
      <c r="H451" s="232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230"/>
      <c r="D452" s="18"/>
      <c r="E452" s="18"/>
      <c r="F452" s="231"/>
      <c r="G452" s="18"/>
      <c r="H452" s="232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230"/>
      <c r="D453" s="18"/>
      <c r="E453" s="18"/>
      <c r="F453" s="231"/>
      <c r="G453" s="18"/>
      <c r="H453" s="232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230"/>
      <c r="D454" s="18"/>
      <c r="E454" s="18"/>
      <c r="F454" s="231"/>
      <c r="G454" s="18"/>
      <c r="H454" s="232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230"/>
      <c r="D455" s="18"/>
      <c r="E455" s="18"/>
      <c r="F455" s="231"/>
      <c r="G455" s="18"/>
      <c r="H455" s="232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230"/>
      <c r="D456" s="18"/>
      <c r="E456" s="18"/>
      <c r="F456" s="231"/>
      <c r="G456" s="18"/>
      <c r="H456" s="232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230"/>
      <c r="D457" s="18"/>
      <c r="E457" s="18"/>
      <c r="F457" s="231"/>
      <c r="G457" s="18"/>
      <c r="H457" s="232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230"/>
      <c r="D458" s="18"/>
      <c r="E458" s="18"/>
      <c r="F458" s="231"/>
      <c r="G458" s="18"/>
      <c r="H458" s="232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230"/>
      <c r="D459" s="18"/>
      <c r="E459" s="18"/>
      <c r="F459" s="231"/>
      <c r="G459" s="18"/>
      <c r="H459" s="232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230"/>
      <c r="D460" s="18"/>
      <c r="E460" s="18"/>
      <c r="F460" s="231"/>
      <c r="G460" s="18"/>
      <c r="H460" s="232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230"/>
      <c r="D461" s="18"/>
      <c r="E461" s="18"/>
      <c r="F461" s="231"/>
      <c r="G461" s="18"/>
      <c r="H461" s="232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230"/>
      <c r="D462" s="18"/>
      <c r="E462" s="18"/>
      <c r="F462" s="231"/>
      <c r="G462" s="18"/>
      <c r="H462" s="232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230"/>
      <c r="D463" s="18"/>
      <c r="E463" s="18"/>
      <c r="F463" s="231"/>
      <c r="G463" s="18"/>
      <c r="H463" s="232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230"/>
      <c r="D464" s="18"/>
      <c r="E464" s="18"/>
      <c r="F464" s="231"/>
      <c r="G464" s="18"/>
      <c r="H464" s="232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230"/>
      <c r="D465" s="18"/>
      <c r="E465" s="18"/>
      <c r="F465" s="231"/>
      <c r="G465" s="18"/>
      <c r="H465" s="232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230"/>
      <c r="D466" s="18"/>
      <c r="E466" s="18"/>
      <c r="F466" s="231"/>
      <c r="G466" s="18"/>
      <c r="H466" s="232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230"/>
      <c r="D467" s="18"/>
      <c r="E467" s="18"/>
      <c r="F467" s="231"/>
      <c r="G467" s="18"/>
      <c r="H467" s="232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230"/>
      <c r="D468" s="18"/>
      <c r="E468" s="18"/>
      <c r="F468" s="231"/>
      <c r="G468" s="18"/>
      <c r="H468" s="232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230"/>
      <c r="D469" s="18"/>
      <c r="E469" s="18"/>
      <c r="F469" s="231"/>
      <c r="G469" s="18"/>
      <c r="H469" s="232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230"/>
      <c r="D470" s="18"/>
      <c r="E470" s="18"/>
      <c r="F470" s="231"/>
      <c r="G470" s="18"/>
      <c r="H470" s="232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230"/>
      <c r="D471" s="18"/>
      <c r="E471" s="18"/>
      <c r="F471" s="231"/>
      <c r="G471" s="18"/>
      <c r="H471" s="232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230"/>
      <c r="D472" s="18"/>
      <c r="E472" s="18"/>
      <c r="F472" s="231"/>
      <c r="G472" s="18"/>
      <c r="H472" s="232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230"/>
      <c r="D473" s="18"/>
      <c r="E473" s="18"/>
      <c r="F473" s="231"/>
      <c r="G473" s="18"/>
      <c r="H473" s="232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230"/>
      <c r="D474" s="18"/>
      <c r="E474" s="18"/>
      <c r="F474" s="231"/>
      <c r="G474" s="18"/>
      <c r="H474" s="232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230"/>
      <c r="D475" s="18"/>
      <c r="E475" s="18"/>
      <c r="F475" s="231"/>
      <c r="G475" s="18"/>
      <c r="H475" s="232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230"/>
      <c r="D476" s="18"/>
      <c r="E476" s="18"/>
      <c r="F476" s="231"/>
      <c r="G476" s="18"/>
      <c r="H476" s="232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230"/>
      <c r="D477" s="18"/>
      <c r="E477" s="18"/>
      <c r="F477" s="231"/>
      <c r="G477" s="18"/>
      <c r="H477" s="232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230"/>
      <c r="D478" s="18"/>
      <c r="E478" s="18"/>
      <c r="F478" s="231"/>
      <c r="G478" s="18"/>
      <c r="H478" s="232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230"/>
      <c r="D479" s="18"/>
      <c r="E479" s="18"/>
      <c r="F479" s="231"/>
      <c r="G479" s="18"/>
      <c r="H479" s="232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230"/>
      <c r="D480" s="18"/>
      <c r="E480" s="18"/>
      <c r="F480" s="231"/>
      <c r="G480" s="18"/>
      <c r="H480" s="232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230"/>
      <c r="D481" s="18"/>
      <c r="E481" s="18"/>
      <c r="F481" s="231"/>
      <c r="G481" s="18"/>
      <c r="H481" s="232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230"/>
      <c r="D482" s="18"/>
      <c r="E482" s="18"/>
      <c r="F482" s="231"/>
      <c r="G482" s="18"/>
      <c r="H482" s="232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230"/>
      <c r="D483" s="18"/>
      <c r="E483" s="18"/>
      <c r="F483" s="231"/>
      <c r="G483" s="18"/>
      <c r="H483" s="232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230"/>
      <c r="D484" s="18"/>
      <c r="E484" s="18"/>
      <c r="F484" s="231"/>
      <c r="G484" s="18"/>
      <c r="H484" s="232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230"/>
      <c r="D485" s="18"/>
      <c r="E485" s="18"/>
      <c r="F485" s="231"/>
      <c r="G485" s="18"/>
      <c r="H485" s="232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230"/>
      <c r="D486" s="18"/>
      <c r="E486" s="18"/>
      <c r="F486" s="231"/>
      <c r="G486" s="18"/>
      <c r="H486" s="232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230"/>
      <c r="D487" s="18"/>
      <c r="E487" s="18"/>
      <c r="F487" s="231"/>
      <c r="G487" s="18"/>
      <c r="H487" s="232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230"/>
      <c r="D488" s="18"/>
      <c r="E488" s="18"/>
      <c r="F488" s="231"/>
      <c r="G488" s="18"/>
      <c r="H488" s="232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230"/>
      <c r="D489" s="18"/>
      <c r="E489" s="18"/>
      <c r="F489" s="231"/>
      <c r="G489" s="18"/>
      <c r="H489" s="232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230"/>
      <c r="D490" s="18"/>
      <c r="E490" s="18"/>
      <c r="F490" s="231"/>
      <c r="G490" s="18"/>
      <c r="H490" s="232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230"/>
      <c r="D491" s="18"/>
      <c r="E491" s="18"/>
      <c r="F491" s="231"/>
      <c r="G491" s="18"/>
      <c r="H491" s="232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230"/>
      <c r="D492" s="18"/>
      <c r="E492" s="18"/>
      <c r="F492" s="231"/>
      <c r="G492" s="18"/>
      <c r="H492" s="232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230"/>
      <c r="D493" s="18"/>
      <c r="E493" s="18"/>
      <c r="F493" s="231"/>
      <c r="G493" s="18"/>
      <c r="H493" s="232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230"/>
      <c r="D494" s="18"/>
      <c r="E494" s="18"/>
      <c r="F494" s="231"/>
      <c r="G494" s="18"/>
      <c r="H494" s="232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230"/>
      <c r="D495" s="18"/>
      <c r="E495" s="18"/>
      <c r="F495" s="231"/>
      <c r="G495" s="18"/>
      <c r="H495" s="232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230"/>
      <c r="D496" s="18"/>
      <c r="E496" s="18"/>
      <c r="F496" s="231"/>
      <c r="G496" s="18"/>
      <c r="H496" s="232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230"/>
      <c r="D497" s="18"/>
      <c r="E497" s="18"/>
      <c r="F497" s="231"/>
      <c r="G497" s="18"/>
      <c r="H497" s="232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230"/>
      <c r="D498" s="18"/>
      <c r="E498" s="18"/>
      <c r="F498" s="231"/>
      <c r="G498" s="18"/>
      <c r="H498" s="232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230"/>
      <c r="D499" s="18"/>
      <c r="E499" s="18"/>
      <c r="F499" s="231"/>
      <c r="G499" s="18"/>
      <c r="H499" s="232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230"/>
      <c r="D500" s="18"/>
      <c r="E500" s="18"/>
      <c r="F500" s="231"/>
      <c r="G500" s="18"/>
      <c r="H500" s="232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230"/>
      <c r="D501" s="18"/>
      <c r="E501" s="18"/>
      <c r="F501" s="231"/>
      <c r="G501" s="18"/>
      <c r="H501" s="232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230"/>
      <c r="D502" s="18"/>
      <c r="E502" s="18"/>
      <c r="F502" s="231"/>
      <c r="G502" s="18"/>
      <c r="H502" s="232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230"/>
      <c r="D503" s="18"/>
      <c r="E503" s="18"/>
      <c r="F503" s="231"/>
      <c r="G503" s="18"/>
      <c r="H503" s="232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230"/>
      <c r="D504" s="18"/>
      <c r="E504" s="18"/>
      <c r="F504" s="231"/>
      <c r="G504" s="18"/>
      <c r="H504" s="232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230"/>
      <c r="D505" s="18"/>
      <c r="E505" s="18"/>
      <c r="F505" s="231"/>
      <c r="G505" s="18"/>
      <c r="H505" s="232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230"/>
      <c r="D506" s="18"/>
      <c r="E506" s="18"/>
      <c r="F506" s="231"/>
      <c r="G506" s="18"/>
      <c r="H506" s="232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230"/>
      <c r="D507" s="18"/>
      <c r="E507" s="18"/>
      <c r="F507" s="231"/>
      <c r="G507" s="18"/>
      <c r="H507" s="232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230"/>
      <c r="D508" s="18"/>
      <c r="E508" s="18"/>
      <c r="F508" s="231"/>
      <c r="G508" s="18"/>
      <c r="H508" s="232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230"/>
      <c r="D509" s="18"/>
      <c r="E509" s="18"/>
      <c r="F509" s="231"/>
      <c r="G509" s="18"/>
      <c r="H509" s="232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230"/>
      <c r="D510" s="18"/>
      <c r="E510" s="18"/>
      <c r="F510" s="231"/>
      <c r="G510" s="18"/>
      <c r="H510" s="232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230"/>
      <c r="D511" s="18"/>
      <c r="E511" s="18"/>
      <c r="F511" s="231"/>
      <c r="G511" s="18"/>
      <c r="H511" s="232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230"/>
      <c r="D512" s="18"/>
      <c r="E512" s="18"/>
      <c r="F512" s="231"/>
      <c r="G512" s="18"/>
      <c r="H512" s="232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230"/>
      <c r="D513" s="18"/>
      <c r="E513" s="18"/>
      <c r="F513" s="231"/>
      <c r="G513" s="18"/>
      <c r="H513" s="232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230"/>
      <c r="D514" s="18"/>
      <c r="E514" s="18"/>
      <c r="F514" s="231"/>
      <c r="G514" s="18"/>
      <c r="H514" s="232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230"/>
      <c r="D515" s="18"/>
      <c r="E515" s="18"/>
      <c r="F515" s="231"/>
      <c r="G515" s="18"/>
      <c r="H515" s="232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230"/>
      <c r="D516" s="18"/>
      <c r="E516" s="18"/>
      <c r="F516" s="231"/>
      <c r="G516" s="18"/>
      <c r="H516" s="232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230"/>
      <c r="D517" s="18"/>
      <c r="E517" s="18"/>
      <c r="F517" s="231"/>
      <c r="G517" s="18"/>
      <c r="H517" s="232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230"/>
      <c r="D518" s="18"/>
      <c r="E518" s="18"/>
      <c r="F518" s="231"/>
      <c r="G518" s="18"/>
      <c r="H518" s="232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230"/>
      <c r="D519" s="18"/>
      <c r="E519" s="18"/>
      <c r="F519" s="231"/>
      <c r="G519" s="18"/>
      <c r="H519" s="232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230"/>
      <c r="D520" s="18"/>
      <c r="E520" s="18"/>
      <c r="F520" s="231"/>
      <c r="G520" s="18"/>
      <c r="H520" s="232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230"/>
      <c r="D521" s="18"/>
      <c r="E521" s="18"/>
      <c r="F521" s="231"/>
      <c r="G521" s="18"/>
      <c r="H521" s="232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230"/>
      <c r="D522" s="18"/>
      <c r="E522" s="18"/>
      <c r="F522" s="231"/>
      <c r="G522" s="18"/>
      <c r="H522" s="232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230"/>
      <c r="D523" s="18"/>
      <c r="E523" s="18"/>
      <c r="F523" s="231"/>
      <c r="G523" s="18"/>
      <c r="H523" s="232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230"/>
      <c r="D524" s="18"/>
      <c r="E524" s="18"/>
      <c r="F524" s="231"/>
      <c r="G524" s="18"/>
      <c r="H524" s="232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230"/>
      <c r="D525" s="18"/>
      <c r="E525" s="18"/>
      <c r="F525" s="231"/>
      <c r="G525" s="18"/>
      <c r="H525" s="232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230"/>
      <c r="D526" s="18"/>
      <c r="E526" s="18"/>
      <c r="F526" s="231"/>
      <c r="G526" s="18"/>
      <c r="H526" s="232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230"/>
      <c r="D527" s="18"/>
      <c r="E527" s="18"/>
      <c r="F527" s="231"/>
      <c r="G527" s="18"/>
      <c r="H527" s="232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230"/>
      <c r="D528" s="18"/>
      <c r="E528" s="18"/>
      <c r="F528" s="231"/>
      <c r="G528" s="18"/>
      <c r="H528" s="232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230"/>
      <c r="D529" s="18"/>
      <c r="E529" s="18"/>
      <c r="F529" s="231"/>
      <c r="G529" s="18"/>
      <c r="H529" s="232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230"/>
      <c r="D530" s="18"/>
      <c r="E530" s="18"/>
      <c r="F530" s="231"/>
      <c r="G530" s="18"/>
      <c r="H530" s="232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230"/>
      <c r="D531" s="18"/>
      <c r="E531" s="18"/>
      <c r="F531" s="231"/>
      <c r="G531" s="18"/>
      <c r="H531" s="232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230"/>
      <c r="D532" s="18"/>
      <c r="E532" s="18"/>
      <c r="F532" s="231"/>
      <c r="G532" s="18"/>
      <c r="H532" s="232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230"/>
      <c r="D533" s="18"/>
      <c r="E533" s="18"/>
      <c r="F533" s="231"/>
      <c r="G533" s="18"/>
      <c r="H533" s="232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230"/>
      <c r="D534" s="18"/>
      <c r="E534" s="18"/>
      <c r="F534" s="231"/>
      <c r="G534" s="18"/>
      <c r="H534" s="232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230"/>
      <c r="D535" s="18"/>
      <c r="E535" s="18"/>
      <c r="F535" s="231"/>
      <c r="G535" s="18"/>
      <c r="H535" s="232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230"/>
      <c r="D536" s="18"/>
      <c r="E536" s="18"/>
      <c r="F536" s="231"/>
      <c r="G536" s="18"/>
      <c r="H536" s="232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230"/>
      <c r="D537" s="18"/>
      <c r="E537" s="18"/>
      <c r="F537" s="231"/>
      <c r="G537" s="18"/>
      <c r="H537" s="232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230"/>
      <c r="D538" s="18"/>
      <c r="E538" s="18"/>
      <c r="F538" s="231"/>
      <c r="G538" s="18"/>
      <c r="H538" s="232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230"/>
      <c r="D539" s="18"/>
      <c r="E539" s="18"/>
      <c r="F539" s="231"/>
      <c r="G539" s="18"/>
      <c r="H539" s="232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230"/>
      <c r="D540" s="18"/>
      <c r="E540" s="18"/>
      <c r="F540" s="231"/>
      <c r="G540" s="18"/>
      <c r="H540" s="232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230"/>
      <c r="D541" s="18"/>
      <c r="E541" s="18"/>
      <c r="F541" s="231"/>
      <c r="G541" s="18"/>
      <c r="H541" s="232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230"/>
      <c r="D542" s="18"/>
      <c r="E542" s="18"/>
      <c r="F542" s="231"/>
      <c r="G542" s="18"/>
      <c r="H542" s="232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230"/>
      <c r="D543" s="18"/>
      <c r="E543" s="18"/>
      <c r="F543" s="231"/>
      <c r="G543" s="18"/>
      <c r="H543" s="232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230"/>
      <c r="D544" s="18"/>
      <c r="E544" s="18"/>
      <c r="F544" s="231"/>
      <c r="G544" s="18"/>
      <c r="H544" s="232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230"/>
      <c r="D545" s="18"/>
      <c r="E545" s="18"/>
      <c r="F545" s="231"/>
      <c r="G545" s="18"/>
      <c r="H545" s="232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230"/>
      <c r="D546" s="18"/>
      <c r="E546" s="18"/>
      <c r="F546" s="231"/>
      <c r="G546" s="18"/>
      <c r="H546" s="232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230"/>
      <c r="D547" s="18"/>
      <c r="E547" s="18"/>
      <c r="F547" s="231"/>
      <c r="G547" s="18"/>
      <c r="H547" s="232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230"/>
      <c r="D548" s="18"/>
      <c r="E548" s="18"/>
      <c r="F548" s="231"/>
      <c r="G548" s="18"/>
      <c r="H548" s="232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230"/>
      <c r="D549" s="18"/>
      <c r="E549" s="18"/>
      <c r="F549" s="231"/>
      <c r="G549" s="18"/>
      <c r="H549" s="232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230"/>
      <c r="D550" s="18"/>
      <c r="E550" s="18"/>
      <c r="F550" s="231"/>
      <c r="G550" s="18"/>
      <c r="H550" s="232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230"/>
      <c r="D551" s="18"/>
      <c r="E551" s="18"/>
      <c r="F551" s="231"/>
      <c r="G551" s="18"/>
      <c r="H551" s="232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230"/>
      <c r="D552" s="18"/>
      <c r="E552" s="18"/>
      <c r="F552" s="231"/>
      <c r="G552" s="18"/>
      <c r="H552" s="232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230"/>
      <c r="D553" s="18"/>
      <c r="E553" s="18"/>
      <c r="F553" s="231"/>
      <c r="G553" s="18"/>
      <c r="H553" s="232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230"/>
      <c r="D554" s="18"/>
      <c r="E554" s="18"/>
      <c r="F554" s="231"/>
      <c r="G554" s="18"/>
      <c r="H554" s="232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230"/>
      <c r="D555" s="18"/>
      <c r="E555" s="18"/>
      <c r="F555" s="231"/>
      <c r="G555" s="18"/>
      <c r="H555" s="232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230"/>
      <c r="D556" s="18"/>
      <c r="E556" s="18"/>
      <c r="F556" s="231"/>
      <c r="G556" s="18"/>
      <c r="H556" s="232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230"/>
      <c r="D557" s="18"/>
      <c r="E557" s="18"/>
      <c r="F557" s="231"/>
      <c r="G557" s="18"/>
      <c r="H557" s="232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230"/>
      <c r="D558" s="18"/>
      <c r="E558" s="18"/>
      <c r="F558" s="231"/>
      <c r="G558" s="18"/>
      <c r="H558" s="232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230"/>
      <c r="D559" s="18"/>
      <c r="E559" s="18"/>
      <c r="F559" s="231"/>
      <c r="G559" s="18"/>
      <c r="H559" s="232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230"/>
      <c r="D560" s="18"/>
      <c r="E560" s="18"/>
      <c r="F560" s="231"/>
      <c r="G560" s="18"/>
      <c r="H560" s="232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230"/>
      <c r="D561" s="18"/>
      <c r="E561" s="18"/>
      <c r="F561" s="231"/>
      <c r="G561" s="18"/>
      <c r="H561" s="232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230"/>
      <c r="D562" s="18"/>
      <c r="E562" s="18"/>
      <c r="F562" s="231"/>
      <c r="G562" s="18"/>
      <c r="H562" s="232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230"/>
      <c r="D563" s="18"/>
      <c r="E563" s="18"/>
      <c r="F563" s="231"/>
      <c r="G563" s="18"/>
      <c r="H563" s="232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230"/>
      <c r="D564" s="18"/>
      <c r="E564" s="18"/>
      <c r="F564" s="231"/>
      <c r="G564" s="18"/>
      <c r="H564" s="232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230"/>
      <c r="D565" s="18"/>
      <c r="E565" s="18"/>
      <c r="F565" s="231"/>
      <c r="G565" s="18"/>
      <c r="H565" s="232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230"/>
      <c r="D566" s="18"/>
      <c r="E566" s="18"/>
      <c r="F566" s="231"/>
      <c r="G566" s="18"/>
      <c r="H566" s="232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230"/>
      <c r="D567" s="18"/>
      <c r="E567" s="18"/>
      <c r="F567" s="231"/>
      <c r="G567" s="18"/>
      <c r="H567" s="232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230"/>
      <c r="D568" s="18"/>
      <c r="E568" s="18"/>
      <c r="F568" s="231"/>
      <c r="G568" s="18"/>
      <c r="H568" s="232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230"/>
      <c r="D569" s="18"/>
      <c r="E569" s="18"/>
      <c r="F569" s="231"/>
      <c r="G569" s="18"/>
      <c r="H569" s="232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230"/>
      <c r="D570" s="18"/>
      <c r="E570" s="18"/>
      <c r="F570" s="231"/>
      <c r="G570" s="18"/>
      <c r="H570" s="232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230"/>
      <c r="D571" s="18"/>
      <c r="E571" s="18"/>
      <c r="F571" s="231"/>
      <c r="G571" s="18"/>
      <c r="H571" s="232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230"/>
      <c r="D572" s="18"/>
      <c r="E572" s="18"/>
      <c r="F572" s="231"/>
      <c r="G572" s="18"/>
      <c r="H572" s="232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230"/>
      <c r="D573" s="18"/>
      <c r="E573" s="18"/>
      <c r="F573" s="231"/>
      <c r="G573" s="18"/>
      <c r="H573" s="232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230"/>
      <c r="D574" s="18"/>
      <c r="E574" s="18"/>
      <c r="F574" s="231"/>
      <c r="G574" s="18"/>
      <c r="H574" s="232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230"/>
      <c r="D575" s="18"/>
      <c r="E575" s="18"/>
      <c r="F575" s="231"/>
      <c r="G575" s="18"/>
      <c r="H575" s="232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230"/>
      <c r="D576" s="18"/>
      <c r="E576" s="18"/>
      <c r="F576" s="231"/>
      <c r="G576" s="18"/>
      <c r="H576" s="232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230"/>
      <c r="D577" s="18"/>
      <c r="E577" s="18"/>
      <c r="F577" s="231"/>
      <c r="G577" s="18"/>
      <c r="H577" s="232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230"/>
      <c r="D578" s="18"/>
      <c r="E578" s="18"/>
      <c r="F578" s="231"/>
      <c r="G578" s="18"/>
      <c r="H578" s="232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230"/>
      <c r="D579" s="18"/>
      <c r="E579" s="18"/>
      <c r="F579" s="231"/>
      <c r="G579" s="18"/>
      <c r="H579" s="232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230"/>
      <c r="D580" s="18"/>
      <c r="E580" s="18"/>
      <c r="F580" s="231"/>
      <c r="G580" s="18"/>
      <c r="H580" s="232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230"/>
      <c r="D581" s="18"/>
      <c r="E581" s="18"/>
      <c r="F581" s="231"/>
      <c r="G581" s="18"/>
      <c r="H581" s="232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230"/>
      <c r="D582" s="18"/>
      <c r="E582" s="18"/>
      <c r="F582" s="231"/>
      <c r="G582" s="18"/>
      <c r="H582" s="232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230"/>
      <c r="D583" s="18"/>
      <c r="E583" s="18"/>
      <c r="F583" s="231"/>
      <c r="G583" s="18"/>
      <c r="H583" s="232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230"/>
      <c r="D584" s="18"/>
      <c r="E584" s="18"/>
      <c r="F584" s="231"/>
      <c r="G584" s="18"/>
      <c r="H584" s="232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230"/>
      <c r="D585" s="18"/>
      <c r="E585" s="18"/>
      <c r="F585" s="231"/>
      <c r="G585" s="18"/>
      <c r="H585" s="232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230"/>
      <c r="D586" s="18"/>
      <c r="E586" s="18"/>
      <c r="F586" s="231"/>
      <c r="G586" s="18"/>
      <c r="H586" s="232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230"/>
      <c r="D587" s="18"/>
      <c r="E587" s="18"/>
      <c r="F587" s="231"/>
      <c r="G587" s="18"/>
      <c r="H587" s="232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230"/>
      <c r="D588" s="18"/>
      <c r="E588" s="18"/>
      <c r="F588" s="231"/>
      <c r="G588" s="18"/>
      <c r="H588" s="232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230"/>
      <c r="D589" s="18"/>
      <c r="E589" s="18"/>
      <c r="F589" s="231"/>
      <c r="G589" s="18"/>
      <c r="H589" s="232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230"/>
      <c r="D590" s="18"/>
      <c r="E590" s="18"/>
      <c r="F590" s="231"/>
      <c r="G590" s="18"/>
      <c r="H590" s="232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230"/>
      <c r="D591" s="18"/>
      <c r="E591" s="18"/>
      <c r="F591" s="231"/>
      <c r="G591" s="18"/>
      <c r="H591" s="232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230"/>
      <c r="D592" s="18"/>
      <c r="E592" s="18"/>
      <c r="F592" s="231"/>
      <c r="G592" s="18"/>
      <c r="H592" s="232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230"/>
      <c r="D593" s="18"/>
      <c r="E593" s="18"/>
      <c r="F593" s="231"/>
      <c r="G593" s="18"/>
      <c r="H593" s="232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230"/>
      <c r="D594" s="18"/>
      <c r="E594" s="18"/>
      <c r="F594" s="231"/>
      <c r="G594" s="18"/>
      <c r="H594" s="232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230"/>
      <c r="D595" s="18"/>
      <c r="E595" s="18"/>
      <c r="F595" s="231"/>
      <c r="G595" s="18"/>
      <c r="H595" s="232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230"/>
      <c r="D596" s="18"/>
      <c r="E596" s="18"/>
      <c r="F596" s="231"/>
      <c r="G596" s="18"/>
      <c r="H596" s="232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230"/>
      <c r="D597" s="18"/>
      <c r="E597" s="18"/>
      <c r="F597" s="231"/>
      <c r="G597" s="18"/>
      <c r="H597" s="232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230"/>
      <c r="D598" s="18"/>
      <c r="E598" s="18"/>
      <c r="F598" s="231"/>
      <c r="G598" s="18"/>
      <c r="H598" s="232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230"/>
      <c r="D599" s="18"/>
      <c r="E599" s="18"/>
      <c r="F599" s="231"/>
      <c r="G599" s="18"/>
      <c r="H599" s="232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230"/>
      <c r="D600" s="18"/>
      <c r="E600" s="18"/>
      <c r="F600" s="231"/>
      <c r="G600" s="18"/>
      <c r="H600" s="232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230"/>
      <c r="D601" s="18"/>
      <c r="E601" s="18"/>
      <c r="F601" s="231"/>
      <c r="G601" s="18"/>
      <c r="H601" s="232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230"/>
      <c r="D602" s="18"/>
      <c r="E602" s="18"/>
      <c r="F602" s="231"/>
      <c r="G602" s="18"/>
      <c r="H602" s="232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230"/>
      <c r="D603" s="18"/>
      <c r="E603" s="18"/>
      <c r="F603" s="231"/>
      <c r="G603" s="18"/>
      <c r="H603" s="232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230"/>
      <c r="D604" s="18"/>
      <c r="E604" s="18"/>
      <c r="F604" s="231"/>
      <c r="G604" s="18"/>
      <c r="H604" s="232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230"/>
      <c r="D605" s="18"/>
      <c r="E605" s="18"/>
      <c r="F605" s="231"/>
      <c r="G605" s="18"/>
      <c r="H605" s="232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230"/>
      <c r="D606" s="18"/>
      <c r="E606" s="18"/>
      <c r="F606" s="231"/>
      <c r="G606" s="18"/>
      <c r="H606" s="232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230"/>
      <c r="D607" s="18"/>
      <c r="E607" s="18"/>
      <c r="F607" s="231"/>
      <c r="G607" s="18"/>
      <c r="H607" s="232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230"/>
      <c r="D608" s="18"/>
      <c r="E608" s="18"/>
      <c r="F608" s="231"/>
      <c r="G608" s="18"/>
      <c r="H608" s="232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230"/>
      <c r="D609" s="18"/>
      <c r="E609" s="18"/>
      <c r="F609" s="231"/>
      <c r="G609" s="18"/>
      <c r="H609" s="232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230"/>
      <c r="D610" s="18"/>
      <c r="E610" s="18"/>
      <c r="F610" s="231"/>
      <c r="G610" s="18"/>
      <c r="H610" s="232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230"/>
      <c r="D611" s="18"/>
      <c r="E611" s="18"/>
      <c r="F611" s="231"/>
      <c r="G611" s="18"/>
      <c r="H611" s="232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230"/>
      <c r="D612" s="18"/>
      <c r="E612" s="18"/>
      <c r="F612" s="231"/>
      <c r="G612" s="18"/>
      <c r="H612" s="232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230"/>
      <c r="D613" s="18"/>
      <c r="E613" s="18"/>
      <c r="F613" s="231"/>
      <c r="G613" s="18"/>
      <c r="H613" s="232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230"/>
      <c r="D614" s="18"/>
      <c r="E614" s="18"/>
      <c r="F614" s="231"/>
      <c r="G614" s="18"/>
      <c r="H614" s="232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230"/>
      <c r="D615" s="18"/>
      <c r="E615" s="18"/>
      <c r="F615" s="231"/>
      <c r="G615" s="18"/>
      <c r="H615" s="232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230"/>
      <c r="D616" s="18"/>
      <c r="E616" s="18"/>
      <c r="F616" s="231"/>
      <c r="G616" s="18"/>
      <c r="H616" s="232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230"/>
      <c r="D617" s="18"/>
      <c r="E617" s="18"/>
      <c r="F617" s="231"/>
      <c r="G617" s="18"/>
      <c r="H617" s="232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230"/>
      <c r="D618" s="18"/>
      <c r="E618" s="18"/>
      <c r="F618" s="231"/>
      <c r="G618" s="18"/>
      <c r="H618" s="232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230"/>
      <c r="D619" s="18"/>
      <c r="E619" s="18"/>
      <c r="F619" s="231"/>
      <c r="G619" s="18"/>
      <c r="H619" s="232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230"/>
      <c r="D620" s="18"/>
      <c r="E620" s="18"/>
      <c r="F620" s="231"/>
      <c r="G620" s="18"/>
      <c r="H620" s="232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230"/>
      <c r="D621" s="18"/>
      <c r="E621" s="18"/>
      <c r="F621" s="231"/>
      <c r="G621" s="18"/>
      <c r="H621" s="232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230"/>
      <c r="D622" s="18"/>
      <c r="E622" s="18"/>
      <c r="F622" s="231"/>
      <c r="G622" s="18"/>
      <c r="H622" s="232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230"/>
      <c r="D623" s="18"/>
      <c r="E623" s="18"/>
      <c r="F623" s="231"/>
      <c r="G623" s="18"/>
      <c r="H623" s="232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230"/>
      <c r="D624" s="18"/>
      <c r="E624" s="18"/>
      <c r="F624" s="231"/>
      <c r="G624" s="18"/>
      <c r="H624" s="232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230"/>
      <c r="D625" s="18"/>
      <c r="E625" s="18"/>
      <c r="F625" s="231"/>
      <c r="G625" s="18"/>
      <c r="H625" s="232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230"/>
      <c r="D626" s="18"/>
      <c r="E626" s="18"/>
      <c r="F626" s="231"/>
      <c r="G626" s="18"/>
      <c r="H626" s="232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230"/>
      <c r="D627" s="18"/>
      <c r="E627" s="18"/>
      <c r="F627" s="231"/>
      <c r="G627" s="18"/>
      <c r="H627" s="232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230"/>
      <c r="D628" s="18"/>
      <c r="E628" s="18"/>
      <c r="F628" s="231"/>
      <c r="G628" s="18"/>
      <c r="H628" s="232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230"/>
      <c r="D629" s="18"/>
      <c r="E629" s="18"/>
      <c r="F629" s="231"/>
      <c r="G629" s="18"/>
      <c r="H629" s="232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230"/>
      <c r="D630" s="18"/>
      <c r="E630" s="18"/>
      <c r="F630" s="231"/>
      <c r="G630" s="18"/>
      <c r="H630" s="232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230"/>
      <c r="D631" s="18"/>
      <c r="E631" s="18"/>
      <c r="F631" s="231"/>
      <c r="G631" s="18"/>
      <c r="H631" s="232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230"/>
      <c r="D632" s="18"/>
      <c r="E632" s="18"/>
      <c r="F632" s="231"/>
      <c r="G632" s="18"/>
      <c r="H632" s="232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230"/>
      <c r="D633" s="18"/>
      <c r="E633" s="18"/>
      <c r="F633" s="231"/>
      <c r="G633" s="18"/>
      <c r="H633" s="232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230"/>
      <c r="D634" s="18"/>
      <c r="E634" s="18"/>
      <c r="F634" s="231"/>
      <c r="G634" s="18"/>
      <c r="H634" s="232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230"/>
      <c r="D635" s="18"/>
      <c r="E635" s="18"/>
      <c r="F635" s="231"/>
      <c r="G635" s="18"/>
      <c r="H635" s="232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230"/>
      <c r="D636" s="18"/>
      <c r="E636" s="18"/>
      <c r="F636" s="231"/>
      <c r="G636" s="18"/>
      <c r="H636" s="232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230"/>
      <c r="D637" s="18"/>
      <c r="E637" s="18"/>
      <c r="F637" s="231"/>
      <c r="G637" s="18"/>
      <c r="H637" s="232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230"/>
      <c r="D638" s="18"/>
      <c r="E638" s="18"/>
      <c r="F638" s="231"/>
      <c r="G638" s="18"/>
      <c r="H638" s="232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230"/>
      <c r="D639" s="18"/>
      <c r="E639" s="18"/>
      <c r="F639" s="231"/>
      <c r="G639" s="18"/>
      <c r="H639" s="232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230"/>
      <c r="D640" s="18"/>
      <c r="E640" s="18"/>
      <c r="F640" s="231"/>
      <c r="G640" s="18"/>
      <c r="H640" s="232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230"/>
      <c r="D641" s="18"/>
      <c r="E641" s="18"/>
      <c r="F641" s="231"/>
      <c r="G641" s="18"/>
      <c r="H641" s="232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230"/>
      <c r="D642" s="18"/>
      <c r="E642" s="18"/>
      <c r="F642" s="231"/>
      <c r="G642" s="18"/>
      <c r="H642" s="232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230"/>
      <c r="D643" s="18"/>
      <c r="E643" s="18"/>
      <c r="F643" s="231"/>
      <c r="G643" s="18"/>
      <c r="H643" s="232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230"/>
      <c r="D644" s="18"/>
      <c r="E644" s="18"/>
      <c r="F644" s="231"/>
      <c r="G644" s="18"/>
      <c r="H644" s="232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230"/>
      <c r="D645" s="18"/>
      <c r="E645" s="18"/>
      <c r="F645" s="231"/>
      <c r="G645" s="18"/>
      <c r="H645" s="232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230"/>
      <c r="D646" s="18"/>
      <c r="E646" s="18"/>
      <c r="F646" s="231"/>
      <c r="G646" s="18"/>
      <c r="H646" s="232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230"/>
      <c r="D647" s="18"/>
      <c r="E647" s="18"/>
      <c r="F647" s="231"/>
      <c r="G647" s="18"/>
      <c r="H647" s="232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230"/>
      <c r="D648" s="18"/>
      <c r="E648" s="18"/>
      <c r="F648" s="231"/>
      <c r="G648" s="18"/>
      <c r="H648" s="232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230"/>
      <c r="D649" s="18"/>
      <c r="E649" s="18"/>
      <c r="F649" s="231"/>
      <c r="G649" s="18"/>
      <c r="H649" s="232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230"/>
      <c r="D650" s="18"/>
      <c r="E650" s="18"/>
      <c r="F650" s="231"/>
      <c r="G650" s="18"/>
      <c r="H650" s="232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230"/>
      <c r="D651" s="18"/>
      <c r="E651" s="18"/>
      <c r="F651" s="231"/>
      <c r="G651" s="18"/>
      <c r="H651" s="232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230"/>
      <c r="D652" s="18"/>
      <c r="E652" s="18"/>
      <c r="F652" s="231"/>
      <c r="G652" s="18"/>
      <c r="H652" s="232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230"/>
      <c r="D653" s="18"/>
      <c r="E653" s="18"/>
      <c r="F653" s="231"/>
      <c r="G653" s="18"/>
      <c r="H653" s="232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230"/>
      <c r="D654" s="18"/>
      <c r="E654" s="18"/>
      <c r="F654" s="231"/>
      <c r="G654" s="18"/>
      <c r="H654" s="232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230"/>
      <c r="D655" s="18"/>
      <c r="E655" s="18"/>
      <c r="F655" s="231"/>
      <c r="G655" s="18"/>
      <c r="H655" s="232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230"/>
      <c r="D656" s="18"/>
      <c r="E656" s="18"/>
      <c r="F656" s="231"/>
      <c r="G656" s="18"/>
      <c r="H656" s="232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230"/>
      <c r="D657" s="18"/>
      <c r="E657" s="18"/>
      <c r="F657" s="231"/>
      <c r="G657" s="18"/>
      <c r="H657" s="232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230"/>
      <c r="D658" s="18"/>
      <c r="E658" s="18"/>
      <c r="F658" s="231"/>
      <c r="G658" s="18"/>
      <c r="H658" s="232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230"/>
      <c r="D659" s="18"/>
      <c r="E659" s="18"/>
      <c r="F659" s="231"/>
      <c r="G659" s="18"/>
      <c r="H659" s="232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230"/>
      <c r="D660" s="18"/>
      <c r="E660" s="18"/>
      <c r="F660" s="231"/>
      <c r="G660" s="18"/>
      <c r="H660" s="232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230"/>
      <c r="D661" s="18"/>
      <c r="E661" s="18"/>
      <c r="F661" s="231"/>
      <c r="G661" s="18"/>
      <c r="H661" s="232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230"/>
      <c r="D662" s="18"/>
      <c r="E662" s="18"/>
      <c r="F662" s="231"/>
      <c r="G662" s="18"/>
      <c r="H662" s="232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230"/>
      <c r="D663" s="18"/>
      <c r="E663" s="18"/>
      <c r="F663" s="231"/>
      <c r="G663" s="18"/>
      <c r="H663" s="232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230"/>
      <c r="D664" s="18"/>
      <c r="E664" s="18"/>
      <c r="F664" s="231"/>
      <c r="G664" s="18"/>
      <c r="H664" s="232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230"/>
      <c r="D665" s="18"/>
      <c r="E665" s="18"/>
      <c r="F665" s="231"/>
      <c r="G665" s="18"/>
      <c r="H665" s="232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230"/>
      <c r="D666" s="18"/>
      <c r="E666" s="18"/>
      <c r="F666" s="231"/>
      <c r="G666" s="18"/>
      <c r="H666" s="232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230"/>
      <c r="D667" s="18"/>
      <c r="E667" s="18"/>
      <c r="F667" s="231"/>
      <c r="G667" s="18"/>
      <c r="H667" s="232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230"/>
      <c r="D668" s="18"/>
      <c r="E668" s="18"/>
      <c r="F668" s="231"/>
      <c r="G668" s="18"/>
      <c r="H668" s="232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230"/>
      <c r="D669" s="18"/>
      <c r="E669" s="18"/>
      <c r="F669" s="231"/>
      <c r="G669" s="18"/>
      <c r="H669" s="232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230"/>
      <c r="D670" s="18"/>
      <c r="E670" s="18"/>
      <c r="F670" s="231"/>
      <c r="G670" s="18"/>
      <c r="H670" s="232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230"/>
      <c r="D671" s="18"/>
      <c r="E671" s="18"/>
      <c r="F671" s="231"/>
      <c r="G671" s="18"/>
      <c r="H671" s="232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230"/>
      <c r="D672" s="18"/>
      <c r="E672" s="18"/>
      <c r="F672" s="231"/>
      <c r="G672" s="18"/>
      <c r="H672" s="232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230"/>
      <c r="D673" s="18"/>
      <c r="E673" s="18"/>
      <c r="F673" s="231"/>
      <c r="G673" s="18"/>
      <c r="H673" s="232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230"/>
      <c r="D674" s="18"/>
      <c r="E674" s="18"/>
      <c r="F674" s="231"/>
      <c r="G674" s="18"/>
      <c r="H674" s="232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230"/>
      <c r="D675" s="18"/>
      <c r="E675" s="18"/>
      <c r="F675" s="231"/>
      <c r="G675" s="18"/>
      <c r="H675" s="232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230"/>
      <c r="D676" s="18"/>
      <c r="E676" s="18"/>
      <c r="F676" s="231"/>
      <c r="G676" s="18"/>
      <c r="H676" s="232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230"/>
      <c r="D677" s="18"/>
      <c r="E677" s="18"/>
      <c r="F677" s="231"/>
      <c r="G677" s="18"/>
      <c r="H677" s="232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230"/>
      <c r="D678" s="18"/>
      <c r="E678" s="18"/>
      <c r="F678" s="231"/>
      <c r="G678" s="18"/>
      <c r="H678" s="232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230"/>
      <c r="D679" s="18"/>
      <c r="E679" s="18"/>
      <c r="F679" s="231"/>
      <c r="G679" s="18"/>
      <c r="H679" s="232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230"/>
      <c r="D680" s="18"/>
      <c r="E680" s="18"/>
      <c r="F680" s="231"/>
      <c r="G680" s="18"/>
      <c r="H680" s="232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230"/>
      <c r="D681" s="18"/>
      <c r="E681" s="18"/>
      <c r="F681" s="231"/>
      <c r="G681" s="18"/>
      <c r="H681" s="232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230"/>
      <c r="D682" s="18"/>
      <c r="E682" s="18"/>
      <c r="F682" s="231"/>
      <c r="G682" s="18"/>
      <c r="H682" s="232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230"/>
      <c r="D683" s="18"/>
      <c r="E683" s="18"/>
      <c r="F683" s="231"/>
      <c r="G683" s="18"/>
      <c r="H683" s="232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230"/>
      <c r="D684" s="18"/>
      <c r="E684" s="18"/>
      <c r="F684" s="231"/>
      <c r="G684" s="18"/>
      <c r="H684" s="232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230"/>
      <c r="D685" s="18"/>
      <c r="E685" s="18"/>
      <c r="F685" s="231"/>
      <c r="G685" s="18"/>
      <c r="H685" s="232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230"/>
      <c r="D686" s="18"/>
      <c r="E686" s="18"/>
      <c r="F686" s="231"/>
      <c r="G686" s="18"/>
      <c r="H686" s="232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230"/>
      <c r="D687" s="18"/>
      <c r="E687" s="18"/>
      <c r="F687" s="231"/>
      <c r="G687" s="18"/>
      <c r="H687" s="232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230"/>
      <c r="D688" s="18"/>
      <c r="E688" s="18"/>
      <c r="F688" s="231"/>
      <c r="G688" s="18"/>
      <c r="H688" s="232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230"/>
      <c r="D689" s="18"/>
      <c r="E689" s="18"/>
      <c r="F689" s="231"/>
      <c r="G689" s="18"/>
      <c r="H689" s="232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230"/>
      <c r="D690" s="18"/>
      <c r="E690" s="18"/>
      <c r="F690" s="231"/>
      <c r="G690" s="18"/>
      <c r="H690" s="232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230"/>
      <c r="D691" s="18"/>
      <c r="E691" s="18"/>
      <c r="F691" s="231"/>
      <c r="G691" s="18"/>
      <c r="H691" s="232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230"/>
      <c r="D692" s="18"/>
      <c r="E692" s="18"/>
      <c r="F692" s="231"/>
      <c r="G692" s="18"/>
      <c r="H692" s="232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230"/>
      <c r="D693" s="18"/>
      <c r="E693" s="18"/>
      <c r="F693" s="231"/>
      <c r="G693" s="18"/>
      <c r="H693" s="232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230"/>
      <c r="D694" s="18"/>
      <c r="E694" s="18"/>
      <c r="F694" s="231"/>
      <c r="G694" s="18"/>
      <c r="H694" s="232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230"/>
      <c r="D695" s="18"/>
      <c r="E695" s="18"/>
      <c r="F695" s="231"/>
      <c r="G695" s="18"/>
      <c r="H695" s="232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230"/>
      <c r="D696" s="18"/>
      <c r="E696" s="18"/>
      <c r="F696" s="231"/>
      <c r="G696" s="18"/>
      <c r="H696" s="232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230"/>
      <c r="D697" s="18"/>
      <c r="E697" s="18"/>
      <c r="F697" s="231"/>
      <c r="G697" s="18"/>
      <c r="H697" s="232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230"/>
      <c r="D698" s="18"/>
      <c r="E698" s="18"/>
      <c r="F698" s="231"/>
      <c r="G698" s="18"/>
      <c r="H698" s="232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230"/>
      <c r="D699" s="18"/>
      <c r="E699" s="18"/>
      <c r="F699" s="231"/>
      <c r="G699" s="18"/>
      <c r="H699" s="232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230"/>
      <c r="D700" s="18"/>
      <c r="E700" s="18"/>
      <c r="F700" s="231"/>
      <c r="G700" s="18"/>
      <c r="H700" s="232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230"/>
      <c r="D701" s="18"/>
      <c r="E701" s="18"/>
      <c r="F701" s="231"/>
      <c r="G701" s="18"/>
      <c r="H701" s="232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230"/>
      <c r="D702" s="18"/>
      <c r="E702" s="18"/>
      <c r="F702" s="231"/>
      <c r="G702" s="18"/>
      <c r="H702" s="232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230"/>
      <c r="D703" s="18"/>
      <c r="E703" s="18"/>
      <c r="F703" s="231"/>
      <c r="G703" s="18"/>
      <c r="H703" s="232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230"/>
      <c r="D704" s="18"/>
      <c r="E704" s="18"/>
      <c r="F704" s="231"/>
      <c r="G704" s="18"/>
      <c r="H704" s="232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230"/>
      <c r="D705" s="18"/>
      <c r="E705" s="18"/>
      <c r="F705" s="231"/>
      <c r="G705" s="18"/>
      <c r="H705" s="232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230"/>
      <c r="D706" s="18"/>
      <c r="E706" s="18"/>
      <c r="F706" s="231"/>
      <c r="G706" s="18"/>
      <c r="H706" s="232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230"/>
      <c r="D707" s="18"/>
      <c r="E707" s="18"/>
      <c r="F707" s="231"/>
      <c r="G707" s="18"/>
      <c r="H707" s="232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230"/>
      <c r="D708" s="18"/>
      <c r="E708" s="18"/>
      <c r="F708" s="231"/>
      <c r="G708" s="18"/>
      <c r="H708" s="232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230"/>
      <c r="D709" s="18"/>
      <c r="E709" s="18"/>
      <c r="F709" s="231"/>
      <c r="G709" s="18"/>
      <c r="H709" s="232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230"/>
      <c r="D710" s="18"/>
      <c r="E710" s="18"/>
      <c r="F710" s="231"/>
      <c r="G710" s="18"/>
      <c r="H710" s="232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230"/>
      <c r="D711" s="18"/>
      <c r="E711" s="18"/>
      <c r="F711" s="231"/>
      <c r="G711" s="18"/>
      <c r="H711" s="232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230"/>
      <c r="D712" s="18"/>
      <c r="E712" s="18"/>
      <c r="F712" s="231"/>
      <c r="G712" s="18"/>
      <c r="H712" s="232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230"/>
      <c r="D713" s="18"/>
      <c r="E713" s="18"/>
      <c r="F713" s="231"/>
      <c r="G713" s="18"/>
      <c r="H713" s="232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230"/>
      <c r="D714" s="18"/>
      <c r="E714" s="18"/>
      <c r="F714" s="231"/>
      <c r="G714" s="18"/>
      <c r="H714" s="232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230"/>
      <c r="D715" s="18"/>
      <c r="E715" s="18"/>
      <c r="F715" s="231"/>
      <c r="G715" s="18"/>
      <c r="H715" s="232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230"/>
      <c r="D716" s="18"/>
      <c r="E716" s="18"/>
      <c r="F716" s="231"/>
      <c r="G716" s="18"/>
      <c r="H716" s="232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230"/>
      <c r="D717" s="18"/>
      <c r="E717" s="18"/>
      <c r="F717" s="231"/>
      <c r="G717" s="18"/>
      <c r="H717" s="232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230"/>
      <c r="D718" s="18"/>
      <c r="E718" s="18"/>
      <c r="F718" s="231"/>
      <c r="G718" s="18"/>
      <c r="H718" s="232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230"/>
      <c r="D719" s="18"/>
      <c r="E719" s="18"/>
      <c r="F719" s="231"/>
      <c r="G719" s="18"/>
      <c r="H719" s="232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230"/>
      <c r="D720" s="18"/>
      <c r="E720" s="18"/>
      <c r="F720" s="231"/>
      <c r="G720" s="18"/>
      <c r="H720" s="232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230"/>
      <c r="D721" s="18"/>
      <c r="E721" s="18"/>
      <c r="F721" s="231"/>
      <c r="G721" s="18"/>
      <c r="H721" s="232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230"/>
      <c r="D722" s="18"/>
      <c r="E722" s="18"/>
      <c r="F722" s="231"/>
      <c r="G722" s="18"/>
      <c r="H722" s="232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230"/>
      <c r="D723" s="18"/>
      <c r="E723" s="18"/>
      <c r="F723" s="231"/>
      <c r="G723" s="18"/>
      <c r="H723" s="232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230"/>
      <c r="D724" s="18"/>
      <c r="E724" s="18"/>
      <c r="F724" s="231"/>
      <c r="G724" s="18"/>
      <c r="H724" s="232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230"/>
      <c r="D725" s="18"/>
      <c r="E725" s="18"/>
      <c r="F725" s="231"/>
      <c r="G725" s="18"/>
      <c r="H725" s="232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230"/>
      <c r="D726" s="18"/>
      <c r="E726" s="18"/>
      <c r="F726" s="231"/>
      <c r="G726" s="18"/>
      <c r="H726" s="232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230"/>
      <c r="D727" s="18"/>
      <c r="E727" s="18"/>
      <c r="F727" s="231"/>
      <c r="G727" s="18"/>
      <c r="H727" s="232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230"/>
      <c r="D728" s="18"/>
      <c r="E728" s="18"/>
      <c r="F728" s="231"/>
      <c r="G728" s="18"/>
      <c r="H728" s="232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230"/>
      <c r="D729" s="18"/>
      <c r="E729" s="18"/>
      <c r="F729" s="231"/>
      <c r="G729" s="18"/>
      <c r="H729" s="232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230"/>
      <c r="D730" s="18"/>
      <c r="E730" s="18"/>
      <c r="F730" s="231"/>
      <c r="G730" s="18"/>
      <c r="H730" s="232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230"/>
      <c r="D731" s="18"/>
      <c r="E731" s="18"/>
      <c r="F731" s="231"/>
      <c r="G731" s="18"/>
      <c r="H731" s="232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230"/>
      <c r="D732" s="18"/>
      <c r="E732" s="18"/>
      <c r="F732" s="231"/>
      <c r="G732" s="18"/>
      <c r="H732" s="232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230"/>
      <c r="D733" s="18"/>
      <c r="E733" s="18"/>
      <c r="F733" s="231"/>
      <c r="G733" s="18"/>
      <c r="H733" s="232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230"/>
      <c r="D734" s="18"/>
      <c r="E734" s="18"/>
      <c r="F734" s="231"/>
      <c r="G734" s="18"/>
      <c r="H734" s="232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230"/>
      <c r="D735" s="18"/>
      <c r="E735" s="18"/>
      <c r="F735" s="231"/>
      <c r="G735" s="18"/>
      <c r="H735" s="232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230"/>
      <c r="D736" s="18"/>
      <c r="E736" s="18"/>
      <c r="F736" s="231"/>
      <c r="G736" s="18"/>
      <c r="H736" s="232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230"/>
      <c r="D737" s="18"/>
      <c r="E737" s="18"/>
      <c r="F737" s="231"/>
      <c r="G737" s="18"/>
      <c r="H737" s="232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230"/>
      <c r="D738" s="18"/>
      <c r="E738" s="18"/>
      <c r="F738" s="231"/>
      <c r="G738" s="18"/>
      <c r="H738" s="232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230"/>
      <c r="D739" s="18"/>
      <c r="E739" s="18"/>
      <c r="F739" s="231"/>
      <c r="G739" s="18"/>
      <c r="H739" s="232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230"/>
      <c r="D740" s="18"/>
      <c r="E740" s="18"/>
      <c r="F740" s="231"/>
      <c r="G740" s="18"/>
      <c r="H740" s="232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230"/>
      <c r="D741" s="18"/>
      <c r="E741" s="18"/>
      <c r="F741" s="231"/>
      <c r="G741" s="18"/>
      <c r="H741" s="232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230"/>
      <c r="D742" s="18"/>
      <c r="E742" s="18"/>
      <c r="F742" s="231"/>
      <c r="G742" s="18"/>
      <c r="H742" s="232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230"/>
      <c r="D743" s="18"/>
      <c r="E743" s="18"/>
      <c r="F743" s="231"/>
      <c r="G743" s="18"/>
      <c r="H743" s="232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230"/>
      <c r="D744" s="18"/>
      <c r="E744" s="18"/>
      <c r="F744" s="231"/>
      <c r="G744" s="18"/>
      <c r="H744" s="232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230"/>
      <c r="D745" s="18"/>
      <c r="E745" s="18"/>
      <c r="F745" s="231"/>
      <c r="G745" s="18"/>
      <c r="H745" s="232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230"/>
      <c r="D746" s="18"/>
      <c r="E746" s="18"/>
      <c r="F746" s="231"/>
      <c r="G746" s="18"/>
      <c r="H746" s="232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230"/>
      <c r="D747" s="18"/>
      <c r="E747" s="18"/>
      <c r="F747" s="231"/>
      <c r="G747" s="18"/>
      <c r="H747" s="232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230"/>
      <c r="D748" s="18"/>
      <c r="E748" s="18"/>
      <c r="F748" s="231"/>
      <c r="G748" s="18"/>
      <c r="H748" s="232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230"/>
      <c r="D749" s="18"/>
      <c r="E749" s="18"/>
      <c r="F749" s="231"/>
      <c r="G749" s="18"/>
      <c r="H749" s="232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230"/>
      <c r="D750" s="18"/>
      <c r="E750" s="18"/>
      <c r="F750" s="231"/>
      <c r="G750" s="18"/>
      <c r="H750" s="232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230"/>
      <c r="D751" s="18"/>
      <c r="E751" s="18"/>
      <c r="F751" s="231"/>
      <c r="G751" s="18"/>
      <c r="H751" s="232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230"/>
      <c r="D752" s="18"/>
      <c r="E752" s="18"/>
      <c r="F752" s="231"/>
      <c r="G752" s="18"/>
      <c r="H752" s="232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230"/>
      <c r="D753" s="18"/>
      <c r="E753" s="18"/>
      <c r="F753" s="231"/>
      <c r="G753" s="18"/>
      <c r="H753" s="232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230"/>
      <c r="D754" s="18"/>
      <c r="E754" s="18"/>
      <c r="F754" s="231"/>
      <c r="G754" s="18"/>
      <c r="H754" s="232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230"/>
      <c r="D755" s="18"/>
      <c r="E755" s="18"/>
      <c r="F755" s="231"/>
      <c r="G755" s="18"/>
      <c r="H755" s="232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230"/>
      <c r="D756" s="18"/>
      <c r="E756" s="18"/>
      <c r="F756" s="231"/>
      <c r="G756" s="18"/>
      <c r="H756" s="232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230"/>
      <c r="D757" s="18"/>
      <c r="E757" s="18"/>
      <c r="F757" s="231"/>
      <c r="G757" s="18"/>
      <c r="H757" s="232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230"/>
      <c r="D758" s="18"/>
      <c r="E758" s="18"/>
      <c r="F758" s="231"/>
      <c r="G758" s="18"/>
      <c r="H758" s="232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230"/>
      <c r="D759" s="18"/>
      <c r="E759" s="18"/>
      <c r="F759" s="231"/>
      <c r="G759" s="18"/>
      <c r="H759" s="232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230"/>
      <c r="D760" s="18"/>
      <c r="E760" s="18"/>
      <c r="F760" s="231"/>
      <c r="G760" s="18"/>
      <c r="H760" s="232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230"/>
      <c r="D761" s="18"/>
      <c r="E761" s="18"/>
      <c r="F761" s="231"/>
      <c r="G761" s="18"/>
      <c r="H761" s="232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230"/>
      <c r="D762" s="18"/>
      <c r="E762" s="18"/>
      <c r="F762" s="231"/>
      <c r="G762" s="18"/>
      <c r="H762" s="232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230"/>
      <c r="D763" s="18"/>
      <c r="E763" s="18"/>
      <c r="F763" s="231"/>
      <c r="G763" s="18"/>
      <c r="H763" s="232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230"/>
      <c r="D764" s="18"/>
      <c r="E764" s="18"/>
      <c r="F764" s="231"/>
      <c r="G764" s="18"/>
      <c r="H764" s="232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230"/>
      <c r="D765" s="18"/>
      <c r="E765" s="18"/>
      <c r="F765" s="231"/>
      <c r="G765" s="18"/>
      <c r="H765" s="232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230"/>
      <c r="D766" s="18"/>
      <c r="E766" s="18"/>
      <c r="F766" s="231"/>
      <c r="G766" s="18"/>
      <c r="H766" s="232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230"/>
      <c r="D767" s="18"/>
      <c r="E767" s="18"/>
      <c r="F767" s="231"/>
      <c r="G767" s="18"/>
      <c r="H767" s="232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230"/>
      <c r="D768" s="18"/>
      <c r="E768" s="18"/>
      <c r="F768" s="231"/>
      <c r="G768" s="18"/>
      <c r="H768" s="232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230"/>
      <c r="D769" s="18"/>
      <c r="E769" s="18"/>
      <c r="F769" s="231"/>
      <c r="G769" s="18"/>
      <c r="H769" s="232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230"/>
      <c r="D770" s="18"/>
      <c r="E770" s="18"/>
      <c r="F770" s="231"/>
      <c r="G770" s="18"/>
      <c r="H770" s="232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230"/>
      <c r="D771" s="18"/>
      <c r="E771" s="18"/>
      <c r="F771" s="231"/>
      <c r="G771" s="18"/>
      <c r="H771" s="232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230"/>
      <c r="D772" s="18"/>
      <c r="E772" s="18"/>
      <c r="F772" s="231"/>
      <c r="G772" s="18"/>
      <c r="H772" s="232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230"/>
      <c r="D773" s="18"/>
      <c r="E773" s="18"/>
      <c r="F773" s="231"/>
      <c r="G773" s="18"/>
      <c r="H773" s="232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230"/>
      <c r="D774" s="18"/>
      <c r="E774" s="18"/>
      <c r="F774" s="231"/>
      <c r="G774" s="18"/>
      <c r="H774" s="232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230"/>
      <c r="D775" s="18"/>
      <c r="E775" s="18"/>
      <c r="F775" s="231"/>
      <c r="G775" s="18"/>
      <c r="H775" s="232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230"/>
      <c r="D776" s="18"/>
      <c r="E776" s="18"/>
      <c r="F776" s="231"/>
      <c r="G776" s="18"/>
      <c r="H776" s="232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230"/>
      <c r="D777" s="18"/>
      <c r="E777" s="18"/>
      <c r="F777" s="231"/>
      <c r="G777" s="18"/>
      <c r="H777" s="232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230"/>
      <c r="D778" s="18"/>
      <c r="E778" s="18"/>
      <c r="F778" s="231"/>
      <c r="G778" s="18"/>
      <c r="H778" s="232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230"/>
      <c r="D779" s="18"/>
      <c r="E779" s="18"/>
      <c r="F779" s="231"/>
      <c r="G779" s="18"/>
      <c r="H779" s="232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230"/>
      <c r="D780" s="18"/>
      <c r="E780" s="18"/>
      <c r="F780" s="231"/>
      <c r="G780" s="18"/>
      <c r="H780" s="232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230"/>
      <c r="D781" s="18"/>
      <c r="E781" s="18"/>
      <c r="F781" s="231"/>
      <c r="G781" s="18"/>
      <c r="H781" s="232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230"/>
      <c r="D782" s="18"/>
      <c r="E782" s="18"/>
      <c r="F782" s="231"/>
      <c r="G782" s="18"/>
      <c r="H782" s="232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230"/>
      <c r="D783" s="18"/>
      <c r="E783" s="18"/>
      <c r="F783" s="231"/>
      <c r="G783" s="18"/>
      <c r="H783" s="232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230"/>
      <c r="D784" s="18"/>
      <c r="E784" s="18"/>
      <c r="F784" s="231"/>
      <c r="G784" s="18"/>
      <c r="H784" s="232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230"/>
      <c r="D785" s="18"/>
      <c r="E785" s="18"/>
      <c r="F785" s="231"/>
      <c r="G785" s="18"/>
      <c r="H785" s="232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230"/>
      <c r="D786" s="18"/>
      <c r="E786" s="18"/>
      <c r="F786" s="231"/>
      <c r="G786" s="18"/>
      <c r="H786" s="232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230"/>
      <c r="D787" s="18"/>
      <c r="E787" s="18"/>
      <c r="F787" s="231"/>
      <c r="G787" s="18"/>
      <c r="H787" s="232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230"/>
      <c r="D788" s="18"/>
      <c r="E788" s="18"/>
      <c r="F788" s="231"/>
      <c r="G788" s="18"/>
      <c r="H788" s="232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230"/>
      <c r="D789" s="18"/>
      <c r="E789" s="18"/>
      <c r="F789" s="231"/>
      <c r="G789" s="18"/>
      <c r="H789" s="232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230"/>
      <c r="D790" s="18"/>
      <c r="E790" s="18"/>
      <c r="F790" s="231"/>
      <c r="G790" s="18"/>
      <c r="H790" s="232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230"/>
      <c r="D791" s="18"/>
      <c r="E791" s="18"/>
      <c r="F791" s="231"/>
      <c r="G791" s="18"/>
      <c r="H791" s="232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230"/>
      <c r="D792" s="18"/>
      <c r="E792" s="18"/>
      <c r="F792" s="231"/>
      <c r="G792" s="18"/>
      <c r="H792" s="232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230"/>
      <c r="D793" s="18"/>
      <c r="E793" s="18"/>
      <c r="F793" s="231"/>
      <c r="G793" s="18"/>
      <c r="H793" s="232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230"/>
      <c r="D794" s="18"/>
      <c r="E794" s="18"/>
      <c r="F794" s="231"/>
      <c r="G794" s="18"/>
      <c r="H794" s="232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230"/>
      <c r="D795" s="18"/>
      <c r="E795" s="18"/>
      <c r="F795" s="231"/>
      <c r="G795" s="18"/>
      <c r="H795" s="232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230"/>
      <c r="D796" s="18"/>
      <c r="E796" s="18"/>
      <c r="F796" s="231"/>
      <c r="G796" s="18"/>
      <c r="H796" s="232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230"/>
      <c r="D797" s="18"/>
      <c r="E797" s="18"/>
      <c r="F797" s="231"/>
      <c r="G797" s="18"/>
      <c r="H797" s="232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230"/>
      <c r="D798" s="18"/>
      <c r="E798" s="18"/>
      <c r="F798" s="231"/>
      <c r="G798" s="18"/>
      <c r="H798" s="232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230"/>
      <c r="D799" s="18"/>
      <c r="E799" s="18"/>
      <c r="F799" s="231"/>
      <c r="G799" s="18"/>
      <c r="H799" s="232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230"/>
      <c r="D800" s="18"/>
      <c r="E800" s="18"/>
      <c r="F800" s="231"/>
      <c r="G800" s="18"/>
      <c r="H800" s="232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230"/>
      <c r="D801" s="18"/>
      <c r="E801" s="18"/>
      <c r="F801" s="231"/>
      <c r="G801" s="18"/>
      <c r="H801" s="232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230"/>
      <c r="D802" s="18"/>
      <c r="E802" s="18"/>
      <c r="F802" s="231"/>
      <c r="G802" s="18"/>
      <c r="H802" s="232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230"/>
      <c r="D803" s="18"/>
      <c r="E803" s="18"/>
      <c r="F803" s="231"/>
      <c r="G803" s="18"/>
      <c r="H803" s="232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230"/>
      <c r="D804" s="18"/>
      <c r="E804" s="18"/>
      <c r="F804" s="231"/>
      <c r="G804" s="18"/>
      <c r="H804" s="232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230"/>
      <c r="D805" s="18"/>
      <c r="E805" s="18"/>
      <c r="F805" s="231"/>
      <c r="G805" s="18"/>
      <c r="H805" s="232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230"/>
      <c r="D806" s="18"/>
      <c r="E806" s="18"/>
      <c r="F806" s="231"/>
      <c r="G806" s="18"/>
      <c r="H806" s="232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230"/>
      <c r="D807" s="18"/>
      <c r="E807" s="18"/>
      <c r="F807" s="231"/>
      <c r="G807" s="18"/>
      <c r="H807" s="232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230"/>
      <c r="D808" s="18"/>
      <c r="E808" s="18"/>
      <c r="F808" s="231"/>
      <c r="G808" s="18"/>
      <c r="H808" s="232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230"/>
      <c r="D809" s="18"/>
      <c r="E809" s="18"/>
      <c r="F809" s="231"/>
      <c r="G809" s="18"/>
      <c r="H809" s="232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230"/>
      <c r="D810" s="18"/>
      <c r="E810" s="18"/>
      <c r="F810" s="231"/>
      <c r="G810" s="18"/>
      <c r="H810" s="232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230"/>
      <c r="D811" s="18"/>
      <c r="E811" s="18"/>
      <c r="F811" s="231"/>
      <c r="G811" s="18"/>
      <c r="H811" s="232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230"/>
      <c r="D812" s="18"/>
      <c r="E812" s="18"/>
      <c r="F812" s="231"/>
      <c r="G812" s="18"/>
      <c r="H812" s="232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230"/>
      <c r="D813" s="18"/>
      <c r="E813" s="18"/>
      <c r="F813" s="231"/>
      <c r="G813" s="18"/>
      <c r="H813" s="232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230"/>
      <c r="D814" s="18"/>
      <c r="E814" s="18"/>
      <c r="F814" s="231"/>
      <c r="G814" s="18"/>
      <c r="H814" s="232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230"/>
      <c r="D815" s="18"/>
      <c r="E815" s="18"/>
      <c r="F815" s="231"/>
      <c r="G815" s="18"/>
      <c r="H815" s="232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230"/>
      <c r="D816" s="18"/>
      <c r="E816" s="18"/>
      <c r="F816" s="231"/>
      <c r="G816" s="18"/>
      <c r="H816" s="232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230"/>
      <c r="D817" s="18"/>
      <c r="E817" s="18"/>
      <c r="F817" s="231"/>
      <c r="G817" s="18"/>
      <c r="H817" s="232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230"/>
      <c r="D818" s="18"/>
      <c r="E818" s="18"/>
      <c r="F818" s="231"/>
      <c r="G818" s="18"/>
      <c r="H818" s="232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230"/>
      <c r="D819" s="18"/>
      <c r="E819" s="18"/>
      <c r="F819" s="231"/>
      <c r="G819" s="18"/>
      <c r="H819" s="232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230"/>
      <c r="D820" s="18"/>
      <c r="E820" s="18"/>
      <c r="F820" s="231"/>
      <c r="G820" s="18"/>
      <c r="H820" s="232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230"/>
      <c r="D821" s="18"/>
      <c r="E821" s="18"/>
      <c r="F821" s="231"/>
      <c r="G821" s="18"/>
      <c r="H821" s="232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230"/>
      <c r="D822" s="18"/>
      <c r="E822" s="18"/>
      <c r="F822" s="231"/>
      <c r="G822" s="18"/>
      <c r="H822" s="232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230"/>
      <c r="D823" s="18"/>
      <c r="E823" s="18"/>
      <c r="F823" s="231"/>
      <c r="G823" s="18"/>
      <c r="H823" s="232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230"/>
      <c r="D824" s="18"/>
      <c r="E824" s="18"/>
      <c r="F824" s="231"/>
      <c r="G824" s="18"/>
      <c r="H824" s="232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230"/>
      <c r="D825" s="18"/>
      <c r="E825" s="18"/>
      <c r="F825" s="231"/>
      <c r="G825" s="18"/>
      <c r="H825" s="232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230"/>
      <c r="D826" s="18"/>
      <c r="E826" s="18"/>
      <c r="F826" s="231"/>
      <c r="G826" s="18"/>
      <c r="H826" s="232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230"/>
      <c r="D827" s="18"/>
      <c r="E827" s="18"/>
      <c r="F827" s="231"/>
      <c r="G827" s="18"/>
      <c r="H827" s="232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230"/>
      <c r="D828" s="18"/>
      <c r="E828" s="18"/>
      <c r="F828" s="231"/>
      <c r="G828" s="18"/>
      <c r="H828" s="232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230"/>
      <c r="D829" s="18"/>
      <c r="E829" s="18"/>
      <c r="F829" s="231"/>
      <c r="G829" s="18"/>
      <c r="H829" s="232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230"/>
      <c r="D830" s="18"/>
      <c r="E830" s="18"/>
      <c r="F830" s="231"/>
      <c r="G830" s="18"/>
      <c r="H830" s="232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230"/>
      <c r="D831" s="18"/>
      <c r="E831" s="18"/>
      <c r="F831" s="231"/>
      <c r="G831" s="18"/>
      <c r="H831" s="232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230"/>
      <c r="D832" s="18"/>
      <c r="E832" s="18"/>
      <c r="F832" s="231"/>
      <c r="G832" s="18"/>
      <c r="H832" s="232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230"/>
      <c r="D833" s="18"/>
      <c r="E833" s="18"/>
      <c r="F833" s="231"/>
      <c r="G833" s="18"/>
      <c r="H833" s="232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230"/>
      <c r="D834" s="18"/>
      <c r="E834" s="18"/>
      <c r="F834" s="231"/>
      <c r="G834" s="18"/>
      <c r="H834" s="232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230"/>
      <c r="D835" s="18"/>
      <c r="E835" s="18"/>
      <c r="F835" s="231"/>
      <c r="G835" s="18"/>
      <c r="H835" s="232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230"/>
      <c r="D836" s="18"/>
      <c r="E836" s="18"/>
      <c r="F836" s="231"/>
      <c r="G836" s="18"/>
      <c r="H836" s="232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230"/>
      <c r="D837" s="18"/>
      <c r="E837" s="18"/>
      <c r="F837" s="231"/>
      <c r="G837" s="18"/>
      <c r="H837" s="232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230"/>
      <c r="D838" s="18"/>
      <c r="E838" s="18"/>
      <c r="F838" s="231"/>
      <c r="G838" s="18"/>
      <c r="H838" s="232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230"/>
      <c r="D839" s="18"/>
      <c r="E839" s="18"/>
      <c r="F839" s="231"/>
      <c r="G839" s="18"/>
      <c r="H839" s="232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230"/>
      <c r="D840" s="18"/>
      <c r="E840" s="18"/>
      <c r="F840" s="231"/>
      <c r="G840" s="18"/>
      <c r="H840" s="232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230"/>
      <c r="D841" s="18"/>
      <c r="E841" s="18"/>
      <c r="F841" s="231"/>
      <c r="G841" s="18"/>
      <c r="H841" s="232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230"/>
      <c r="D842" s="18"/>
      <c r="E842" s="18"/>
      <c r="F842" s="231"/>
      <c r="G842" s="18"/>
      <c r="H842" s="232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230"/>
      <c r="D843" s="18"/>
      <c r="E843" s="18"/>
      <c r="F843" s="231"/>
      <c r="G843" s="18"/>
      <c r="H843" s="232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230"/>
      <c r="D844" s="18"/>
      <c r="E844" s="18"/>
      <c r="F844" s="231"/>
      <c r="G844" s="18"/>
      <c r="H844" s="232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230"/>
      <c r="D845" s="18"/>
      <c r="E845" s="18"/>
      <c r="F845" s="231"/>
      <c r="G845" s="18"/>
      <c r="H845" s="232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230"/>
      <c r="D846" s="18"/>
      <c r="E846" s="18"/>
      <c r="F846" s="231"/>
      <c r="G846" s="18"/>
      <c r="H846" s="232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230"/>
      <c r="D847" s="18"/>
      <c r="E847" s="18"/>
      <c r="F847" s="231"/>
      <c r="G847" s="18"/>
      <c r="H847" s="232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230"/>
      <c r="D848" s="18"/>
      <c r="E848" s="18"/>
      <c r="F848" s="231"/>
      <c r="G848" s="18"/>
      <c r="H848" s="232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230"/>
      <c r="D849" s="18"/>
      <c r="E849" s="18"/>
      <c r="F849" s="231"/>
      <c r="G849" s="18"/>
      <c r="H849" s="232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230"/>
      <c r="D850" s="18"/>
      <c r="E850" s="18"/>
      <c r="F850" s="231"/>
      <c r="G850" s="18"/>
      <c r="H850" s="232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230"/>
      <c r="D851" s="18"/>
      <c r="E851" s="18"/>
      <c r="F851" s="231"/>
      <c r="G851" s="18"/>
      <c r="H851" s="232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230"/>
      <c r="D852" s="18"/>
      <c r="E852" s="18"/>
      <c r="F852" s="231"/>
      <c r="G852" s="18"/>
      <c r="H852" s="232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230"/>
      <c r="D853" s="18"/>
      <c r="E853" s="18"/>
      <c r="F853" s="231"/>
      <c r="G853" s="18"/>
      <c r="H853" s="232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230"/>
      <c r="D854" s="18"/>
      <c r="E854" s="18"/>
      <c r="F854" s="231"/>
      <c r="G854" s="18"/>
      <c r="H854" s="232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230"/>
      <c r="D855" s="18"/>
      <c r="E855" s="18"/>
      <c r="F855" s="231"/>
      <c r="G855" s="18"/>
      <c r="H855" s="232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230"/>
      <c r="D856" s="18"/>
      <c r="E856" s="18"/>
      <c r="F856" s="231"/>
      <c r="G856" s="18"/>
      <c r="H856" s="232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230"/>
      <c r="D857" s="18"/>
      <c r="E857" s="18"/>
      <c r="F857" s="231"/>
      <c r="G857" s="18"/>
      <c r="H857" s="232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230"/>
      <c r="D858" s="18"/>
      <c r="E858" s="18"/>
      <c r="F858" s="231"/>
      <c r="G858" s="18"/>
      <c r="H858" s="232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230"/>
      <c r="D859" s="18"/>
      <c r="E859" s="18"/>
      <c r="F859" s="231"/>
      <c r="G859" s="18"/>
      <c r="H859" s="232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230"/>
      <c r="D860" s="18"/>
      <c r="E860" s="18"/>
      <c r="F860" s="231"/>
      <c r="G860" s="18"/>
      <c r="H860" s="232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230"/>
      <c r="D861" s="18"/>
      <c r="E861" s="18"/>
      <c r="F861" s="231"/>
      <c r="G861" s="18"/>
      <c r="H861" s="232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230"/>
      <c r="D862" s="18"/>
      <c r="E862" s="18"/>
      <c r="F862" s="231"/>
      <c r="G862" s="18"/>
      <c r="H862" s="232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230"/>
      <c r="D863" s="18"/>
      <c r="E863" s="18"/>
      <c r="F863" s="231"/>
      <c r="G863" s="18"/>
      <c r="H863" s="232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230"/>
      <c r="D864" s="18"/>
      <c r="E864" s="18"/>
      <c r="F864" s="231"/>
      <c r="G864" s="18"/>
      <c r="H864" s="232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230"/>
      <c r="D865" s="18"/>
      <c r="E865" s="18"/>
      <c r="F865" s="231"/>
      <c r="G865" s="18"/>
      <c r="H865" s="232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230"/>
      <c r="D866" s="18"/>
      <c r="E866" s="18"/>
      <c r="F866" s="231"/>
      <c r="G866" s="18"/>
      <c r="H866" s="232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230"/>
      <c r="D867" s="18"/>
      <c r="E867" s="18"/>
      <c r="F867" s="231"/>
      <c r="G867" s="18"/>
      <c r="H867" s="232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230"/>
      <c r="D868" s="18"/>
      <c r="E868" s="18"/>
      <c r="F868" s="231"/>
      <c r="G868" s="18"/>
      <c r="H868" s="232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230"/>
      <c r="D869" s="18"/>
      <c r="E869" s="18"/>
      <c r="F869" s="231"/>
      <c r="G869" s="18"/>
      <c r="H869" s="232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230"/>
      <c r="D870" s="18"/>
      <c r="E870" s="18"/>
      <c r="F870" s="231"/>
      <c r="G870" s="18"/>
      <c r="H870" s="232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230"/>
      <c r="D871" s="18"/>
      <c r="E871" s="18"/>
      <c r="F871" s="231"/>
      <c r="G871" s="18"/>
      <c r="H871" s="232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230"/>
      <c r="D872" s="18"/>
      <c r="E872" s="18"/>
      <c r="F872" s="231"/>
      <c r="G872" s="18"/>
      <c r="H872" s="232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230"/>
      <c r="D873" s="18"/>
      <c r="E873" s="18"/>
      <c r="F873" s="231"/>
      <c r="G873" s="18"/>
      <c r="H873" s="232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230"/>
      <c r="D874" s="18"/>
      <c r="E874" s="18"/>
      <c r="F874" s="231"/>
      <c r="G874" s="18"/>
      <c r="H874" s="232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230"/>
      <c r="D875" s="18"/>
      <c r="E875" s="18"/>
      <c r="F875" s="231"/>
      <c r="G875" s="18"/>
      <c r="H875" s="232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230"/>
      <c r="D876" s="18"/>
      <c r="E876" s="18"/>
      <c r="F876" s="231"/>
      <c r="G876" s="18"/>
      <c r="H876" s="232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230"/>
      <c r="D877" s="18"/>
      <c r="E877" s="18"/>
      <c r="F877" s="231"/>
      <c r="G877" s="18"/>
      <c r="H877" s="232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230"/>
      <c r="D878" s="18"/>
      <c r="E878" s="18"/>
      <c r="F878" s="231"/>
      <c r="G878" s="18"/>
      <c r="H878" s="232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230"/>
      <c r="D879" s="18"/>
      <c r="E879" s="18"/>
      <c r="F879" s="231"/>
      <c r="G879" s="18"/>
      <c r="H879" s="232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230"/>
      <c r="D880" s="18"/>
      <c r="E880" s="18"/>
      <c r="F880" s="231"/>
      <c r="G880" s="18"/>
      <c r="H880" s="232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230"/>
      <c r="D881" s="18"/>
      <c r="E881" s="18"/>
      <c r="F881" s="231"/>
      <c r="G881" s="18"/>
      <c r="H881" s="232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230"/>
      <c r="D882" s="18"/>
      <c r="E882" s="18"/>
      <c r="F882" s="231"/>
      <c r="G882" s="18"/>
      <c r="H882" s="232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230"/>
      <c r="D883" s="18"/>
      <c r="E883" s="18"/>
      <c r="F883" s="231"/>
      <c r="G883" s="18"/>
      <c r="H883" s="232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230"/>
      <c r="D884" s="18"/>
      <c r="E884" s="18"/>
      <c r="F884" s="231"/>
      <c r="G884" s="18"/>
      <c r="H884" s="232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230"/>
      <c r="D885" s="18"/>
      <c r="E885" s="18"/>
      <c r="F885" s="231"/>
      <c r="G885" s="18"/>
      <c r="H885" s="232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230"/>
      <c r="D886" s="18"/>
      <c r="E886" s="18"/>
      <c r="F886" s="231"/>
      <c r="G886" s="18"/>
      <c r="H886" s="232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230"/>
      <c r="D887" s="18"/>
      <c r="E887" s="18"/>
      <c r="F887" s="231"/>
      <c r="G887" s="18"/>
      <c r="H887" s="232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230"/>
      <c r="D888" s="18"/>
      <c r="E888" s="18"/>
      <c r="F888" s="231"/>
      <c r="G888" s="18"/>
      <c r="H888" s="232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230"/>
      <c r="D889" s="18"/>
      <c r="E889" s="18"/>
      <c r="F889" s="231"/>
      <c r="G889" s="18"/>
      <c r="H889" s="232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230"/>
      <c r="D890" s="18"/>
      <c r="E890" s="18"/>
      <c r="F890" s="231"/>
      <c r="G890" s="18"/>
      <c r="H890" s="232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230"/>
      <c r="D891" s="18"/>
      <c r="E891" s="18"/>
      <c r="F891" s="231"/>
      <c r="G891" s="18"/>
      <c r="H891" s="232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230"/>
      <c r="D892" s="18"/>
      <c r="E892" s="18"/>
      <c r="F892" s="231"/>
      <c r="G892" s="18"/>
      <c r="H892" s="232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230"/>
      <c r="D893" s="18"/>
      <c r="E893" s="18"/>
      <c r="F893" s="231"/>
      <c r="G893" s="18"/>
      <c r="H893" s="232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230"/>
      <c r="D894" s="18"/>
      <c r="E894" s="18"/>
      <c r="F894" s="231"/>
      <c r="G894" s="18"/>
      <c r="H894" s="232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230"/>
      <c r="D895" s="18"/>
      <c r="E895" s="18"/>
      <c r="F895" s="231"/>
      <c r="G895" s="18"/>
      <c r="H895" s="232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230"/>
      <c r="D896" s="18"/>
      <c r="E896" s="18"/>
      <c r="F896" s="231"/>
      <c r="G896" s="18"/>
      <c r="H896" s="232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230"/>
      <c r="D897" s="18"/>
      <c r="E897" s="18"/>
      <c r="F897" s="231"/>
      <c r="G897" s="18"/>
      <c r="H897" s="232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230"/>
      <c r="D898" s="18"/>
      <c r="E898" s="18"/>
      <c r="F898" s="231"/>
      <c r="G898" s="18"/>
      <c r="H898" s="232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230"/>
      <c r="D899" s="18"/>
      <c r="E899" s="18"/>
      <c r="F899" s="231"/>
      <c r="G899" s="18"/>
      <c r="H899" s="232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230"/>
      <c r="D900" s="18"/>
      <c r="E900" s="18"/>
      <c r="F900" s="231"/>
      <c r="G900" s="18"/>
      <c r="H900" s="232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230"/>
      <c r="D901" s="18"/>
      <c r="E901" s="18"/>
      <c r="F901" s="231"/>
      <c r="G901" s="18"/>
      <c r="H901" s="232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230"/>
      <c r="D902" s="18"/>
      <c r="E902" s="18"/>
      <c r="F902" s="231"/>
      <c r="G902" s="18"/>
      <c r="H902" s="232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230"/>
      <c r="D903" s="18"/>
      <c r="E903" s="18"/>
      <c r="F903" s="231"/>
      <c r="G903" s="18"/>
      <c r="H903" s="232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230"/>
      <c r="D904" s="18"/>
      <c r="E904" s="18"/>
      <c r="F904" s="231"/>
      <c r="G904" s="18"/>
      <c r="H904" s="232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230"/>
      <c r="D905" s="18"/>
      <c r="E905" s="18"/>
      <c r="F905" s="231"/>
      <c r="G905" s="18"/>
      <c r="H905" s="232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230"/>
      <c r="D906" s="18"/>
      <c r="E906" s="18"/>
      <c r="F906" s="231"/>
      <c r="G906" s="18"/>
      <c r="H906" s="232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230"/>
      <c r="D907" s="18"/>
      <c r="E907" s="18"/>
      <c r="F907" s="231"/>
      <c r="G907" s="18"/>
      <c r="H907" s="232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230"/>
      <c r="D908" s="18"/>
      <c r="E908" s="18"/>
      <c r="F908" s="231"/>
      <c r="G908" s="18"/>
      <c r="H908" s="232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230"/>
      <c r="D909" s="18"/>
      <c r="E909" s="18"/>
      <c r="F909" s="231"/>
      <c r="G909" s="18"/>
      <c r="H909" s="232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230"/>
      <c r="D910" s="18"/>
      <c r="E910" s="18"/>
      <c r="F910" s="231"/>
      <c r="G910" s="18"/>
      <c r="H910" s="232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230"/>
      <c r="D911" s="18"/>
      <c r="E911" s="18"/>
      <c r="F911" s="231"/>
      <c r="G911" s="18"/>
      <c r="H911" s="232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230"/>
      <c r="D912" s="18"/>
      <c r="E912" s="18"/>
      <c r="F912" s="231"/>
      <c r="G912" s="18"/>
      <c r="H912" s="232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230"/>
      <c r="D913" s="18"/>
      <c r="E913" s="18"/>
      <c r="F913" s="231"/>
      <c r="G913" s="18"/>
      <c r="H913" s="232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230"/>
      <c r="D914" s="18"/>
      <c r="E914" s="18"/>
      <c r="F914" s="231"/>
      <c r="G914" s="18"/>
      <c r="H914" s="232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230"/>
      <c r="D915" s="18"/>
      <c r="E915" s="18"/>
      <c r="F915" s="231"/>
      <c r="G915" s="18"/>
      <c r="H915" s="232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230"/>
      <c r="D916" s="18"/>
      <c r="E916" s="18"/>
      <c r="F916" s="231"/>
      <c r="G916" s="18"/>
      <c r="H916" s="232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230"/>
      <c r="D917" s="18"/>
      <c r="E917" s="18"/>
      <c r="F917" s="231"/>
      <c r="G917" s="18"/>
      <c r="H917" s="232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230"/>
      <c r="D918" s="18"/>
      <c r="E918" s="18"/>
      <c r="F918" s="231"/>
      <c r="G918" s="18"/>
      <c r="H918" s="232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230"/>
      <c r="D919" s="18"/>
      <c r="E919" s="18"/>
      <c r="F919" s="231"/>
      <c r="G919" s="18"/>
      <c r="H919" s="232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230"/>
      <c r="D920" s="18"/>
      <c r="E920" s="18"/>
      <c r="F920" s="231"/>
      <c r="G920" s="18"/>
      <c r="H920" s="232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230"/>
      <c r="D921" s="18"/>
      <c r="E921" s="18"/>
      <c r="F921" s="231"/>
      <c r="G921" s="18"/>
      <c r="H921" s="232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230"/>
      <c r="D922" s="18"/>
      <c r="E922" s="18"/>
      <c r="F922" s="231"/>
      <c r="G922" s="18"/>
      <c r="H922" s="232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230"/>
      <c r="D923" s="18"/>
      <c r="E923" s="18"/>
      <c r="F923" s="231"/>
      <c r="G923" s="18"/>
      <c r="H923" s="232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230"/>
      <c r="D924" s="18"/>
      <c r="E924" s="18"/>
      <c r="F924" s="231"/>
      <c r="G924" s="18"/>
      <c r="H924" s="232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230"/>
      <c r="D925" s="18"/>
      <c r="E925" s="18"/>
      <c r="F925" s="231"/>
      <c r="G925" s="18"/>
      <c r="H925" s="232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230"/>
      <c r="D926" s="18"/>
      <c r="E926" s="18"/>
      <c r="F926" s="231"/>
      <c r="G926" s="18"/>
      <c r="H926" s="232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230"/>
      <c r="D927" s="18"/>
      <c r="E927" s="18"/>
      <c r="F927" s="231"/>
      <c r="G927" s="18"/>
      <c r="H927" s="232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230"/>
      <c r="D928" s="18"/>
      <c r="E928" s="18"/>
      <c r="F928" s="231"/>
      <c r="G928" s="18"/>
      <c r="H928" s="232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230"/>
      <c r="D929" s="18"/>
      <c r="E929" s="18"/>
      <c r="F929" s="231"/>
      <c r="G929" s="18"/>
      <c r="H929" s="232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230"/>
      <c r="D930" s="18"/>
      <c r="E930" s="18"/>
      <c r="F930" s="231"/>
      <c r="G930" s="18"/>
      <c r="H930" s="232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230"/>
      <c r="D931" s="18"/>
      <c r="E931" s="18"/>
      <c r="F931" s="231"/>
      <c r="G931" s="18"/>
      <c r="H931" s="232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230"/>
      <c r="D932" s="18"/>
      <c r="E932" s="18"/>
      <c r="F932" s="231"/>
      <c r="G932" s="18"/>
      <c r="H932" s="232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230"/>
      <c r="D933" s="18"/>
      <c r="E933" s="18"/>
      <c r="F933" s="231"/>
      <c r="G933" s="18"/>
      <c r="H933" s="232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230"/>
      <c r="D934" s="18"/>
      <c r="E934" s="18"/>
      <c r="F934" s="231"/>
      <c r="G934" s="18"/>
      <c r="H934" s="232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230"/>
      <c r="D935" s="18"/>
      <c r="E935" s="18"/>
      <c r="F935" s="231"/>
      <c r="G935" s="18"/>
      <c r="H935" s="232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230"/>
      <c r="D936" s="18"/>
      <c r="E936" s="18"/>
      <c r="F936" s="231"/>
      <c r="G936" s="18"/>
      <c r="H936" s="232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230"/>
      <c r="D937" s="18"/>
      <c r="E937" s="18"/>
      <c r="F937" s="231"/>
      <c r="G937" s="18"/>
      <c r="H937" s="232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230"/>
      <c r="D938" s="18"/>
      <c r="E938" s="18"/>
      <c r="F938" s="231"/>
      <c r="G938" s="18"/>
      <c r="H938" s="232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230"/>
      <c r="D939" s="18"/>
      <c r="E939" s="18"/>
      <c r="F939" s="231"/>
      <c r="G939" s="18"/>
      <c r="H939" s="232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230"/>
      <c r="D940" s="18"/>
      <c r="E940" s="18"/>
      <c r="F940" s="231"/>
      <c r="G940" s="18"/>
      <c r="H940" s="232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230"/>
      <c r="D941" s="18"/>
      <c r="E941" s="18"/>
      <c r="F941" s="231"/>
      <c r="G941" s="18"/>
      <c r="H941" s="232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230"/>
      <c r="D942" s="18"/>
      <c r="E942" s="18"/>
      <c r="F942" s="231"/>
      <c r="G942" s="18"/>
      <c r="H942" s="232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230"/>
      <c r="D943" s="18"/>
      <c r="E943" s="18"/>
      <c r="F943" s="231"/>
      <c r="G943" s="18"/>
      <c r="H943" s="232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230"/>
      <c r="D944" s="18"/>
      <c r="E944" s="18"/>
      <c r="F944" s="231"/>
      <c r="G944" s="18"/>
      <c r="H944" s="232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230"/>
      <c r="D945" s="18"/>
      <c r="E945" s="18"/>
      <c r="F945" s="231"/>
      <c r="G945" s="18"/>
      <c r="H945" s="232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230"/>
      <c r="D946" s="18"/>
      <c r="E946" s="18"/>
      <c r="F946" s="231"/>
      <c r="G946" s="18"/>
      <c r="H946" s="232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230"/>
      <c r="D947" s="18"/>
      <c r="E947" s="18"/>
      <c r="F947" s="231"/>
      <c r="G947" s="18"/>
      <c r="H947" s="232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230"/>
      <c r="D948" s="18"/>
      <c r="E948" s="18"/>
      <c r="F948" s="231"/>
      <c r="G948" s="18"/>
      <c r="H948" s="232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230"/>
      <c r="D949" s="18"/>
      <c r="E949" s="18"/>
      <c r="F949" s="231"/>
      <c r="G949" s="18"/>
      <c r="H949" s="232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230"/>
      <c r="D950" s="18"/>
      <c r="E950" s="18"/>
      <c r="F950" s="231"/>
      <c r="G950" s="18"/>
      <c r="H950" s="232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230"/>
      <c r="D951" s="18"/>
      <c r="E951" s="18"/>
      <c r="F951" s="231"/>
      <c r="G951" s="18"/>
      <c r="H951" s="232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230"/>
      <c r="D952" s="18"/>
      <c r="E952" s="18"/>
      <c r="F952" s="231"/>
      <c r="G952" s="18"/>
      <c r="H952" s="232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230"/>
      <c r="D953" s="18"/>
      <c r="E953" s="18"/>
      <c r="F953" s="231"/>
      <c r="G953" s="18"/>
      <c r="H953" s="232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230"/>
      <c r="D954" s="18"/>
      <c r="E954" s="18"/>
      <c r="F954" s="231"/>
      <c r="G954" s="18"/>
      <c r="H954" s="232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230"/>
      <c r="D955" s="18"/>
      <c r="E955" s="18"/>
      <c r="F955" s="231"/>
      <c r="G955" s="18"/>
      <c r="H955" s="232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230"/>
      <c r="D956" s="18"/>
      <c r="E956" s="18"/>
      <c r="F956" s="231"/>
      <c r="G956" s="18"/>
      <c r="H956" s="232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230"/>
      <c r="D957" s="18"/>
      <c r="E957" s="18"/>
      <c r="F957" s="231"/>
      <c r="G957" s="18"/>
      <c r="H957" s="232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230"/>
      <c r="D958" s="18"/>
      <c r="E958" s="18"/>
      <c r="F958" s="231"/>
      <c r="G958" s="18"/>
      <c r="H958" s="232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230"/>
      <c r="D959" s="18"/>
      <c r="E959" s="18"/>
      <c r="F959" s="231"/>
      <c r="G959" s="18"/>
      <c r="H959" s="232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230"/>
      <c r="D960" s="18"/>
      <c r="E960" s="18"/>
      <c r="F960" s="231"/>
      <c r="G960" s="18"/>
      <c r="H960" s="232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230"/>
      <c r="D961" s="18"/>
      <c r="E961" s="18"/>
      <c r="F961" s="231"/>
      <c r="G961" s="18"/>
      <c r="H961" s="232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230"/>
      <c r="D962" s="18"/>
      <c r="E962" s="18"/>
      <c r="F962" s="231"/>
      <c r="G962" s="18"/>
      <c r="H962" s="232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230"/>
      <c r="D963" s="18"/>
      <c r="E963" s="18"/>
      <c r="F963" s="231"/>
      <c r="G963" s="18"/>
      <c r="H963" s="232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230"/>
      <c r="D964" s="18"/>
      <c r="E964" s="18"/>
      <c r="F964" s="231"/>
      <c r="G964" s="18"/>
      <c r="H964" s="232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230"/>
      <c r="D965" s="18"/>
      <c r="E965" s="18"/>
      <c r="F965" s="231"/>
      <c r="G965" s="18"/>
      <c r="H965" s="232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230"/>
      <c r="D966" s="18"/>
      <c r="E966" s="18"/>
      <c r="F966" s="231"/>
      <c r="G966" s="18"/>
      <c r="H966" s="232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230"/>
      <c r="D967" s="18"/>
      <c r="E967" s="18"/>
      <c r="F967" s="231"/>
      <c r="G967" s="18"/>
      <c r="H967" s="232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230"/>
      <c r="D968" s="18"/>
      <c r="E968" s="18"/>
      <c r="F968" s="231"/>
      <c r="G968" s="18"/>
      <c r="H968" s="232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230"/>
      <c r="D969" s="18"/>
      <c r="E969" s="18"/>
      <c r="F969" s="231"/>
      <c r="G969" s="18"/>
      <c r="H969" s="232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230"/>
      <c r="D970" s="18"/>
      <c r="E970" s="18"/>
      <c r="F970" s="231"/>
      <c r="G970" s="18"/>
      <c r="H970" s="232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230"/>
      <c r="D971" s="18"/>
      <c r="E971" s="18"/>
      <c r="F971" s="231"/>
      <c r="G971" s="18"/>
      <c r="H971" s="232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230"/>
      <c r="D972" s="18"/>
      <c r="E972" s="18"/>
      <c r="F972" s="231"/>
      <c r="G972" s="18"/>
      <c r="H972" s="232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230"/>
      <c r="D973" s="18"/>
      <c r="E973" s="18"/>
      <c r="F973" s="231"/>
      <c r="G973" s="18"/>
      <c r="H973" s="232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230"/>
      <c r="D974" s="18"/>
      <c r="E974" s="18"/>
      <c r="F974" s="231"/>
      <c r="G974" s="18"/>
      <c r="H974" s="232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230"/>
      <c r="D975" s="18"/>
      <c r="E975" s="18"/>
      <c r="F975" s="231"/>
      <c r="G975" s="18"/>
      <c r="H975" s="232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230"/>
      <c r="D976" s="18"/>
      <c r="E976" s="18"/>
      <c r="F976" s="231"/>
      <c r="G976" s="18"/>
      <c r="H976" s="232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230"/>
      <c r="D977" s="18"/>
      <c r="E977" s="18"/>
      <c r="F977" s="231"/>
      <c r="G977" s="18"/>
      <c r="H977" s="232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230"/>
      <c r="D978" s="18"/>
      <c r="E978" s="18"/>
      <c r="F978" s="231"/>
      <c r="G978" s="18"/>
      <c r="H978" s="232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230"/>
      <c r="D979" s="18"/>
      <c r="E979" s="18"/>
      <c r="F979" s="231"/>
      <c r="G979" s="18"/>
      <c r="H979" s="232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230"/>
      <c r="D980" s="18"/>
      <c r="E980" s="18"/>
      <c r="F980" s="231"/>
      <c r="G980" s="18"/>
      <c r="H980" s="232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230"/>
      <c r="D981" s="18"/>
      <c r="E981" s="18"/>
      <c r="F981" s="231"/>
      <c r="G981" s="18"/>
      <c r="H981" s="232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230"/>
      <c r="D982" s="18"/>
      <c r="E982" s="18"/>
      <c r="F982" s="231"/>
      <c r="G982" s="18"/>
      <c r="H982" s="232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230"/>
      <c r="D983" s="18"/>
      <c r="E983" s="18"/>
      <c r="F983" s="231"/>
      <c r="G983" s="18"/>
      <c r="H983" s="232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230"/>
      <c r="D984" s="18"/>
      <c r="E984" s="18"/>
      <c r="F984" s="231"/>
      <c r="G984" s="18"/>
      <c r="H984" s="232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230"/>
      <c r="D985" s="18"/>
      <c r="E985" s="18"/>
      <c r="F985" s="231"/>
      <c r="G985" s="18"/>
      <c r="H985" s="232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230"/>
      <c r="D986" s="18"/>
      <c r="E986" s="18"/>
      <c r="F986" s="231"/>
      <c r="G986" s="18"/>
      <c r="H986" s="232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230"/>
      <c r="D987" s="18"/>
      <c r="E987" s="18"/>
      <c r="F987" s="231"/>
      <c r="G987" s="18"/>
      <c r="H987" s="232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230"/>
      <c r="D988" s="18"/>
      <c r="E988" s="18"/>
      <c r="F988" s="231"/>
      <c r="G988" s="18"/>
      <c r="H988" s="232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230"/>
      <c r="D989" s="18"/>
      <c r="E989" s="18"/>
      <c r="F989" s="231"/>
      <c r="G989" s="18"/>
      <c r="H989" s="232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230"/>
      <c r="D990" s="18"/>
      <c r="E990" s="18"/>
      <c r="F990" s="231"/>
      <c r="G990" s="18"/>
      <c r="H990" s="232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230"/>
      <c r="D991" s="18"/>
      <c r="E991" s="18"/>
      <c r="F991" s="231"/>
      <c r="G991" s="18"/>
      <c r="H991" s="232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230"/>
      <c r="D992" s="18"/>
      <c r="E992" s="18"/>
      <c r="F992" s="231"/>
      <c r="G992" s="18"/>
      <c r="H992" s="232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230"/>
      <c r="D993" s="18"/>
      <c r="E993" s="18"/>
      <c r="F993" s="231"/>
      <c r="G993" s="18"/>
      <c r="H993" s="232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230"/>
      <c r="D994" s="18"/>
      <c r="E994" s="18"/>
      <c r="F994" s="231"/>
      <c r="G994" s="18"/>
      <c r="H994" s="232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230"/>
      <c r="D995" s="18"/>
      <c r="E995" s="18"/>
      <c r="F995" s="231"/>
      <c r="G995" s="18"/>
      <c r="H995" s="232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230"/>
      <c r="D996" s="18"/>
      <c r="E996" s="18"/>
      <c r="F996" s="231"/>
      <c r="G996" s="18"/>
      <c r="H996" s="232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230"/>
      <c r="D997" s="18"/>
      <c r="E997" s="18"/>
      <c r="F997" s="231"/>
      <c r="G997" s="18"/>
      <c r="H997" s="232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230"/>
      <c r="D998" s="18"/>
      <c r="E998" s="18"/>
      <c r="F998" s="231"/>
      <c r="G998" s="18"/>
      <c r="H998" s="232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230"/>
      <c r="D999" s="18"/>
      <c r="E999" s="18"/>
      <c r="F999" s="231"/>
      <c r="G999" s="18"/>
      <c r="H999" s="232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230"/>
      <c r="D1000" s="18"/>
      <c r="E1000" s="18"/>
      <c r="F1000" s="231"/>
      <c r="G1000" s="18"/>
      <c r="H1000" s="232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230"/>
      <c r="D1001" s="18"/>
      <c r="E1001" s="18"/>
      <c r="F1001" s="231"/>
      <c r="G1001" s="18"/>
      <c r="H1001" s="232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230"/>
      <c r="D1002" s="18"/>
      <c r="E1002" s="18"/>
      <c r="F1002" s="231"/>
      <c r="G1002" s="18"/>
      <c r="H1002" s="232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230"/>
      <c r="D1003" s="18"/>
      <c r="E1003" s="18"/>
      <c r="F1003" s="231"/>
      <c r="G1003" s="18"/>
      <c r="H1003" s="232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>
      <c r="A1004" s="18"/>
      <c r="B1004" s="18"/>
      <c r="C1004" s="230"/>
      <c r="D1004" s="18"/>
      <c r="E1004" s="18"/>
      <c r="F1004" s="231"/>
      <c r="G1004" s="18"/>
      <c r="H1004" s="232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>
      <c r="A1005" s="18"/>
      <c r="B1005" s="18"/>
      <c r="C1005" s="230"/>
      <c r="D1005" s="18"/>
      <c r="E1005" s="18"/>
      <c r="F1005" s="231"/>
      <c r="G1005" s="18"/>
      <c r="H1005" s="232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>
      <c r="A1006" s="18"/>
      <c r="B1006" s="18"/>
      <c r="C1006" s="230"/>
      <c r="D1006" s="18"/>
      <c r="E1006" s="18"/>
      <c r="F1006" s="231"/>
      <c r="G1006" s="18"/>
      <c r="H1006" s="232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>
      <c r="A1007" s="18"/>
      <c r="B1007" s="18"/>
      <c r="C1007" s="230"/>
      <c r="D1007" s="18"/>
      <c r="E1007" s="18"/>
      <c r="F1007" s="231"/>
      <c r="G1007" s="18"/>
      <c r="H1007" s="232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>
      <c r="A1008" s="18"/>
      <c r="B1008" s="18"/>
      <c r="C1008" s="230"/>
      <c r="D1008" s="18"/>
      <c r="E1008" s="18"/>
      <c r="F1008" s="231"/>
      <c r="G1008" s="18"/>
      <c r="H1008" s="232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>
      <c r="A1009" s="18"/>
      <c r="B1009" s="18"/>
      <c r="C1009" s="230"/>
      <c r="D1009" s="18"/>
      <c r="E1009" s="18"/>
      <c r="F1009" s="231"/>
      <c r="G1009" s="18"/>
      <c r="H1009" s="232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>
      <c r="A1010" s="18"/>
      <c r="B1010" s="18"/>
      <c r="C1010" s="230"/>
      <c r="D1010" s="18"/>
      <c r="E1010" s="18"/>
      <c r="F1010" s="231"/>
      <c r="G1010" s="18"/>
      <c r="H1010" s="232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>
      <c r="A1011" s="18"/>
      <c r="B1011" s="18"/>
      <c r="C1011" s="230"/>
      <c r="D1011" s="18"/>
      <c r="E1011" s="18"/>
      <c r="F1011" s="231"/>
      <c r="G1011" s="18"/>
      <c r="H1011" s="232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>
      <c r="A1012" s="18"/>
      <c r="B1012" s="18"/>
      <c r="C1012" s="230"/>
      <c r="D1012" s="18"/>
      <c r="E1012" s="18"/>
      <c r="F1012" s="231"/>
      <c r="G1012" s="18"/>
      <c r="H1012" s="232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>
      <c r="A1013" s="18"/>
      <c r="B1013" s="18"/>
      <c r="C1013" s="230"/>
      <c r="D1013" s="18"/>
      <c r="E1013" s="18"/>
      <c r="F1013" s="231"/>
      <c r="G1013" s="18"/>
      <c r="H1013" s="232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>
      <c r="A1014" s="18"/>
      <c r="B1014" s="18"/>
      <c r="C1014" s="230"/>
      <c r="D1014" s="18"/>
      <c r="E1014" s="18"/>
      <c r="F1014" s="231"/>
      <c r="G1014" s="18"/>
      <c r="H1014" s="232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>
      <c r="A1015" s="18"/>
      <c r="B1015" s="18"/>
      <c r="C1015" s="230"/>
      <c r="D1015" s="18"/>
      <c r="E1015" s="18"/>
      <c r="F1015" s="231"/>
      <c r="G1015" s="18"/>
      <c r="H1015" s="232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>
      <c r="A1016" s="18"/>
      <c r="B1016" s="18"/>
      <c r="C1016" s="230"/>
      <c r="D1016" s="18"/>
      <c r="E1016" s="18"/>
      <c r="F1016" s="231"/>
      <c r="G1016" s="18"/>
      <c r="H1016" s="232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>
      <c r="A1017" s="18"/>
      <c r="B1017" s="18"/>
      <c r="C1017" s="230"/>
      <c r="D1017" s="18"/>
      <c r="E1017" s="18"/>
      <c r="F1017" s="231"/>
      <c r="G1017" s="18"/>
      <c r="H1017" s="232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>
      <c r="A1018" s="18"/>
      <c r="B1018" s="18"/>
      <c r="C1018" s="230"/>
      <c r="D1018" s="18"/>
      <c r="E1018" s="18"/>
      <c r="F1018" s="231"/>
      <c r="G1018" s="18"/>
      <c r="H1018" s="232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>
      <c r="A1019" s="18"/>
      <c r="B1019" s="18"/>
      <c r="C1019" s="230"/>
      <c r="D1019" s="18"/>
      <c r="E1019" s="18"/>
      <c r="F1019" s="231"/>
      <c r="G1019" s="18"/>
      <c r="H1019" s="232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>
      <c r="A1020" s="18"/>
      <c r="B1020" s="18"/>
      <c r="C1020" s="230"/>
      <c r="D1020" s="18"/>
      <c r="E1020" s="18"/>
      <c r="F1020" s="231"/>
      <c r="G1020" s="18"/>
      <c r="H1020" s="232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>
      <c r="A1021" s="18"/>
      <c r="B1021" s="18"/>
      <c r="C1021" s="230"/>
      <c r="D1021" s="18"/>
      <c r="E1021" s="18"/>
      <c r="F1021" s="231"/>
      <c r="G1021" s="18"/>
      <c r="H1021" s="232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>
      <c r="A1022" s="18"/>
      <c r="B1022" s="18"/>
      <c r="C1022" s="230"/>
      <c r="D1022" s="18"/>
      <c r="E1022" s="18"/>
      <c r="F1022" s="231"/>
      <c r="G1022" s="18"/>
      <c r="H1022" s="232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>
      <c r="A1023" s="18"/>
      <c r="B1023" s="18"/>
      <c r="C1023" s="230"/>
      <c r="D1023" s="18"/>
      <c r="E1023" s="18"/>
      <c r="F1023" s="231"/>
      <c r="G1023" s="18"/>
      <c r="H1023" s="232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>
      <c r="A1024" s="18"/>
      <c r="B1024" s="18"/>
      <c r="C1024" s="230"/>
      <c r="D1024" s="18"/>
      <c r="E1024" s="18"/>
      <c r="F1024" s="231"/>
      <c r="G1024" s="18"/>
      <c r="H1024" s="232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>
      <c r="A1025" s="18"/>
      <c r="B1025" s="18"/>
      <c r="C1025" s="230"/>
      <c r="D1025" s="18"/>
      <c r="E1025" s="18"/>
      <c r="F1025" s="231"/>
      <c r="G1025" s="18"/>
      <c r="H1025" s="232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>
      <c r="A1026" s="18"/>
      <c r="B1026" s="18"/>
      <c r="C1026" s="230"/>
      <c r="D1026" s="18"/>
      <c r="E1026" s="18"/>
      <c r="F1026" s="231"/>
      <c r="G1026" s="18"/>
      <c r="H1026" s="232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>
      <c r="A1027" s="18"/>
      <c r="B1027" s="18"/>
      <c r="C1027" s="230"/>
      <c r="D1027" s="18"/>
      <c r="E1027" s="18"/>
      <c r="F1027" s="231"/>
      <c r="G1027" s="18"/>
      <c r="H1027" s="232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>
      <c r="A1028" s="18"/>
      <c r="B1028" s="18"/>
      <c r="C1028" s="230"/>
      <c r="D1028" s="18"/>
      <c r="E1028" s="18"/>
      <c r="F1028" s="231"/>
      <c r="G1028" s="18"/>
      <c r="H1028" s="232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>
      <c r="A1029" s="18"/>
      <c r="B1029" s="18"/>
      <c r="C1029" s="230"/>
      <c r="D1029" s="18"/>
      <c r="E1029" s="18"/>
      <c r="F1029" s="231"/>
      <c r="G1029" s="18"/>
      <c r="H1029" s="232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  <row r="1030">
      <c r="A1030" s="18"/>
      <c r="B1030" s="18"/>
      <c r="C1030" s="230"/>
      <c r="D1030" s="18"/>
      <c r="E1030" s="18"/>
      <c r="F1030" s="231"/>
      <c r="G1030" s="18"/>
      <c r="H1030" s="232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</row>
    <row r="1031">
      <c r="A1031" s="18"/>
      <c r="B1031" s="18"/>
      <c r="C1031" s="230"/>
      <c r="D1031" s="18"/>
      <c r="E1031" s="18"/>
      <c r="F1031" s="231"/>
      <c r="G1031" s="18"/>
      <c r="H1031" s="232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</row>
    <row r="1032">
      <c r="A1032" s="18"/>
      <c r="B1032" s="18"/>
      <c r="C1032" s="230"/>
      <c r="D1032" s="18"/>
      <c r="E1032" s="18"/>
      <c r="F1032" s="231"/>
      <c r="G1032" s="18"/>
      <c r="H1032" s="232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</row>
    <row r="1033">
      <c r="A1033" s="18"/>
      <c r="B1033" s="18"/>
      <c r="C1033" s="230"/>
      <c r="D1033" s="18"/>
      <c r="E1033" s="18"/>
      <c r="F1033" s="231"/>
      <c r="G1033" s="18"/>
      <c r="H1033" s="232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</row>
    <row r="1034">
      <c r="A1034" s="18"/>
      <c r="B1034" s="18"/>
      <c r="C1034" s="230"/>
      <c r="D1034" s="18"/>
      <c r="E1034" s="18"/>
      <c r="F1034" s="231"/>
      <c r="G1034" s="18"/>
      <c r="H1034" s="232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</row>
    <row r="1035">
      <c r="A1035" s="18"/>
      <c r="B1035" s="18"/>
      <c r="C1035" s="230"/>
      <c r="D1035" s="18"/>
      <c r="E1035" s="18"/>
      <c r="F1035" s="231"/>
      <c r="G1035" s="18"/>
      <c r="H1035" s="232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</row>
    <row r="1036">
      <c r="A1036" s="18"/>
      <c r="B1036" s="18"/>
      <c r="C1036" s="230"/>
      <c r="D1036" s="18"/>
      <c r="E1036" s="18"/>
      <c r="F1036" s="231"/>
      <c r="G1036" s="18"/>
      <c r="H1036" s="232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</row>
    <row r="1037">
      <c r="A1037" s="18"/>
      <c r="B1037" s="18"/>
      <c r="C1037" s="230"/>
      <c r="D1037" s="18"/>
      <c r="E1037" s="18"/>
      <c r="F1037" s="231"/>
      <c r="G1037" s="18"/>
      <c r="H1037" s="232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</row>
    <row r="1038">
      <c r="A1038" s="18"/>
      <c r="B1038" s="18"/>
      <c r="C1038" s="230"/>
      <c r="D1038" s="18"/>
      <c r="E1038" s="18"/>
      <c r="F1038" s="231"/>
      <c r="G1038" s="18"/>
      <c r="H1038" s="232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</row>
    <row r="1039">
      <c r="A1039" s="18"/>
      <c r="B1039" s="18"/>
      <c r="C1039" s="230"/>
      <c r="D1039" s="18"/>
      <c r="E1039" s="18"/>
      <c r="F1039" s="231"/>
      <c r="G1039" s="18"/>
      <c r="H1039" s="232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</row>
    <row r="1040">
      <c r="A1040" s="18"/>
      <c r="B1040" s="18"/>
      <c r="C1040" s="230"/>
      <c r="D1040" s="18"/>
      <c r="E1040" s="18"/>
      <c r="F1040" s="231"/>
      <c r="G1040" s="18"/>
      <c r="H1040" s="232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</row>
    <row r="1041">
      <c r="A1041" s="18"/>
      <c r="B1041" s="18"/>
      <c r="C1041" s="230"/>
      <c r="D1041" s="18"/>
      <c r="E1041" s="18"/>
      <c r="F1041" s="231"/>
      <c r="G1041" s="18"/>
      <c r="H1041" s="232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</row>
    <row r="1042">
      <c r="A1042" s="18"/>
      <c r="B1042" s="18"/>
      <c r="C1042" s="230"/>
      <c r="D1042" s="18"/>
      <c r="E1042" s="18"/>
      <c r="F1042" s="231"/>
      <c r="G1042" s="18"/>
      <c r="H1042" s="232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</row>
    <row r="1043">
      <c r="A1043" s="18"/>
      <c r="B1043" s="18"/>
      <c r="C1043" s="230"/>
      <c r="D1043" s="18"/>
      <c r="E1043" s="18"/>
      <c r="F1043" s="231"/>
      <c r="G1043" s="18"/>
      <c r="H1043" s="232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</row>
    <row r="1044">
      <c r="A1044" s="18"/>
      <c r="B1044" s="18"/>
      <c r="C1044" s="230"/>
      <c r="D1044" s="18"/>
      <c r="E1044" s="18"/>
      <c r="F1044" s="231"/>
      <c r="G1044" s="18"/>
      <c r="H1044" s="232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</row>
    <row r="1045">
      <c r="A1045" s="18"/>
      <c r="B1045" s="18"/>
      <c r="C1045" s="230"/>
      <c r="D1045" s="18"/>
      <c r="E1045" s="18"/>
      <c r="F1045" s="231"/>
      <c r="G1045" s="18"/>
      <c r="H1045" s="232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</row>
    <row r="1046">
      <c r="A1046" s="18"/>
      <c r="B1046" s="18"/>
      <c r="C1046" s="230"/>
      <c r="D1046" s="18"/>
      <c r="E1046" s="18"/>
      <c r="F1046" s="231"/>
      <c r="G1046" s="18"/>
      <c r="H1046" s="232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</row>
  </sheetData>
  <mergeCells count="7">
    <mergeCell ref="A1:Z2"/>
    <mergeCell ref="A4:A9"/>
    <mergeCell ref="B4:B32"/>
    <mergeCell ref="B33:B53"/>
    <mergeCell ref="B54:B75"/>
    <mergeCell ref="B76:B120"/>
    <mergeCell ref="B121:B147"/>
  </mergeCells>
  <drawing r:id="rId1"/>
</worksheet>
</file>